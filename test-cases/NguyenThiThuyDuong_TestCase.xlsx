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hức năng Báo cáo thống kê" sheetId="2" r:id="rId1"/>
    <sheet name="Test Report" sheetId="3" r:id="rId2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<sst xmlns="http://schemas.openxmlformats.org/spreadsheetml/2006/main" count="474" uniqueCount="386">
  <si>
    <t>TEST CASE</t>
  </si>
  <si>
    <r>
      <rPr>
        <b/>
        <sz val="13"/>
        <rFont val="Times New Roman"/>
        <charset val="134"/>
      </rPr>
      <t>System Name</t>
    </r>
    <r>
      <rPr>
        <b/>
        <sz val="13"/>
        <rFont val="SimSun"/>
        <charset val="134"/>
      </rPr>
      <t>：</t>
    </r>
  </si>
  <si>
    <t>Nupakachi Shop - Online Shopping Website</t>
  </si>
  <si>
    <r>
      <rPr>
        <b/>
        <sz val="13"/>
        <rFont val="Times New Roman"/>
        <charset val="134"/>
      </rPr>
      <t>Module Code</t>
    </r>
    <r>
      <rPr>
        <b/>
        <sz val="13"/>
        <rFont val="SimSun"/>
        <charset val="134"/>
      </rPr>
      <t>：</t>
    </r>
  </si>
  <si>
    <t>CR500 - Reporting &amp; System Reliability</t>
  </si>
  <si>
    <t>Test requirement:</t>
  </si>
  <si>
    <t>CR5 - Báo cáo doanh thu, báo cáo thống kê, Reliability, Performance, Endurance</t>
  </si>
  <si>
    <t>Pass</t>
  </si>
  <si>
    <t>Pending</t>
  </si>
  <si>
    <t>By: Nguyễn Thị Thùy Dương</t>
  </si>
  <si>
    <t>Fail</t>
  </si>
  <si>
    <t>Number of test cases:</t>
  </si>
  <si>
    <t>ID</t>
  </si>
  <si>
    <t>Test Case Description</t>
  </si>
  <si>
    <t>Test Case Procedure</t>
  </si>
  <si>
    <t>Expected Output</t>
  </si>
  <si>
    <t>Test date</t>
  </si>
  <si>
    <t>Result</t>
  </si>
  <si>
    <t>Note</t>
  </si>
  <si>
    <t>BUG ID</t>
  </si>
  <si>
    <t>1. UNIT TEST CASES - RevenueService / StatisticsService / ReportService</t>
  </si>
  <si>
    <t>TC01</t>
  </si>
  <si>
    <t>Unit Test - Tính tổng doanh thu hợp lệ</t>
  </si>
  <si>
    <t>1. Chuẩn bị dữ liệu kiểm thử_ danh sách đơn hàng đã thanh toán
2.Thực thi gọi RevenueService.CalculateTotalRevenue().
3.trả về  tổng doanh thu .</t>
  </si>
  <si>
    <t>Tổng doanh thu bằng tổng tiền của các đơn hàng đã thanh toán.</t>
  </si>
  <si>
    <t>TC02</t>
  </si>
  <si>
    <t>Unit Test - Không tính đơn hàng đã hủy</t>
  </si>
  <si>
    <t>1.chuẩn bị  danh sách gồm đơn đã thanh toán và đơn đã hủy.
2. gọi hàm tính tổng doanh thu.
3. trả về kết quả.</t>
  </si>
  <si>
    <t>Doanh thu chỉ tính đơn đã thanh toán, bỏ qua đơn đã hủy.</t>
  </si>
  <si>
    <t>TC03</t>
  </si>
  <si>
    <t>Unit Test - Doanh thu khi không có dữ liệu</t>
  </si>
  <si>
    <t>1. chuẩn bị danh sách đơn hàng rỗng.
2. thực hiện gọi hàm tính doanh thu.
3.trả về kết quả.</t>
  </si>
  <si>
    <t>Hệ thống trả về 0, không phát sinh exception.</t>
  </si>
  <si>
    <t>TC04</t>
  </si>
  <si>
    <t>Unit Test - Validate khoảng ngày hợp lệ</t>
  </si>
  <si>
    <t>1. chọn  FromDate nhỏ hơn hoặc bằng ToDate.
2.  gọi ReportService.ValidateDateRange().
3.  kết quả.</t>
  </si>
  <si>
    <t>Validate trả về true hoặc không có lỗi.</t>
  </si>
  <si>
    <t>TC05</t>
  </si>
  <si>
    <t>Unit Test - Validate ngày bắt đầu lớn hơn ngày kết thúc</t>
  </si>
  <si>
    <t>1. chọn FromDate &gt; ToDate.
2.  gọi ValidateDateRange().
3. kết quả trả về.</t>
  </si>
  <si>
    <t>Hệ thống trả về lỗi ngày bắt đầu không được lớn hơn ngày kết thúc.</t>
  </si>
  <si>
    <t>TC06</t>
  </si>
  <si>
    <t>Unit Test - Validate ngày tương lai</t>
  </si>
  <si>
    <t>1. chọn ToDate lớn hơn ngày hiện tại.
2. gọi ValidateDateRange().
3.  kết quả trả về.</t>
  </si>
  <si>
    <t>Hệ thống trả về lỗi không cho chọn ngày sau ngày hiện tại.</t>
  </si>
  <si>
    <t>TC07</t>
  </si>
  <si>
    <t>Unit Test - Đếm số đơn hàng</t>
  </si>
  <si>
    <t>1. chuẩn bị danh sách đơn hàng theo trạng thái.
2. gọi StatisticsService.CountOrders().
3.  số lượng.</t>
  </si>
  <si>
    <t>Số đơn hàng trả về đúng theo dữ liệu đầu vào.</t>
  </si>
  <si>
    <t>TC08</t>
  </si>
  <si>
    <t>Unit Test - Đếm đơn hàng theo trạng thái</t>
  </si>
  <si>
    <t>1. danh sách đơn hàng: Chờ xác nhận, Đã giao, Đã hủy.
2. gọi CountOrdersByStatus().
3. kết quả từng nhóm.</t>
  </si>
  <si>
    <t>Số đơn theo từng trạng thái chính xác.</t>
  </si>
  <si>
    <t>TC09</t>
  </si>
  <si>
    <t>Unit Test - Lấy top sản phẩm bán chạy</t>
  </si>
  <si>
    <t>1.  danh sách chi tiết đơn hàng có số lượng bán.
2.  gọi GetTopSellingProducts().
3. kết quả thứ tự.</t>
  </si>
  <si>
    <t>Sản phẩm bán nhiều nhất đứng đầu danh sách.</t>
  </si>
  <si>
    <t>TC10</t>
  </si>
  <si>
    <t>Unit Test - Top sản phẩm khi trùng số lượng bán</t>
  </si>
  <si>
    <t>1.danh sách 2 sản phẩm có cùng số lượng bán.
2.  lấy top sản phẩm.
3.  kết quả.</t>
  </si>
  <si>
    <t>Hệ thống vẫn trả về danh sách hợp lệ, không lỗi sắp xếp.</t>
  </si>
  <si>
    <t>TC11</t>
  </si>
  <si>
    <t>Unit Test - Thống kê tồn kho hợp lệ</t>
  </si>
  <si>
    <t>1.  danh sách sản phẩm có SOLUONGTON.
2. gọi GetInventoryStatistics().
3.  kết quả.</t>
  </si>
  <si>
    <t>Số lượng tồn kho hiển thị đúng, không có số âm.</t>
  </si>
  <si>
    <t>TC12</t>
  </si>
  <si>
    <t>Unit Test - Tồn kho âm không hợp lệ</t>
  </si>
  <si>
    <t>1. sản phẩm có SOLUONGTON = -1.
2.  gọi validate tồn kho.
3. kết quả.</t>
  </si>
  <si>
    <t>Hệ thống trả về lỗi số lượng tồn kho phải &gt;= 0.</t>
  </si>
  <si>
    <t>TC13</t>
  </si>
  <si>
    <t>Unit Test - ReportService xử lý database exception</t>
  </si>
  <si>
    <t>1.  mock repository ném DbException.
2.  gọi GenerateRevenueReport().
3.  kết quả.</t>
  </si>
  <si>
    <t>Service bắt lỗi và trả thông báo lỗi phù hợp, không làm crash hệ thống.</t>
  </si>
  <si>
    <t>TC14</t>
  </si>
  <si>
    <t>Unit Test - Large dataset 10.000 đơn hàng</t>
  </si>
  <si>
    <t>1.  10.000 đơn hàng hợp lệ.
2.  tính doanh thu/thống kê.
3.  thời gian và kết quả.</t>
  </si>
  <si>
    <t>Kết quả đúng và xử lý trong thời gian chấp nhận được.</t>
  </si>
  <si>
    <t>TC15</t>
  </si>
  <si>
    <t>Unit Test - Xuất báo cáo không có dữ liệu</t>
  </si>
  <si>
    <t>1.  danh sách báo cáo rỗng.
2.  gọi ReportService.ExportReport().
3. file/kết quả.</t>
  </si>
  <si>
    <t>Hệ thống trả về file rỗng có header hoặc thông báo không có dữ liệu, không lỗi.</t>
  </si>
  <si>
    <t>2. POSTMAN API TEST CASES - Report APIs</t>
  </si>
  <si>
    <t>TC16</t>
  </si>
  <si>
    <t>API - Lấy báo cáo doanh thu hợp lệ</t>
  </si>
  <si>
    <t>1. Gửi GET /api/reports/revenue với fromDate/toDate hợp lệ.
2. Kiểm tra status code.
3. Kiểm tra body response.</t>
  </si>
  <si>
    <t>Status 200, trả về tổng doanh thu và danh sách dữ liệu đúng định dạng JSON.</t>
  </si>
  <si>
    <t>API /api/ chưa tồn tại hoặc chưa được deploy. Hiện hệ thống chỉ có trang web /Admin/BaocaoThongKe.</t>
  </si>
  <si>
    <t>BUG1_BaoCaovaThongKe</t>
  </si>
  <si>
    <t>TC17</t>
  </si>
  <si>
    <t>API - Revenue thiếu fromDate</t>
  </si>
  <si>
    <t>1. Gửi GET /api/reports/revenue chỉ có toDate.
2. Kiểm tra status và message.</t>
  </si>
  <si>
    <t>Status 400, thông báo thiếu tham số fromDate.</t>
  </si>
  <si>
    <t>BUG2_BaoCaovaThongKe</t>
  </si>
  <si>
    <t>TC18</t>
  </si>
  <si>
    <t>API - Revenue ngày không hợp lệ</t>
  </si>
  <si>
    <t>1. Gửi fromDate = 2026-05-30, toDate = 2026-05-01.
2. Kiểm tra response.</t>
  </si>
  <si>
    <t>Status 400, báo lỗi ngày bắt đầu không được lớn hơn ngày kết thúc.</t>
  </si>
  <si>
    <t>Không thể validate fromDate &gt; toDate nếu endpoint không tồn tại</t>
  </si>
  <si>
    <t>BUG3_BaoCaovaThongKe</t>
  </si>
  <si>
    <t>TC19</t>
  </si>
  <si>
    <t>API - Revenue ngày tương lai</t>
  </si>
  <si>
    <t>1. Gửi toDate lớn hơn ngày hiện tại.
2. Kiểm tra response.</t>
  </si>
  <si>
    <t>Status 400, báo lỗi không được chọn ngày sau ngày hiện tại.</t>
  </si>
  <si>
    <t>Không thể validate ngày tương lai nếu endpoint không tồn tại</t>
  </si>
  <si>
    <t>BUG4_BaoCaovaThongKe</t>
  </si>
  <si>
    <t>TC20</t>
  </si>
  <si>
    <t>API - Revenue không có token</t>
  </si>
  <si>
    <t>1. Gửi request không có Authorization header.
2. Kiểm tra status.</t>
  </si>
  <si>
    <t>Status 401 Unauthorized.</t>
  </si>
  <si>
    <t>Không thể test auth/token trên revenue API nếu endpoint không tồn tại</t>
  </si>
  <si>
    <t>BUG5_BaoCaovaThongKe</t>
  </si>
  <si>
    <t>TC21</t>
  </si>
  <si>
    <t>API - Revenue token sai</t>
  </si>
  <si>
    <t>1. Gửi Authorization: Bearer invalid_token.
2. Kiểm tra status.</t>
  </si>
  <si>
    <t>Status 401 Unauthorized hoặc 403 Forbidden.</t>
  </si>
  <si>
    <t>Không thể test token sai nếu revenue API không tồn tại</t>
  </si>
  <si>
    <t>BUG6_BaoCaovaThongKe</t>
  </si>
  <si>
    <t>TC22</t>
  </si>
  <si>
    <t>API - Lấy thống kê đơn hàng</t>
  </si>
  <si>
    <t>1. Gửi GET /api/reports/orders với token hợp lệ.
2. Kiểm tra dữ liệu thống kê.</t>
  </si>
  <si>
    <t>Status 200, trả về số đơn theo trạng thái chính xác.</t>
  </si>
  <si>
    <t>Đang gọi sai loại endpoint hoặc API /api/reports/top-products chưa tồn tại/chưa được deploy.</t>
  </si>
  <si>
    <t>BUG7_BaoCaovaThongKe</t>
  </si>
  <si>
    <t>TC23</t>
  </si>
  <si>
    <t>API - Orders không có dữ liệu</t>
  </si>
  <si>
    <t>1. Gửi request với khoảng ngày không có đơn hàng.
2. Kiểm tra response.</t>
  </si>
  <si>
    <t>Status 200, data là mảng rỗng hoặc tổng đơn = 0.</t>
  </si>
  <si>
    <t>Trang hiển thị trạng thái không có dữ liệu</t>
  </si>
  <si>
    <t>BUG8_BaoCaovaThongKe</t>
  </si>
  <si>
    <t>TC24</t>
  </si>
  <si>
    <t>API - Lấy sản phẩm bán chạy</t>
  </si>
  <si>
    <t>1. Gửi GET /api/reports/top-products.
2. Kiểm tra thứ tự sản phẩm.</t>
  </si>
  <si>
    <t>Status 200, sản phẩm được sắp xếp giảm dần theo số lượng bán.</t>
  </si>
  <si>
    <t>BUG9_BaoCaovaThongKe</t>
  </si>
  <si>
    <t>TC25</t>
  </si>
  <si>
    <t>API - Top products giới hạn top=5</t>
  </si>
  <si>
    <t>1. Gửi GET /api/reports/top-products?top=5.
2. Kiểm tra số lượng item.</t>
  </si>
  <si>
    <t>Status 200, trả về tối đa 5 sản phẩm.</t>
  </si>
  <si>
    <t>API endpoint không tồn tại, hệ thống trả về 404 Not Found.</t>
  </si>
  <si>
    <t>BUG10_BaoCaovaThongKe</t>
  </si>
  <si>
    <t>TC26</t>
  </si>
  <si>
    <t>API - Top products top không hợp lệ</t>
  </si>
  <si>
    <t>1. Gửi top=-1 hoặc top=abc.
2. Kiểm tra response.</t>
  </si>
  <si>
    <t>Status 400, báo lỗi tham số top không hợp lệ.</t>
  </si>
  <si>
    <t>Top products với top không hợp lệ không được xử lý thành công</t>
  </si>
  <si>
    <t>BUG11_BaoCaovaThongKe</t>
  </si>
  <si>
    <t>TC27</t>
  </si>
  <si>
    <t>API - Lấy thống kê tồn kho</t>
  </si>
  <si>
    <t>1. Gửi GET /api/reports/inventory.
2. Kiểm tra dữ liệu tồn kho.</t>
  </si>
  <si>
    <t>Status 200, trả về mã sản phẩm, tên sản phẩm, số lượng tồn.</t>
  </si>
  <si>
    <t>BUG12_BaoCaovaThongKe</t>
  </si>
  <si>
    <t>TC28</t>
  </si>
  <si>
    <t>API - Tìm kiếm thống kê tồn kho</t>
  </si>
  <si>
    <t>1. Gửi GET /api/reports/inventory?keyword=ao.
2. Kiểm tra kết quả.</t>
  </si>
  <si>
    <t>Status 200, chỉ trả về sản phẩm có tên/mã phù hợp keyword.</t>
  </si>
  <si>
    <t>BUG13_BaoCaovaThongKe</t>
  </si>
  <si>
    <t>TC29</t>
  </si>
  <si>
    <t>API - Xuất báo cáo Excel</t>
  </si>
  <si>
    <t>1. Gửi GET /api/reports/export?type=excel.
2. Kiểm tra header và file.</t>
  </si>
  <si>
    <t>Status 200, Content-Type đúng, file Excel tải được.</t>
  </si>
  <si>
    <t>Phải có chức năng xuất Excel </t>
  </si>
  <si>
    <t>BUG14_BaoCaovaThongKe</t>
  </si>
  <si>
    <t>TC30</t>
  </si>
  <si>
    <t>API - Xuất báo cáo PDF</t>
  </si>
  <si>
    <t>1. Gửi GET /api/reports/export?type=pdf.
2. Kiểm tra header và file.</t>
  </si>
  <si>
    <t>Status 200, Content-Type đúng, file PDF tải được.</t>
  </si>
  <si>
    <t> Phải có chức năng xuất PDF</t>
  </si>
  <si>
    <t>BUG15_BaoCaovaThongKe</t>
  </si>
  <si>
    <t>3. SELENIUM UI TEST CASES - Report &amp; Statistics Page</t>
  </si>
  <si>
    <t>TC31</t>
  </si>
  <si>
    <t>Selenium UI - Mở trang báo cáo thống kê</t>
  </si>
  <si>
    <t>1. Mở Chrome.
2. Đăng nhập tài khoản Nhân viên/Admin.
3. Click menu Báo cáo thống kê.</t>
  </si>
  <si>
    <t>Trang Báo cáo thống kê hiển thị, không lỗi trắng trang.</t>
  </si>
  <si>
    <t>TC32</t>
  </si>
  <si>
    <t>Selenium UI - Hiển thị báo cáo doanh thu theo tháng</t>
  </si>
  <si>
    <t>1. Vào trang Báo cáo.
2. Chọn tháng cần xem.
3. Nhấn nút Xem báo cáo.</t>
  </si>
  <si>
    <t xml:space="preserve"> doanh thu theo tháng hiển thị đúng.</t>
  </si>
  <si>
    <t>TC33</t>
  </si>
  <si>
    <t>Selenium UI - Lọc báo cáo theo ngày hợp lệ</t>
  </si>
  <si>
    <t>1. Nhập FromDate và ToDate hợp lệ.
2. Click nút Lọc.
3. Quan sát dữ liệu.</t>
  </si>
  <si>
    <t>Chỉ hiển thị dữ liệu trong khoảng ngày đã chọn.</t>
  </si>
  <si>
    <t>TC34</t>
  </si>
  <si>
    <t>Selenium UI - Lọc ngày bắt đầu lớn hơn ngày kết thúc</t>
  </si>
  <si>
    <t>1. Nhập FromDate &gt; ToDate.
2. Click Lọc.
3. Kiểm tra thông báo.</t>
  </si>
  <si>
    <t>Hiển thị lỗi ngày bắt đầu không được lớn hơn ngày kết thúc.</t>
  </si>
  <si>
    <t>TC35</t>
  </si>
  <si>
    <t>Selenium UI - Lọc ngày tương lai</t>
  </si>
  <si>
    <t>1. Nhập ToDate sau ngày hiện tại.
2. Click Lọc.</t>
  </si>
  <si>
    <t>Hiển thị thông báo không được chọn ngày sau ngày hiện tại.</t>
  </si>
  <si>
    <t>TC36</t>
  </si>
  <si>
    <t>Selenium UI - Tìm kiếm dữ liệu thống kê</t>
  </si>
  <si>
    <t>1. Nhập keyword sản phẩm vào ô tìm kiếm.
2. Click Search hoặc Enter.</t>
  </si>
  <si>
    <t>Danh sách thống kê chỉ hiển thị kết quả phù hợp keyword.</t>
  </si>
  <si>
    <t>TC37</t>
  </si>
  <si>
    <t>Selenium UI - Tìm kiếm không có kết quả</t>
  </si>
  <si>
    <t>1. Nhập keyword không tồn tại.
2. Nhấn Search.</t>
  </si>
  <si>
    <t>Hiển thị thông báo Không có dữ liệu, không lỗi giao diện.</t>
  </si>
  <si>
    <t>TC38</t>
  </si>
  <si>
    <t>Selenium UI - Xem biểu đồ doanh thu</t>
  </si>
  <si>
    <t>1. Vào trang Báo cáo doanh thu.
2. Quan sát khu vực chart.</t>
  </si>
  <si>
    <t>Biểu đồ hiển thị đầy đủ trục, nhãn, dữ liệu.</t>
  </si>
  <si>
    <t>TC39</t>
  </si>
  <si>
    <t>Selenium UI - Tooltip biểu đồ doanh thu</t>
  </si>
  <si>
    <t>1. Hover chuột vào cột/điểm trên biểu đồ.
2. Quan sát tooltip.</t>
  </si>
  <si>
    <t>Tooltip hiển thị ngày/tháng và doanh thu tương ứng.</t>
  </si>
  <si>
    <t>TC40</t>
  </si>
  <si>
    <t>Selenium UI - Xuất Excel từ giao diện</t>
  </si>
  <si>
    <t>1. Chọn khoảng ngày.
2. Click Export Excel.
3. Kiểm tra file tải về.</t>
  </si>
  <si>
    <t>File Excel được tải về thành công, không lỗi font tiếng Việt.</t>
  </si>
  <si>
    <t>TC41</t>
  </si>
  <si>
    <t>Selenium UI - Xuất PDF từ giao diện</t>
  </si>
  <si>
    <t>1. Chọn khoảng ngày.
2. Click Export PDF.
3. Kiểm tra file tải về.</t>
  </si>
  <si>
    <t>File PDF được tải về thành công, mở được.</t>
  </si>
  <si>
    <t>TC42</t>
  </si>
  <si>
    <t>Selenium UI - Phân trang dữ liệu báo cáo</t>
  </si>
  <si>
    <t>1. Vào trang báo cáo có nhiều dòng.
2. Click trang 2.
3. Click Next/Previous.</t>
  </si>
  <si>
    <t>Phân trang hoạt động đúng, không mất dữ liệu.</t>
  </si>
  <si>
    <t>TC43</t>
  </si>
  <si>
    <t>Selenium UI - Large data loading</t>
  </si>
  <si>
    <t>1. Chọn khoảng ngày 6 tháng hoặc 1 năm.
2. Click Lọc.
3. Chờ dữ liệu tải.</t>
  </si>
  <si>
    <t>Hiển thị loading khi chờ, dữ liệu lớn tải thành công.</t>
  </si>
  <si>
    <t>TC44</t>
  </si>
  <si>
    <t>Selenium UI - Responsive trên màn hình mobile</t>
  </si>
  <si>
    <t>1. Mở DevTools responsive 390x844.
2. Vào trang Báo cáo.
3. Quan sát layout.</t>
  </si>
  <si>
    <t>Giao diện không vỡ, bảng/biểu đồ có thể xem hoặc cuộn ngang hợp lý.</t>
  </si>
  <si>
    <t>TC45</t>
  </si>
  <si>
    <t>Selenium UI - User không đăng nhập truy cập báo cáo</t>
  </si>
  <si>
    <t>1. Logout.
2. Truy cập trực tiếp URL /reports.
3. Quan sát hệ thống.</t>
  </si>
  <si>
    <t>Hệ thống chuyển về trang Login hoặc báo không có quyền.</t>
  </si>
  <si>
    <t>4. PERFORMANCE TEST CASES - Load / Stress / Response Time / Throughput</t>
  </si>
  <si>
    <t>TC46</t>
  </si>
  <si>
    <t>Performance - Load test 50 users xem báo cáo</t>
  </si>
  <si>
    <t>1. Dùng JMeter tạo 50 users.
2. Gọi trang/API báo cáo trong 5 phút.
3. Ghi nhận metrics.</t>
  </si>
  <si>
    <t>Average response time &lt;= 3 giây, error rate &lt; 1%.</t>
  </si>
  <si>
    <t>TC47</t>
  </si>
  <si>
    <t>Performance - Load test 200 users lọc báo cáo</t>
  </si>
  <si>
    <t>1. Tạo 200 users đồng thời.
2. Mỗi user gửi request lọc báo cáo.
3. Theo dõi response.</t>
  </si>
  <si>
    <t>Hệ thống xử lý được tải, không crash, error rate &lt; 1%.</t>
  </si>
  <si>
    <t>TC48</t>
  </si>
  <si>
    <t>Performance - Concurrent 500 users</t>
  </si>
  <si>
    <t>1. Tạo 500 users đồng thời theo SRS.
2. Mỗi user xem báo cáo/thống kê.
3. Theo dõi server.</t>
  </si>
  <si>
    <t>Hệ thống hỗ trợ 500 users đồng thời, response time phù hợp tiêu chí.</t>
  </si>
  <si>
    <t>TC49</t>
  </si>
  <si>
    <t>Performance - Response time API revenue</t>
  </si>
  <si>
    <t>1. Gửi 100 request đến /api/reports/revenue.
2. Đo response time trung bình.</t>
  </si>
  <si>
    <t>Response time trung bình &lt; 3 giây.</t>
  </si>
  <si>
    <t>TC50</t>
  </si>
  <si>
    <t>Performance - Throughput API báo cáo</t>
  </si>
  <si>
    <t>1. Dùng JMeter gửi request liên tục trong 5 phút.
2. Ghi nhận throughput.</t>
  </si>
  <si>
    <t>Throughput ổn định, không giảm bất thường trong quá trình test.</t>
  </si>
  <si>
    <t>TC51</t>
  </si>
  <si>
    <t>Performance - Stress test tăng tải dần</t>
  </si>
  <si>
    <t>1. Ramp-up từ 50 lên 100, 200, 500, 700 users.
2. Theo dõi điểm nghẽn.</t>
  </si>
  <si>
    <t>Xác định được ngưỡng chịu tải, hệ thống không mất dữ liệu.</t>
  </si>
  <si>
    <t>TC52</t>
  </si>
  <si>
    <t>Performance - Export Excel dữ liệu lớn</t>
  </si>
  <si>
    <t>1. Chuẩn bị báo cáo khoảng 10.000 dòng.
2. Click Export Excel.
3. Đo thời gian.</t>
  </si>
  <si>
    <t>File xuất thành công, thời gian trong ngưỡng chấp nhận, không timeout.</t>
  </si>
  <si>
    <t>TC53</t>
  </si>
  <si>
    <t>Performance - Tải biểu đồ dữ liệu 12 tháng</t>
  </si>
  <si>
    <t>1. Chọn xem báo cáo theo năm.
2. Đo thời gian render chart.</t>
  </si>
  <si>
    <t>Biểu đồ render hoàn chỉnh trong &lt;= 3 giây.</t>
  </si>
  <si>
    <t>TC54</t>
  </si>
  <si>
    <t>Performance - Database timeout khi lọc dữ liệu lớn</t>
  </si>
  <si>
    <t>1. Gửi request lọc khoảng thời gian rất dài.
2. Theo dõi response.</t>
  </si>
  <si>
    <t>Nếu quá tải, hệ thống trả thông báo lỗi thân thiện, không treo trang.</t>
  </si>
  <si>
    <t>TC55</t>
  </si>
  <si>
    <t>Performance - Error rate dưới tải thường</t>
  </si>
  <si>
    <t>1. Chạy 100 users trong 10 phút.
2. Tổng hợp số request lỗi.</t>
  </si>
  <si>
    <t>Error rate &lt; 1% theo tiêu chí Test Plan.</t>
  </si>
  <si>
    <t>5. RELIABILITY / ENDURANCE TEST CASES</t>
  </si>
  <si>
    <t>TC56</t>
  </si>
  <si>
    <t>Reliability - Chạy hệ thống liên tục 24 giờ</t>
  </si>
  <si>
    <t>1. Dùng JMeter chạy request báo cáo liên tục 24 giờ.
2. Monitor log, CPU, RAM.</t>
  </si>
  <si>
    <t>Hệ thống hoạt động ổn định, không crash, không lỗi nghiêm trọng.</t>
  </si>
  <si>
    <t>TC57</t>
  </si>
  <si>
    <t>Reliability - Kiểm tra memory leak</t>
  </si>
  <si>
    <t>1. Chạy 50 users liên tục 4 giờ.
2. Ghi nhận RAM mỗi 30 phút.</t>
  </si>
  <si>
    <t>Memory không tăng liên tục bất thường, không có dấu hiệu memory leak.</t>
  </si>
  <si>
    <t>TC58</t>
  </si>
  <si>
    <t>Reliability - Long session testing</t>
  </si>
  <si>
    <t>1. Đăng nhập Admin.
2. Mở trang báo cáo trong 2 giờ.
3. Thao tác lọc lại dữ liệu.</t>
  </si>
  <si>
    <t>Session xử lý đúng: còn hiệu lực hoặc yêu cầu đăng nhập lại rõ ràng.</t>
  </si>
  <si>
    <t>TC59</t>
  </si>
  <si>
    <t>Reliability - Repeated report export 100 lần</t>
  </si>
  <si>
    <t>1. Tự động click Export Excel 100 lần.
2. Kiểm tra số file xuất thành công.</t>
  </si>
  <si>
    <t>100 lần export không làm crash hệ thống, file tải đúng.</t>
  </si>
  <si>
    <t>TC60</t>
  </si>
  <si>
    <t>Reliability - Continuous API requests</t>
  </si>
  <si>
    <t>1. Gửi request /api/reports/revenue liên tục trong 6 giờ.
2. Theo dõi response.</t>
  </si>
  <si>
    <t>API phản hồi ổn định, không tăng lỗi theo thời gian.</t>
  </si>
  <si>
    <t>TC61</t>
  </si>
  <si>
    <t>Reliability - Kết nối database bị gián đoạn</t>
  </si>
  <si>
    <t>1. Giả lập database unavailable.
2. Gọi API báo cáo.
3. Khôi phục database.</t>
  </si>
  <si>
    <t>Hệ thống báo lỗi phù hợp và phục hồi sau khi database hoạt động lại.</t>
  </si>
  <si>
    <t>TC62</t>
  </si>
  <si>
    <t>Reliability - Log file không bị đầy ổ đĩa</t>
  </si>
  <si>
    <t>1. Chạy request báo cáo liên tục 4 giờ.
2. Kiểm tra dung lượng log.</t>
  </si>
  <si>
    <t>Log được ghi hợp lý, không làm đầy ổ đĩa.</t>
  </si>
  <si>
    <t>TC63</t>
  </si>
  <si>
    <t>Reliability - Dữ liệu báo cáo nhất quán sau endurance</t>
  </si>
  <si>
    <t>1. Ghi nhận số liệu doanh thu trước test.
2. Chạy endurance 4 giờ.
3. So sánh lại dữ liệu.</t>
  </si>
  <si>
    <t>Dữ liệu báo cáo không bị sai lệch sau quá trình chạy lâu.</t>
  </si>
  <si>
    <t>6. TEST DATA CASES</t>
  </si>
  <si>
    <t>TC64</t>
  </si>
  <si>
    <t>Test Data - Valid data cho báo cáo doanh thu</t>
  </si>
  <si>
    <t>1. Chuẩn bị đơn hàng đã thanh toán, sản phẩm hợp lệ, ngày hợp lệ.
2. Chạy báo cáo.</t>
  </si>
  <si>
    <t>Báo cáo hiển thị đúng doanh thu, đơn hàng, sản phẩm bán chạy.</t>
  </si>
  <si>
    <t>TC65</t>
  </si>
  <si>
    <t>Test Data - Boundary date range</t>
  </si>
  <si>
    <t>1. Chọn fromDate = toDate.
2. Chạy báo cáo trong 1 ngày.</t>
  </si>
  <si>
    <t>Hệ thống chấp nhận và trả dữ liệu đúng trong 1 ngày.</t>
  </si>
  <si>
    <t>TC66</t>
  </si>
  <si>
    <t>Test Data - Large dataset sample</t>
  </si>
  <si>
    <t>1. Chuẩn bị 10.000 đơn hàng, 1.000 sản phẩm.
2. Chạy thống kê và export.</t>
  </si>
  <si>
    <t>Hệ thống xử lý được dữ liệu lớn, không timeout ở mức demo.</t>
  </si>
  <si>
    <t>7. BUG SCENARIOS</t>
  </si>
  <si>
    <t>TC67</t>
  </si>
  <si>
    <t>Bug Scenario - Sai công thức tính doanh thu</t>
  </si>
  <si>
    <t>1. Tạo đơn hàng có phí ship/giảm giá.
2. Chạy báo cáo doanh thu.
3. So sánh DB.</t>
  </si>
  <si>
    <t>Nếu doanh thu không khớp, ghi bug Report mismatch/Wrong revenue calculation.</t>
  </si>
  <si>
    <t>TC68</t>
  </si>
  <si>
    <t>Bug Scenario - Chart không load</t>
  </si>
  <si>
    <t>1. Chặn API chart hoặc trả data rỗng.
2. Mở trang báo cáo.
3. Quan sát UI.</t>
  </si>
  <si>
    <t>Nếu chart trắng không thông báo, ghi bug Chart not loading.</t>
  </si>
  <si>
    <t>TC69</t>
  </si>
  <si>
    <t>Bug Scenario - Export failed hoặc pagination lỗi</t>
  </si>
  <si>
    <t>1. Chạy export báo cáo và chuyển trang dữ liệu.
2. Kiểm tra file và phân trang.</t>
  </si>
  <si>
    <t>Nếu export lỗi/pagination sai dữ liệu, ghi bug với steps reproduce rõ ràng.</t>
  </si>
  <si>
    <t>8. MANUAL UI TEST CASES - Admin Report &amp; Dashboard</t>
  </si>
  <si>
    <t>TC70</t>
  </si>
  <si>
    <t>Manual UI - Truy cập trang Báo cáo thống kê</t>
  </si>
  <si>
    <t>1. Đăng nhập bằng tài khoản admin.
2. Mở trang /Admin/BaocaoThongKe.
3. Quan sát nội dung trang.</t>
  </si>
  <si>
    <t>Trang hiển thị tiêu đề BÁO CÁO - THỐNG KÊ, bộ lọc Từ ngày/Đến ngày và các khối số liệu tổng quan.</t>
  </si>
  <si>
    <t>TC71</t>
  </si>
  <si>
    <t>Manual UI - Hiển thị tổng đơn hàng</t>
  </si>
  <si>
    <t>1. Vào trang Báo cáo thống kê.
2. Quan sát chỉ số Tổng đơn hàng.</t>
  </si>
  <si>
    <t>Hệ thống hiển thị tổng số đơn hàng rõ ràng, không bị trống hoặc sai định dạng.</t>
  </si>
  <si>
    <t>TC72</t>
  </si>
  <si>
    <t>Manual UI - Hiển thị tổng doanh thu</t>
  </si>
  <si>
    <t>1. Vào trang Báo cáo thống kê.
2. Quan sát chỉ số Tổng doanh thu.</t>
  </si>
  <si>
    <t>Tổng doanh thu hiển thị đúng định dạng tiền tệ VNĐ, ví dụ 101,995,000 VNĐ.</t>
  </si>
  <si>
    <t>TC73</t>
  </si>
  <si>
    <t>Manual UI - Hiển thị thống kê trạng thái đơn hàng</t>
  </si>
  <si>
    <t>1. Vào trang Báo cáo thống kê.
2. Xem phần Chi tiết số lượng đơn.</t>
  </si>
  <si>
    <t>Trang hiển thị các trạng thái đơn như chờ xác nhận, đang giao, đã giao, đã hủy/hoàn với số lượng tương ứng.</t>
  </si>
  <si>
    <t>TC74</t>
  </si>
  <si>
    <t>Manual UI - Hiển thị Top 10 sản phẩm bán chạy</t>
  </si>
  <si>
    <t>1. Vào trang Báo cáo thống kê.
2. Cuộn xuống bảng Top 10 sản phẩm bán chạy.</t>
  </si>
  <si>
    <t>Bảng Top 10 sản phẩm bán chạy hiển thị đủ tên sản phẩm, tổng số lượng bán và tổng doanh thu.</t>
  </si>
  <si>
    <t>TC75</t>
  </si>
  <si>
    <t>Manual UI - Kiểm tra thứ tự Top sản phẩm bán chạy</t>
  </si>
  <si>
    <t>1. Quan sát bảng Top 10 sản phẩm bán chạy.
2. So sánh cột Tổng số lượng bán theo từng dòng.</t>
  </si>
  <si>
    <t>Sản phẩm được sắp xếp giảm dần theo tổng số lượng bán.</t>
  </si>
  <si>
    <t>TC76</t>
  </si>
  <si>
    <t>Manual UI - Bộ lọc ngày trên trang báo cáo</t>
  </si>
  <si>
    <t>1. Vào trang Báo cáo thống kê.
2. Chọn Từ ngày và Đến ngày hợp lệ.
3. Bấm Xem báo cáo.</t>
  </si>
  <si>
    <t>Trang cập nhật số liệu báo cáo theo khoảng ngày đã chọn và không phát sinh lỗi giao diện.</t>
  </si>
  <si>
    <t>TC77</t>
  </si>
  <si>
    <t>Manual UI - Không cho chọn ngày tương lai</t>
  </si>
  <si>
    <t>1. Mở bộ chọn ngày ở trường Từ ngày hoặc Đến ngày.
2. Thử chọn ngày lớn hơn ngày hiện tại.</t>
  </si>
  <si>
    <t>Date picker không cho chọn ngày tương lai hoặc hệ thống chặn thao tác chọn ngày không hợp lệ.</t>
  </si>
  <si>
    <t>TC78</t>
  </si>
  <si>
    <t>Manual UI - Dashboard quản trị hiển thị tồn kho tổng quan</t>
  </si>
  <si>
    <t>1. Vào /Admin/QuanTriAdmin.
2. Quan sát các thẻ Tổng sản phẩm, Sản phẩm còn hàng, Sản phẩm hết hàng.</t>
  </si>
  <si>
    <t>Dashboard hiển thị đầy đủ số lượng tổng sản phẩm, còn hàng và hết hàng.</t>
  </si>
  <si>
    <t>TC79</t>
  </si>
  <si>
    <t>Manual UI - Hiển thị Top 5 sản phẩm điểm cao</t>
  </si>
  <si>
    <t>1. Vào /Admin/QuanTriAdmin.
2. Xem bảng Top 5 Sản Phẩm Điểm Cao.</t>
  </si>
  <si>
    <t>Bảng hiển thị mã SP, tên SP, giá bán, số lượng tồn và điểm TB.</t>
  </si>
  <si>
    <t>TC80</t>
  </si>
  <si>
    <t>Manual UI - Điều hướng từ dashboard sang quản lý sản phẩm</t>
  </si>
  <si>
    <t>1. Vào /Admin/QuanTriAdmin.
2. Bấm nút Quản Lý Sản Phẩm.</t>
  </si>
  <si>
    <t>Hệ thống chuyển đến trang quản lý sản phẩm đúng chức năng, không lỗi 404/500.</t>
  </si>
  <si>
    <t>TEST REPORT</t>
  </si>
  <si>
    <t>version:</t>
  </si>
  <si>
    <t>Note:</t>
  </si>
  <si>
    <t>Date</t>
  </si>
  <si>
    <t>No</t>
  </si>
  <si>
    <t>Module code</t>
  </si>
  <si>
    <t>Number of  test cases</t>
  </si>
  <si>
    <t>CR100 - Reporting &amp; System Reliability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</si>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</sst>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;@"/>
    <numFmt numFmtId="179" formatCode="0.000"/>
  </numFmts>
  <fonts count="41">
    <font>
      <sz val="11"/>
      <name val="ＭＳ Ｐゴシック"/>
      <charset val="134"/>
    </font>
    <font>
      <b/>
      <sz val="18"/>
      <name val="Tahoma"/>
      <charset val="134"/>
    </font>
    <font>
      <b/>
      <sz val="10"/>
      <name val="Tahoma"/>
      <charset val="134"/>
    </font>
    <font>
      <sz val="10"/>
      <name val="Tahoma"/>
      <charset val="134"/>
    </font>
    <font>
      <b/>
      <sz val="10"/>
      <color indexed="9"/>
      <name val="Tahoma"/>
      <charset val="134"/>
    </font>
    <font>
      <sz val="10"/>
      <name val="ＭＳ Ｐゴシック"/>
      <charset val="134"/>
    </font>
    <font>
      <sz val="10"/>
      <color indexed="9"/>
      <name val="Tahoma"/>
      <charset val="134"/>
    </font>
    <font>
      <b/>
      <sz val="10"/>
      <color indexed="12"/>
      <name val="Tahoma"/>
      <charset val="134"/>
    </font>
    <font>
      <sz val="10"/>
      <color indexed="8"/>
      <name val="Tahoma"/>
      <charset val="134"/>
    </font>
    <font>
      <sz val="13"/>
      <color indexed="8"/>
      <name val="Times New Roman"/>
      <charset val="134"/>
    </font>
    <font>
      <sz val="13"/>
      <name val="Times New Roman"/>
      <charset val="134"/>
    </font>
    <font>
      <b/>
      <sz val="13"/>
      <name val="Times New Roman"/>
      <charset val="134"/>
    </font>
    <font>
      <sz val="13"/>
      <color rgb="FF000000"/>
      <name val="Times New Roman"/>
      <charset val="134"/>
    </font>
    <font>
      <b/>
      <sz val="13"/>
      <color rgb="FFFFFFFF"/>
      <name val="Times New Roman"/>
      <charset val="134"/>
    </font>
    <font>
      <b/>
      <sz val="13"/>
      <color theme="0"/>
      <name val="Times New Roman"/>
      <charset val="134"/>
    </font>
    <font>
      <b/>
      <sz val="13"/>
      <color rgb="FF1F4E78"/>
      <name val="Times New Roman"/>
      <charset val="134"/>
    </font>
    <font>
      <b/>
      <sz val="13"/>
      <color indexed="8"/>
      <name val="Times New Roman"/>
      <charset val="134"/>
    </font>
    <font>
      <sz val="13"/>
      <color rgb="FF212121"/>
      <name val="Times New Roman"/>
      <charset val="134"/>
    </font>
    <font>
      <sz val="13"/>
      <color theme="1"/>
      <name val="Times New Roman"/>
      <charset val="134"/>
    </font>
    <font>
      <sz val="13"/>
      <color indexed="10"/>
      <name val="Times New Roman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9"/>
      <name val="ＭＳ ゴシック"/>
      <charset val="134"/>
    </font>
    <font>
      <b/>
      <sz val="13"/>
      <name val="SimSun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20" fillId="0" borderId="0">
      <alignment vertical="center"/>
    </xf>
    <xf numFmtId="44" fontId="20" fillId="0" borderId="0">
      <alignment vertical="center"/>
    </xf>
    <xf numFmtId="9" fontId="20" fillId="0" borderId="0">
      <alignment vertical="center"/>
    </xf>
    <xf numFmtId="177" fontId="20" fillId="0" borderId="0">
      <alignment vertical="center"/>
    </xf>
    <xf numFmtId="42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0" fillId="11" borderId="28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29">
      <alignment vertical="center"/>
    </xf>
    <xf numFmtId="0" fontId="27" fillId="0" borderId="29">
      <alignment vertical="center"/>
    </xf>
    <xf numFmtId="0" fontId="28" fillId="0" borderId="30">
      <alignment vertical="center"/>
    </xf>
    <xf numFmtId="0" fontId="28" fillId="0" borderId="0">
      <alignment vertical="center"/>
    </xf>
    <xf numFmtId="0" fontId="29" fillId="12" borderId="31">
      <alignment vertical="center"/>
    </xf>
    <xf numFmtId="0" fontId="30" fillId="13" borderId="32">
      <alignment vertical="center"/>
    </xf>
    <xf numFmtId="0" fontId="31" fillId="13" borderId="31">
      <alignment vertical="center"/>
    </xf>
    <xf numFmtId="0" fontId="32" fillId="14" borderId="33">
      <alignment vertical="center"/>
    </xf>
    <xf numFmtId="0" fontId="33" fillId="0" borderId="34">
      <alignment vertical="center"/>
    </xf>
    <xf numFmtId="0" fontId="34" fillId="0" borderId="35">
      <alignment vertical="center"/>
    </xf>
    <xf numFmtId="0" fontId="35" fillId="15" borderId="0">
      <alignment vertical="center"/>
    </xf>
    <xf numFmtId="0" fontId="36" fillId="16" borderId="0">
      <alignment vertical="center"/>
    </xf>
    <xf numFmtId="0" fontId="37" fillId="17" borderId="0">
      <alignment vertical="center"/>
    </xf>
    <xf numFmtId="0" fontId="38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38" fillId="21" borderId="0">
      <alignment vertical="center"/>
    </xf>
    <xf numFmtId="0" fontId="38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38" fillId="25" borderId="0">
      <alignment vertical="center"/>
    </xf>
    <xf numFmtId="0" fontId="38" fillId="7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38" fillId="28" borderId="0">
      <alignment vertical="center"/>
    </xf>
    <xf numFmtId="0" fontId="38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38" fillId="32" borderId="0">
      <alignment vertical="center"/>
    </xf>
    <xf numFmtId="0" fontId="38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38" fillId="36" borderId="0">
      <alignment vertical="center"/>
    </xf>
    <xf numFmtId="0" fontId="38" fillId="37" borderId="0">
      <alignment vertical="center"/>
    </xf>
    <xf numFmtId="0" fontId="20" fillId="38" borderId="0">
      <alignment vertical="center"/>
    </xf>
    <xf numFmtId="0" fontId="20" fillId="39" borderId="0">
      <alignment vertical="center"/>
    </xf>
    <xf numFmtId="0" fontId="38" fillId="40" borderId="0">
      <alignment vertical="center"/>
    </xf>
    <xf numFmtId="0" fontId="0" fillId="0" borderId="0"/>
    <xf numFmtId="0" fontId="0" fillId="0" borderId="0"/>
    <xf numFmtId="0" fontId="39" fillId="0" borderId="0"/>
  </cellStyleXfs>
  <cellXfs count="106">
    <xf numFmtId="0" fontId="0" fillId="0" borderId="0" xfId="0"/>
    <xf numFmtId="0" fontId="0" fillId="0" borderId="0" xfId="0" applyAlignment="1">
      <alignment wrapText="1"/>
    </xf>
    <xf numFmtId="0" fontId="1" fillId="0" borderId="0" xfId="49" applyFont="1"/>
    <xf numFmtId="0" fontId="2" fillId="0" borderId="0" xfId="49" applyFont="1"/>
    <xf numFmtId="0" fontId="3" fillId="0" borderId="0" xfId="49" applyFont="1"/>
    <xf numFmtId="178" fontId="3" fillId="0" borderId="0" xfId="49" applyNumberFormat="1" applyFont="1"/>
    <xf numFmtId="0" fontId="3" fillId="0" borderId="0" xfId="0" applyFont="1"/>
    <xf numFmtId="178" fontId="3" fillId="0" borderId="1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5" xfId="0" applyFont="1" applyBorder="1"/>
    <xf numFmtId="0" fontId="5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4" fillId="2" borderId="8" xfId="0" applyFont="1" applyFill="1" applyBorder="1"/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right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/>
    <xf numFmtId="0" fontId="9" fillId="0" borderId="0" xfId="0" applyFont="1" applyAlignment="1">
      <alignment vertical="center" wrapText="1"/>
    </xf>
    <xf numFmtId="0" fontId="10" fillId="0" borderId="0" xfId="0" applyFont="1" applyAlignment="1"/>
    <xf numFmtId="0" fontId="9" fillId="0" borderId="0" xfId="0" applyFont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2" fontId="10" fillId="0" borderId="0" xfId="0" applyNumberFormat="1" applyFont="1" applyAlignment="1"/>
    <xf numFmtId="0" fontId="10" fillId="0" borderId="10" xfId="0" applyFont="1" applyBorder="1" applyAlignment="1"/>
    <xf numFmtId="0" fontId="11" fillId="3" borderId="0" xfId="50" applyFont="1" applyFill="1" applyAlignment="1"/>
    <xf numFmtId="0" fontId="9" fillId="3" borderId="12" xfId="0" applyFont="1" applyFill="1" applyBorder="1" applyAlignment="1">
      <alignment wrapText="1"/>
    </xf>
    <xf numFmtId="0" fontId="9" fillId="3" borderId="0" xfId="0" applyFont="1" applyFill="1" applyAlignment="1">
      <alignment wrapText="1"/>
    </xf>
    <xf numFmtId="0" fontId="9" fillId="3" borderId="0" xfId="0" applyFont="1" applyFill="1" applyAlignment="1"/>
    <xf numFmtId="0" fontId="10" fillId="0" borderId="12" xfId="0" applyFont="1" applyBorder="1" applyAlignment="1"/>
    <xf numFmtId="0" fontId="11" fillId="3" borderId="13" xfId="50" applyFont="1" applyFill="1" applyBorder="1" applyAlignment="1">
      <alignment wrapText="1"/>
    </xf>
    <xf numFmtId="0" fontId="10" fillId="3" borderId="14" xfId="50" applyFont="1" applyFill="1" applyBorder="1" applyAlignment="1">
      <alignment wrapText="1"/>
    </xf>
    <xf numFmtId="0" fontId="10" fillId="0" borderId="15" xfId="0" applyFont="1" applyBorder="1" applyAlignment="1"/>
    <xf numFmtId="0" fontId="10" fillId="0" borderId="16" xfId="0" applyFont="1" applyBorder="1" applyAlignment="1"/>
    <xf numFmtId="0" fontId="10" fillId="3" borderId="0" xfId="50" applyFont="1" applyFill="1" applyAlignment="1">
      <alignment wrapText="1"/>
    </xf>
    <xf numFmtId="0" fontId="11" fillId="3" borderId="17" xfId="50" applyFont="1" applyFill="1" applyBorder="1" applyAlignment="1">
      <alignment vertical="center" wrapText="1"/>
    </xf>
    <xf numFmtId="0" fontId="10" fillId="3" borderId="18" xfId="50" applyFont="1" applyFill="1" applyBorder="1" applyAlignment="1">
      <alignment vertical="top" wrapText="1"/>
    </xf>
    <xf numFmtId="0" fontId="10" fillId="0" borderId="19" xfId="0" applyFont="1" applyBorder="1" applyAlignment="1"/>
    <xf numFmtId="0" fontId="10" fillId="0" borderId="20" xfId="0" applyFont="1" applyBorder="1" applyAlignment="1"/>
    <xf numFmtId="0" fontId="10" fillId="3" borderId="18" xfId="50" applyFont="1" applyFill="1" applyBorder="1" applyAlignment="1">
      <alignment vertical="center" wrapText="1"/>
    </xf>
    <xf numFmtId="0" fontId="10" fillId="3" borderId="0" xfId="5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9" fillId="3" borderId="17" xfId="0" applyFont="1" applyFill="1" applyBorder="1" applyAlignment="1"/>
    <xf numFmtId="0" fontId="9" fillId="3" borderId="10" xfId="0" applyFont="1" applyFill="1" applyBorder="1" applyAlignment="1">
      <alignment wrapText="1"/>
    </xf>
    <xf numFmtId="0" fontId="9" fillId="3" borderId="21" xfId="0" applyFont="1" applyFill="1" applyBorder="1" applyAlignment="1">
      <alignment wrapText="1"/>
    </xf>
    <xf numFmtId="0" fontId="12" fillId="3" borderId="0" xfId="0" applyFont="1" applyFill="1" applyAlignment="1">
      <alignment wrapText="1"/>
    </xf>
    <xf numFmtId="0" fontId="9" fillId="3" borderId="22" xfId="0" applyFont="1" applyFill="1" applyBorder="1" applyAlignment="1"/>
    <xf numFmtId="0" fontId="9" fillId="3" borderId="23" xfId="0" applyFont="1" applyFill="1" applyBorder="1" applyAlignment="1">
      <alignment wrapText="1"/>
    </xf>
    <xf numFmtId="0" fontId="9" fillId="0" borderId="24" xfId="0" applyFont="1" applyBorder="1" applyAlignment="1"/>
    <xf numFmtId="1" fontId="9" fillId="3" borderId="10" xfId="0" applyNumberFormat="1" applyFont="1" applyFill="1" applyBorder="1" applyAlignment="1">
      <alignment wrapText="1"/>
    </xf>
    <xf numFmtId="1" fontId="9" fillId="3" borderId="0" xfId="0" applyNumberFormat="1" applyFont="1" applyFill="1" applyBorder="1" applyAlignment="1">
      <alignment wrapText="1"/>
    </xf>
    <xf numFmtId="1" fontId="9" fillId="3" borderId="0" xfId="0" applyNumberFormat="1" applyFont="1" applyFill="1" applyAlignment="1">
      <alignment wrapText="1"/>
    </xf>
    <xf numFmtId="0" fontId="9" fillId="3" borderId="25" xfId="0" applyFont="1" applyFill="1" applyBorder="1" applyAlignment="1"/>
    <xf numFmtId="0" fontId="10" fillId="0" borderId="25" xfId="0" applyFont="1" applyBorder="1" applyAlignment="1"/>
    <xf numFmtId="0" fontId="10" fillId="0" borderId="0" xfId="0" applyFont="1" applyBorder="1" applyAlignment="1"/>
    <xf numFmtId="0" fontId="9" fillId="3" borderId="0" xfId="0" applyFont="1" applyFill="1" applyBorder="1" applyAlignment="1">
      <alignment wrapText="1"/>
    </xf>
    <xf numFmtId="0" fontId="13" fillId="4" borderId="10" xfId="0" applyNumberFormat="1" applyFont="1" applyFill="1" applyBorder="1" applyAlignment="1">
      <alignment vertical="center" wrapText="1"/>
    </xf>
    <xf numFmtId="0" fontId="13" fillId="5" borderId="10" xfId="0" applyNumberFormat="1" applyFont="1" applyFill="1" applyBorder="1" applyAlignment="1">
      <alignment vertical="center" wrapText="1"/>
    </xf>
    <xf numFmtId="0" fontId="14" fillId="5" borderId="10" xfId="0" applyFont="1" applyFill="1" applyBorder="1" applyAlignment="1">
      <alignment horizontal="center"/>
    </xf>
    <xf numFmtId="0" fontId="10" fillId="5" borderId="10" xfId="0" applyFont="1" applyFill="1" applyBorder="1" applyAlignment="1"/>
    <xf numFmtId="0" fontId="15" fillId="6" borderId="10" xfId="0" applyNumberFormat="1" applyFont="1" applyFill="1" applyBorder="1" applyAlignment="1">
      <alignment horizontal="center" vertical="top" wrapText="1"/>
    </xf>
    <xf numFmtId="0" fontId="11" fillId="0" borderId="10" xfId="0" applyNumberFormat="1" applyFont="1" applyFill="1" applyBorder="1" applyAlignment="1">
      <alignment vertical="top" wrapText="1"/>
    </xf>
    <xf numFmtId="0" fontId="10" fillId="0" borderId="10" xfId="0" applyNumberFormat="1" applyFont="1" applyFill="1" applyBorder="1" applyAlignment="1">
      <alignment vertical="top" wrapText="1"/>
    </xf>
    <xf numFmtId="58" fontId="10" fillId="0" borderId="10" xfId="0" applyNumberFormat="1" applyFont="1" applyFill="1" applyBorder="1" applyAlignment="1">
      <alignment vertical="top" wrapText="1"/>
    </xf>
    <xf numFmtId="0" fontId="10" fillId="7" borderId="10" xfId="0" applyNumberFormat="1" applyFont="1" applyFill="1" applyBorder="1" applyAlignment="1">
      <alignment vertical="top" wrapText="1"/>
    </xf>
    <xf numFmtId="179" fontId="11" fillId="0" borderId="10" xfId="0" applyNumberFormat="1" applyFont="1" applyFill="1" applyBorder="1" applyAlignment="1">
      <alignment vertical="top" wrapText="1"/>
    </xf>
    <xf numFmtId="0" fontId="9" fillId="0" borderId="10" xfId="0" applyNumberFormat="1" applyFont="1" applyFill="1" applyBorder="1" applyAlignment="1">
      <alignment vertical="top" wrapText="1"/>
    </xf>
    <xf numFmtId="0" fontId="9" fillId="7" borderId="10" xfId="0" applyNumberFormat="1" applyFont="1" applyFill="1" applyBorder="1" applyAlignment="1">
      <alignment vertical="top" wrapText="1"/>
    </xf>
    <xf numFmtId="0" fontId="9" fillId="0" borderId="26" xfId="0" applyFont="1" applyBorder="1" applyAlignment="1">
      <alignment vertical="top"/>
    </xf>
    <xf numFmtId="0" fontId="9" fillId="0" borderId="27" xfId="0" applyFont="1" applyBorder="1" applyAlignment="1">
      <alignment vertical="top"/>
    </xf>
    <xf numFmtId="179" fontId="15" fillId="6" borderId="10" xfId="0" applyNumberFormat="1" applyFont="1" applyFill="1" applyBorder="1" applyAlignment="1">
      <alignment horizontal="center" vertical="top" wrapText="1"/>
    </xf>
    <xf numFmtId="0" fontId="9" fillId="8" borderId="10" xfId="0" applyNumberFormat="1" applyFont="1" applyFill="1" applyBorder="1" applyAlignment="1">
      <alignment vertical="top" wrapText="1"/>
    </xf>
    <xf numFmtId="0" fontId="10" fillId="8" borderId="10" xfId="0" applyNumberFormat="1" applyFont="1" applyFill="1" applyBorder="1" applyAlignment="1">
      <alignment vertical="top" wrapText="1"/>
    </xf>
    <xf numFmtId="2" fontId="10" fillId="0" borderId="10" xfId="0" applyNumberFormat="1" applyFont="1" applyFill="1" applyBorder="1" applyAlignment="1">
      <alignment vertical="top" wrapText="1"/>
    </xf>
    <xf numFmtId="0" fontId="16" fillId="8" borderId="10" xfId="0" applyNumberFormat="1" applyFont="1" applyFill="1" applyBorder="1" applyAlignment="1">
      <alignment vertical="top" wrapText="1"/>
    </xf>
    <xf numFmtId="0" fontId="16" fillId="9" borderId="10" xfId="0" applyNumberFormat="1" applyFont="1" applyFill="1" applyBorder="1" applyAlignment="1">
      <alignment vertical="top" wrapText="1"/>
    </xf>
    <xf numFmtId="0" fontId="17" fillId="0" borderId="10" xfId="0" applyFont="1" applyBorder="1" applyAlignment="1"/>
    <xf numFmtId="0" fontId="16" fillId="0" borderId="10" xfId="0" applyNumberFormat="1" applyFont="1" applyFill="1" applyBorder="1" applyAlignment="1">
      <alignment vertical="top" wrapText="1"/>
    </xf>
    <xf numFmtId="0" fontId="18" fillId="0" borderId="10" xfId="0" applyFont="1" applyBorder="1" applyAlignment="1"/>
    <xf numFmtId="2" fontId="19" fillId="0" borderId="10" xfId="0" applyNumberFormat="1" applyFont="1" applyFill="1" applyBorder="1" applyAlignment="1">
      <alignment vertical="top" wrapText="1"/>
    </xf>
    <xf numFmtId="0" fontId="19" fillId="0" borderId="10" xfId="0" applyNumberFormat="1" applyFont="1" applyFill="1" applyBorder="1" applyAlignment="1">
      <alignment vertical="top" wrapText="1"/>
    </xf>
    <xf numFmtId="2" fontId="10" fillId="7" borderId="10" xfId="0" applyNumberFormat="1" applyFont="1" applyFill="1" applyBorder="1" applyAlignment="1">
      <alignment vertical="top" wrapText="1"/>
    </xf>
    <xf numFmtId="2" fontId="10" fillId="0" borderId="10" xfId="0" applyNumberFormat="1" applyFont="1" applyBorder="1" applyAlignment="1"/>
    <xf numFmtId="2" fontId="10" fillId="8" borderId="10" xfId="0" applyNumberFormat="1" applyFont="1" applyFill="1" applyBorder="1" applyAlignment="1">
      <alignment vertical="top" wrapText="1"/>
    </xf>
    <xf numFmtId="2" fontId="10" fillId="0" borderId="10" xfId="0" applyNumberFormat="1" applyFont="1" applyBorder="1" applyAlignment="1">
      <alignment vertical="top"/>
    </xf>
    <xf numFmtId="2" fontId="10" fillId="0" borderId="0" xfId="0" applyNumberFormat="1" applyFont="1" applyAlignment="1">
      <alignment vertical="top"/>
    </xf>
    <xf numFmtId="0" fontId="11" fillId="0" borderId="10" xfId="0" applyNumberFormat="1" applyFont="1" applyFill="1" applyBorder="1" applyAlignment="1">
      <alignment vertical="center" wrapText="1"/>
    </xf>
    <xf numFmtId="0" fontId="10" fillId="0" borderId="10" xfId="0" applyNumberFormat="1" applyFont="1" applyFill="1" applyBorder="1" applyAlignment="1">
      <alignment vertical="top"/>
    </xf>
    <xf numFmtId="0" fontId="11" fillId="10" borderId="10" xfId="0" applyNumberFormat="1" applyFont="1" applyFill="1" applyBorder="1" applyAlignment="1">
      <alignment horizontal="center" vertical="center" wrapText="1"/>
    </xf>
    <xf numFmtId="0" fontId="10" fillId="10" borderId="10" xfId="0" applyNumberFormat="1" applyFont="1" applyFill="1" applyBorder="1" applyAlignment="1">
      <alignment vertical="center" wrapText="1"/>
    </xf>
    <xf numFmtId="0" fontId="10" fillId="0" borderId="10" xfId="0" applyNumberFormat="1" applyFont="1" applyFill="1" applyBorder="1" applyAlignment="1">
      <alignment wrapText="1"/>
    </xf>
    <xf numFmtId="58" fontId="10" fillId="0" borderId="10" xfId="0" applyNumberFormat="1" applyFont="1" applyFill="1" applyBorder="1" applyAlignment="1">
      <alignment vertical="center" wrapText="1"/>
    </xf>
    <xf numFmtId="0" fontId="10" fillId="0" borderId="11" xfId="0" applyFont="1" applyBorder="1" applyAlignme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Functional Test Case v1.0" xfId="49"/>
    <cellStyle name="Normal_Sheet1_Vanco_CR022a1_TestCase_v0.1" xfId="50"/>
    <cellStyle name="標準_結合試験(AllOvertheWorld)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C282"/>
  <sheetViews>
    <sheetView tabSelected="1" zoomScale="56" zoomScaleNormal="56" workbookViewId="0">
      <selection activeCell="I1" sqref="I$1:I$1048576"/>
    </sheetView>
  </sheetViews>
  <sheetFormatPr defaultColWidth="9" defaultRowHeight="16.8"/>
  <cols>
    <col min="1" max="1" width="13" style="32" customWidth="1"/>
    <col min="2" max="2" width="38" style="32" customWidth="1"/>
    <col min="3" max="4" width="55" style="32" customWidth="1"/>
    <col min="5" max="5" width="9" style="32"/>
    <col min="6" max="6" width="23.6296296296296" style="32" customWidth="1"/>
    <col min="7" max="7" width="18.5" style="32" hidden="1" customWidth="1"/>
    <col min="8" max="8" width="16" style="32" customWidth="1"/>
    <col min="9" max="9" width="14" style="37" customWidth="1"/>
    <col min="10" max="10" width="101.425925925926" style="37" customWidth="1"/>
    <col min="11" max="11" width="20.6296296296296" style="32" customWidth="1"/>
    <col min="12" max="16384" width="9" style="32"/>
  </cols>
  <sheetData>
    <row r="1" s="30" customFormat="1" ht="12.75" customHeight="1" spans="1:1024 1025:1771">
      <c r="A1" s="38" t="s">
        <v>0</v>
      </c>
      <c r="B1" s="39"/>
      <c r="E1" s="40"/>
      <c r="F1" s="40"/>
      <c r="G1" s="40"/>
      <c r="H1" s="40"/>
      <c r="I1" s="40"/>
      <c r="J1" s="40"/>
      <c r="K1" s="41"/>
    </row>
    <row r="2" s="30" customFormat="1" ht="11.25" customHeight="1" spans="1:1024 1025:1771">
      <c r="A2" s="41"/>
      <c r="B2" s="42"/>
      <c r="C2" s="42"/>
      <c r="D2" s="42"/>
      <c r="E2" s="40"/>
      <c r="F2" s="40"/>
      <c r="G2" s="40"/>
      <c r="H2" s="40"/>
      <c r="I2" s="40"/>
      <c r="J2" s="40"/>
      <c r="K2" s="41"/>
    </row>
    <row r="3" s="30" customFormat="1" ht="15" customHeight="1" spans="1:1024 1025:1771">
      <c r="A3" s="43" t="s">
        <v>1</v>
      </c>
      <c r="B3" s="44" t="s">
        <v>2</v>
      </c>
      <c r="C3" s="45"/>
      <c r="D3" s="46"/>
      <c r="E3" s="47"/>
      <c r="F3" s="47"/>
      <c r="G3" s="47"/>
      <c r="H3" s="40"/>
      <c r="K3" s="41"/>
    </row>
    <row r="4" s="30" customFormat="1" ht="33.6" spans="1:1024 1025:1771">
      <c r="A4" s="48" t="s">
        <v>3</v>
      </c>
      <c r="B4" s="49" t="s">
        <v>4</v>
      </c>
      <c r="C4" s="50"/>
      <c r="D4" s="51"/>
      <c r="E4" s="47"/>
      <c r="F4" s="47"/>
      <c r="G4" s="47"/>
      <c r="H4" s="40"/>
      <c r="K4" s="41"/>
    </row>
    <row r="5" s="31" customFormat="1" ht="26.4" customHeight="1" spans="1:1024 1025:1771">
      <c r="A5" s="48" t="s">
        <v>5</v>
      </c>
      <c r="B5" s="52" t="s">
        <v>6</v>
      </c>
      <c r="C5" s="50"/>
      <c r="D5" s="51"/>
      <c r="E5" s="53"/>
      <c r="F5" s="53"/>
      <c r="G5" s="53"/>
      <c r="H5" s="54"/>
      <c r="K5" s="54"/>
    </row>
    <row r="6" s="30" customFormat="1" ht="15" customHeight="1" spans="1:1024 1025:1771">
      <c r="A6" s="55" t="s">
        <v>7</v>
      </c>
      <c r="B6" s="56">
        <f>COUNTIF(I12:I98,"Pass")</f>
        <v>43</v>
      </c>
      <c r="C6" s="56" t="s">
        <v>8</v>
      </c>
      <c r="D6" s="57">
        <f>COUNTIF(I12:I86,"Pending")</f>
        <v>0</v>
      </c>
      <c r="E6" s="40"/>
      <c r="F6" s="40"/>
      <c r="G6" s="40"/>
      <c r="H6" s="58" t="s">
        <v>9</v>
      </c>
      <c r="K6" s="41"/>
    </row>
    <row r="7" s="30" customFormat="1" ht="15" customHeight="1" spans="1:1024 1025:1771">
      <c r="A7" s="59" t="s">
        <v>10</v>
      </c>
      <c r="B7" s="60">
        <f>COUNTIF(I12:I98,"Fail")</f>
        <v>37</v>
      </c>
      <c r="C7" s="61" t="s">
        <v>11</v>
      </c>
      <c r="D7" s="62">
        <f>COUNTIF(A12:A98,"*TC*")</f>
        <v>80</v>
      </c>
      <c r="E7" s="63"/>
      <c r="F7" s="64"/>
      <c r="G7" s="64"/>
      <c r="H7" s="40"/>
      <c r="K7" s="41"/>
    </row>
    <row r="8" s="30" customFormat="1" ht="15" customHeight="1" spans="1:1024 1025:1771">
      <c r="A8" s="65"/>
      <c r="B8" s="66"/>
      <c r="C8" s="66"/>
      <c r="D8" s="67"/>
      <c r="E8" s="40"/>
      <c r="F8" s="40"/>
      <c r="G8" s="40"/>
      <c r="H8" s="40"/>
      <c r="I8" s="68"/>
      <c r="J8" s="68"/>
      <c r="K8" s="41"/>
    </row>
    <row r="9" s="30" customFormat="1" ht="30" customHeight="1" spans="1:1024 1025:1771">
      <c r="A9" s="69" t="s">
        <v>12</v>
      </c>
      <c r="B9" s="69" t="s">
        <v>13</v>
      </c>
      <c r="C9" s="69" t="s">
        <v>14</v>
      </c>
      <c r="D9" s="69" t="s">
        <v>15</v>
      </c>
      <c r="E9" s="69"/>
      <c r="F9" s="69"/>
      <c r="G9" s="69"/>
      <c r="H9" s="69" t="s">
        <v>16</v>
      </c>
      <c r="I9" s="69" t="s">
        <v>17</v>
      </c>
      <c r="J9" s="70" t="s">
        <v>18</v>
      </c>
      <c r="K9" s="71" t="s">
        <v>19</v>
      </c>
    </row>
    <row r="10" s="30" customFormat="1" ht="12" customHeight="1" spans="1:1024 1025:1771">
      <c r="A10" s="37"/>
      <c r="B10" s="37"/>
      <c r="C10" s="37"/>
      <c r="D10" s="37"/>
      <c r="E10" s="37"/>
      <c r="F10" s="37"/>
      <c r="G10" s="37"/>
      <c r="H10" s="37"/>
      <c r="I10" s="37"/>
      <c r="J10" s="72"/>
      <c r="K10" s="71"/>
    </row>
    <row r="11" s="32" customFormat="1" ht="24" customHeight="1" spans="1:1024 1025:1771">
      <c r="A11" s="73" t="s">
        <v>20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</row>
    <row r="12" s="33" customFormat="1" ht="60" customHeight="1" spans="1:1024 1025:1771">
      <c r="A12" s="74" t="s">
        <v>21</v>
      </c>
      <c r="B12" s="75" t="s">
        <v>22</v>
      </c>
      <c r="C12" s="75" t="s">
        <v>23</v>
      </c>
      <c r="D12" s="75" t="s">
        <v>24</v>
      </c>
      <c r="E12" s="75"/>
      <c r="F12" s="75"/>
      <c r="G12" s="75"/>
      <c r="H12" s="76">
        <f ca="1">TODAY()</f>
        <v>46175</v>
      </c>
      <c r="I12" s="77" t="s">
        <v>7</v>
      </c>
      <c r="J12" s="75"/>
      <c r="K12" s="34"/>
    </row>
    <row r="13" s="33" customFormat="1" ht="60" customHeight="1" spans="1:1024 1025:1771">
      <c r="A13" s="78" t="s">
        <v>25</v>
      </c>
      <c r="B13" s="75" t="s">
        <v>26</v>
      </c>
      <c r="C13" s="75" t="s">
        <v>27</v>
      </c>
      <c r="D13" s="75" t="s">
        <v>28</v>
      </c>
      <c r="E13" s="75"/>
      <c r="F13" s="75"/>
      <c r="G13" s="79"/>
      <c r="H13" s="76">
        <f ca="1" t="shared" ref="H13:H26" si="0">TODAY()</f>
        <v>46175</v>
      </c>
      <c r="I13" s="80" t="s">
        <v>7</v>
      </c>
      <c r="J13" s="79"/>
      <c r="K13" s="34"/>
    </row>
    <row r="14" s="33" customFormat="1" ht="60" customHeight="1" spans="1:1024 1025:1771">
      <c r="A14" s="78" t="s">
        <v>29</v>
      </c>
      <c r="B14" s="75" t="s">
        <v>30</v>
      </c>
      <c r="C14" s="75" t="s">
        <v>31</v>
      </c>
      <c r="D14" s="75" t="s">
        <v>32</v>
      </c>
      <c r="E14" s="75"/>
      <c r="F14" s="75"/>
      <c r="G14" s="79"/>
      <c r="H14" s="76">
        <f ca="1" t="shared" si="0"/>
        <v>46175</v>
      </c>
      <c r="I14" s="80" t="s">
        <v>7</v>
      </c>
      <c r="J14" s="79"/>
      <c r="K14" s="34"/>
    </row>
    <row r="15" s="33" customFormat="1" ht="60" customHeight="1" spans="1:1024 1025:1771">
      <c r="A15" s="74" t="s">
        <v>33</v>
      </c>
      <c r="B15" s="75" t="s">
        <v>34</v>
      </c>
      <c r="C15" s="75" t="s">
        <v>35</v>
      </c>
      <c r="D15" s="75" t="s">
        <v>36</v>
      </c>
      <c r="E15" s="75"/>
      <c r="F15" s="75"/>
      <c r="G15" s="75"/>
      <c r="H15" s="76">
        <f ca="1" t="shared" si="0"/>
        <v>46175</v>
      </c>
      <c r="I15" s="77" t="s">
        <v>7</v>
      </c>
      <c r="J15" s="75"/>
      <c r="K15" s="34"/>
    </row>
    <row r="16" s="34" customFormat="1" ht="60" customHeight="1" spans="1:1024 1025:1771">
      <c r="A16" s="78" t="s">
        <v>37</v>
      </c>
      <c r="B16" s="75" t="s">
        <v>38</v>
      </c>
      <c r="C16" s="75" t="s">
        <v>39</v>
      </c>
      <c r="D16" s="75" t="s">
        <v>40</v>
      </c>
      <c r="E16" s="75"/>
      <c r="F16" s="75"/>
      <c r="G16" s="79"/>
      <c r="H16" s="76">
        <f ca="1" t="shared" si="0"/>
        <v>46175</v>
      </c>
      <c r="I16" s="80" t="s">
        <v>7</v>
      </c>
      <c r="J16" s="79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  <c r="AML16" s="33"/>
      <c r="AMM16" s="33"/>
      <c r="AMN16" s="33"/>
      <c r="AMO16" s="33"/>
      <c r="AMP16" s="33"/>
      <c r="AMQ16" s="33"/>
      <c r="AMR16" s="33"/>
      <c r="AMS16" s="33"/>
      <c r="AMT16" s="33"/>
      <c r="AMU16" s="33"/>
      <c r="AMV16" s="33"/>
      <c r="AMW16" s="33"/>
      <c r="AMX16" s="33"/>
      <c r="AMY16" s="33"/>
      <c r="AMZ16" s="33"/>
      <c r="ANA16" s="33"/>
      <c r="ANB16" s="33"/>
      <c r="ANC16" s="33"/>
      <c r="AND16" s="33"/>
      <c r="ANE16" s="33"/>
      <c r="ANF16" s="33"/>
      <c r="ANG16" s="33"/>
      <c r="ANH16" s="33"/>
      <c r="ANI16" s="33"/>
      <c r="ANJ16" s="33"/>
      <c r="ANK16" s="33"/>
      <c r="ANL16" s="33"/>
      <c r="ANM16" s="33"/>
      <c r="ANN16" s="33"/>
      <c r="ANO16" s="33"/>
      <c r="ANP16" s="33"/>
      <c r="ANQ16" s="33"/>
      <c r="ANR16" s="33"/>
      <c r="ANS16" s="33"/>
      <c r="ANT16" s="33"/>
      <c r="ANU16" s="33"/>
      <c r="ANV16" s="33"/>
      <c r="ANW16" s="33"/>
      <c r="ANX16" s="33"/>
      <c r="ANY16" s="33"/>
      <c r="ANZ16" s="33"/>
      <c r="AOA16" s="33"/>
      <c r="AOB16" s="33"/>
      <c r="AOC16" s="33"/>
      <c r="AOD16" s="33"/>
      <c r="AOE16" s="33"/>
      <c r="AOF16" s="33"/>
      <c r="AOG16" s="33"/>
      <c r="AOH16" s="33"/>
      <c r="AOI16" s="33"/>
      <c r="AOJ16" s="33"/>
      <c r="AOK16" s="33"/>
      <c r="AOL16" s="33"/>
      <c r="AOM16" s="33"/>
      <c r="AON16" s="33"/>
      <c r="AOO16" s="33"/>
      <c r="AOP16" s="33"/>
      <c r="AOQ16" s="33"/>
      <c r="AOR16" s="33"/>
      <c r="AOS16" s="33"/>
      <c r="AOT16" s="33"/>
      <c r="AOU16" s="33"/>
      <c r="AOV16" s="33"/>
      <c r="AOW16" s="33"/>
      <c r="AOX16" s="33"/>
      <c r="AOY16" s="33"/>
      <c r="AOZ16" s="33"/>
      <c r="APA16" s="33"/>
      <c r="APB16" s="33"/>
      <c r="APC16" s="33"/>
      <c r="APD16" s="33"/>
      <c r="APE16" s="33"/>
      <c r="APF16" s="33"/>
      <c r="APG16" s="33"/>
      <c r="APH16" s="33"/>
      <c r="API16" s="33"/>
      <c r="APJ16" s="33"/>
      <c r="APK16" s="33"/>
      <c r="APL16" s="33"/>
      <c r="APM16" s="33"/>
      <c r="APN16" s="33"/>
      <c r="APO16" s="33"/>
      <c r="APP16" s="33"/>
      <c r="APQ16" s="33"/>
      <c r="APR16" s="33"/>
      <c r="APS16" s="33"/>
      <c r="APT16" s="33"/>
      <c r="APU16" s="33"/>
      <c r="APV16" s="33"/>
      <c r="APW16" s="33"/>
      <c r="APX16" s="33"/>
      <c r="APY16" s="33"/>
      <c r="APZ16" s="33"/>
      <c r="AQA16" s="33"/>
      <c r="AQB16" s="33"/>
      <c r="AQC16" s="33"/>
      <c r="AQD16" s="33"/>
      <c r="AQE16" s="33"/>
      <c r="AQF16" s="33"/>
      <c r="AQG16" s="33"/>
      <c r="AQH16" s="33"/>
      <c r="AQI16" s="33"/>
      <c r="AQJ16" s="33"/>
      <c r="AQK16" s="33"/>
      <c r="AQL16" s="33"/>
      <c r="AQM16" s="33"/>
      <c r="AQN16" s="33"/>
      <c r="AQO16" s="33"/>
      <c r="AQP16" s="33"/>
      <c r="AQQ16" s="33"/>
      <c r="AQR16" s="33"/>
      <c r="AQS16" s="33"/>
      <c r="AQT16" s="33"/>
      <c r="AQU16" s="33"/>
      <c r="AQV16" s="33"/>
      <c r="AQW16" s="33"/>
      <c r="AQX16" s="33"/>
      <c r="AQY16" s="33"/>
      <c r="AQZ16" s="33"/>
      <c r="ARA16" s="33"/>
      <c r="ARB16" s="33"/>
      <c r="ARC16" s="33"/>
      <c r="ARD16" s="33"/>
      <c r="ARE16" s="33"/>
      <c r="ARF16" s="33"/>
      <c r="ARG16" s="33"/>
      <c r="ARH16" s="33"/>
      <c r="ARI16" s="33"/>
      <c r="ARJ16" s="33"/>
      <c r="ARK16" s="33"/>
      <c r="ARL16" s="33"/>
      <c r="ARM16" s="33"/>
      <c r="ARN16" s="33"/>
      <c r="ARO16" s="33"/>
      <c r="ARP16" s="33"/>
      <c r="ARQ16" s="33"/>
      <c r="ARR16" s="33"/>
      <c r="ARS16" s="33"/>
      <c r="ART16" s="33"/>
      <c r="ARU16" s="33"/>
      <c r="ARV16" s="33"/>
      <c r="ARW16" s="33"/>
      <c r="ARX16" s="33"/>
      <c r="ARY16" s="33"/>
      <c r="ARZ16" s="33"/>
      <c r="ASA16" s="33"/>
      <c r="ASB16" s="33"/>
      <c r="ASC16" s="33"/>
      <c r="ASD16" s="33"/>
      <c r="ASE16" s="33"/>
      <c r="ASF16" s="33"/>
      <c r="ASG16" s="33"/>
      <c r="ASH16" s="33"/>
      <c r="ASI16" s="33"/>
      <c r="ASJ16" s="33"/>
      <c r="ASK16" s="33"/>
      <c r="ASL16" s="33"/>
      <c r="ASM16" s="33"/>
      <c r="ASN16" s="33"/>
      <c r="ASO16" s="33"/>
      <c r="ASP16" s="33"/>
      <c r="ASQ16" s="33"/>
      <c r="ASR16" s="33"/>
      <c r="ASS16" s="33"/>
      <c r="AST16" s="33"/>
      <c r="ASU16" s="33"/>
      <c r="ASV16" s="33"/>
      <c r="ASW16" s="33"/>
      <c r="ASX16" s="33"/>
      <c r="ASY16" s="33"/>
      <c r="ASZ16" s="33"/>
      <c r="ATA16" s="33"/>
      <c r="ATB16" s="33"/>
      <c r="ATC16" s="33"/>
      <c r="ATD16" s="33"/>
      <c r="ATE16" s="33"/>
      <c r="ATF16" s="33"/>
      <c r="ATG16" s="33"/>
      <c r="ATH16" s="33"/>
      <c r="ATI16" s="33"/>
      <c r="ATJ16" s="33"/>
      <c r="ATK16" s="33"/>
      <c r="ATL16" s="33"/>
      <c r="ATM16" s="33"/>
      <c r="ATN16" s="33"/>
      <c r="ATO16" s="33"/>
      <c r="ATP16" s="33"/>
      <c r="ATQ16" s="33"/>
      <c r="ATR16" s="33"/>
      <c r="ATS16" s="33"/>
      <c r="ATT16" s="33"/>
      <c r="ATU16" s="33"/>
      <c r="ATV16" s="33"/>
      <c r="ATW16" s="33"/>
      <c r="ATX16" s="33"/>
      <c r="ATY16" s="33"/>
      <c r="ATZ16" s="33"/>
      <c r="AUA16" s="33"/>
      <c r="AUB16" s="33"/>
      <c r="AUC16" s="33"/>
      <c r="AUD16" s="33"/>
      <c r="AUE16" s="33"/>
      <c r="AUF16" s="33"/>
      <c r="AUG16" s="33"/>
      <c r="AUH16" s="33"/>
      <c r="AUI16" s="33"/>
      <c r="AUJ16" s="33"/>
      <c r="AUK16" s="33"/>
      <c r="AUL16" s="33"/>
      <c r="AUM16" s="33"/>
      <c r="AUN16" s="33"/>
      <c r="AUO16" s="33"/>
      <c r="AUP16" s="33"/>
      <c r="AUQ16" s="33"/>
      <c r="AUR16" s="33"/>
      <c r="AUS16" s="33"/>
      <c r="AUT16" s="33"/>
      <c r="AUU16" s="33"/>
      <c r="AUV16" s="33"/>
      <c r="AUW16" s="33"/>
      <c r="AUX16" s="33"/>
      <c r="AUY16" s="33"/>
      <c r="AUZ16" s="33"/>
      <c r="AVA16" s="33"/>
      <c r="AVB16" s="33"/>
      <c r="AVC16" s="33"/>
      <c r="AVD16" s="33"/>
      <c r="AVE16" s="33"/>
      <c r="AVF16" s="33"/>
      <c r="AVG16" s="33"/>
      <c r="AVH16" s="33"/>
      <c r="AVI16" s="33"/>
      <c r="AVJ16" s="33"/>
      <c r="AVK16" s="33"/>
      <c r="AVL16" s="33"/>
      <c r="AVM16" s="33"/>
      <c r="AVN16" s="33"/>
      <c r="AVO16" s="33"/>
      <c r="AVP16" s="33"/>
      <c r="AVQ16" s="33"/>
      <c r="AVR16" s="33"/>
      <c r="AVS16" s="33"/>
      <c r="AVT16" s="33"/>
      <c r="AVU16" s="33"/>
      <c r="AVV16" s="33"/>
      <c r="AVW16" s="33"/>
      <c r="AVX16" s="33"/>
      <c r="AVY16" s="33"/>
      <c r="AVZ16" s="33"/>
      <c r="AWA16" s="33"/>
      <c r="AWB16" s="33"/>
      <c r="AWC16" s="33"/>
      <c r="AWD16" s="33"/>
      <c r="AWE16" s="33"/>
      <c r="AWF16" s="33"/>
      <c r="AWG16" s="33"/>
      <c r="AWH16" s="33"/>
      <c r="AWI16" s="33"/>
      <c r="AWJ16" s="33"/>
      <c r="AWK16" s="33"/>
      <c r="AWL16" s="33"/>
      <c r="AWM16" s="33"/>
      <c r="AWN16" s="33"/>
      <c r="AWO16" s="33"/>
      <c r="AWP16" s="33"/>
      <c r="AWQ16" s="33"/>
      <c r="AWR16" s="33"/>
      <c r="AWS16" s="33"/>
      <c r="AWT16" s="33"/>
      <c r="AWU16" s="33"/>
      <c r="AWV16" s="33"/>
      <c r="AWW16" s="33"/>
      <c r="AWX16" s="33"/>
      <c r="AWY16" s="33"/>
      <c r="AWZ16" s="33"/>
      <c r="AXA16" s="33"/>
      <c r="AXB16" s="33"/>
      <c r="AXC16" s="33"/>
      <c r="AXD16" s="33"/>
      <c r="AXE16" s="33"/>
      <c r="AXF16" s="33"/>
      <c r="AXG16" s="33"/>
      <c r="AXH16" s="33"/>
      <c r="AXI16" s="33"/>
      <c r="AXJ16" s="33"/>
      <c r="AXK16" s="33"/>
      <c r="AXL16" s="33"/>
      <c r="AXM16" s="33"/>
      <c r="AXN16" s="33"/>
      <c r="AXO16" s="33"/>
      <c r="AXP16" s="33"/>
      <c r="AXQ16" s="33"/>
      <c r="AXR16" s="33"/>
      <c r="AXS16" s="33"/>
      <c r="AXT16" s="33"/>
      <c r="AXU16" s="33"/>
      <c r="AXV16" s="33"/>
      <c r="AXW16" s="33"/>
      <c r="AXX16" s="33"/>
      <c r="AXY16" s="33"/>
      <c r="AXZ16" s="33"/>
      <c r="AYA16" s="33"/>
      <c r="AYB16" s="33"/>
      <c r="AYC16" s="33"/>
      <c r="AYD16" s="33"/>
      <c r="AYE16" s="33"/>
      <c r="AYF16" s="33"/>
      <c r="AYG16" s="33"/>
      <c r="AYH16" s="33"/>
      <c r="AYI16" s="33"/>
      <c r="AYJ16" s="33"/>
      <c r="AYK16" s="33"/>
      <c r="AYL16" s="33"/>
      <c r="AYM16" s="33"/>
      <c r="AYN16" s="33"/>
      <c r="AYO16" s="33"/>
      <c r="AYP16" s="33"/>
      <c r="AYQ16" s="33"/>
      <c r="AYR16" s="33"/>
      <c r="AYS16" s="33"/>
      <c r="AYT16" s="33"/>
      <c r="AYU16" s="33"/>
      <c r="AYV16" s="33"/>
      <c r="AYW16" s="33"/>
      <c r="AYX16" s="33"/>
      <c r="AYY16" s="33"/>
      <c r="AYZ16" s="33"/>
      <c r="AZA16" s="33"/>
      <c r="AZB16" s="33"/>
      <c r="AZC16" s="33"/>
      <c r="AZD16" s="33"/>
      <c r="AZE16" s="33"/>
      <c r="AZF16" s="33"/>
      <c r="AZG16" s="33"/>
      <c r="AZH16" s="33"/>
      <c r="AZI16" s="33"/>
      <c r="AZJ16" s="33"/>
      <c r="AZK16" s="33"/>
      <c r="AZL16" s="33"/>
      <c r="AZM16" s="33"/>
      <c r="AZN16" s="33"/>
      <c r="AZO16" s="33"/>
      <c r="AZP16" s="33"/>
      <c r="AZQ16" s="33"/>
      <c r="AZR16" s="33"/>
      <c r="AZS16" s="33"/>
      <c r="AZT16" s="33"/>
      <c r="AZU16" s="33"/>
      <c r="AZV16" s="33"/>
      <c r="AZW16" s="33"/>
      <c r="AZX16" s="33"/>
      <c r="AZY16" s="33"/>
      <c r="AZZ16" s="33"/>
      <c r="BAA16" s="33"/>
      <c r="BAB16" s="33"/>
      <c r="BAC16" s="33"/>
      <c r="BAD16" s="33"/>
      <c r="BAE16" s="33"/>
      <c r="BAF16" s="33"/>
      <c r="BAG16" s="33"/>
      <c r="BAH16" s="33"/>
      <c r="BAI16" s="33"/>
      <c r="BAJ16" s="33"/>
      <c r="BAK16" s="33"/>
      <c r="BAL16" s="33"/>
      <c r="BAM16" s="33"/>
      <c r="BAN16" s="33"/>
      <c r="BAO16" s="33"/>
      <c r="BAP16" s="33"/>
      <c r="BAQ16" s="33"/>
      <c r="BAR16" s="33"/>
      <c r="BAS16" s="33"/>
      <c r="BAT16" s="33"/>
      <c r="BAU16" s="33"/>
      <c r="BAV16" s="33"/>
      <c r="BAW16" s="33"/>
      <c r="BAX16" s="33"/>
      <c r="BAY16" s="33"/>
      <c r="BAZ16" s="33"/>
      <c r="BBA16" s="33"/>
      <c r="BBB16" s="33"/>
      <c r="BBC16" s="33"/>
      <c r="BBD16" s="33"/>
      <c r="BBE16" s="33"/>
      <c r="BBF16" s="33"/>
      <c r="BBG16" s="33"/>
      <c r="BBH16" s="33"/>
      <c r="BBI16" s="33"/>
      <c r="BBJ16" s="33"/>
      <c r="BBK16" s="33"/>
      <c r="BBL16" s="33"/>
      <c r="BBM16" s="33"/>
      <c r="BBN16" s="33"/>
      <c r="BBO16" s="33"/>
      <c r="BBP16" s="33"/>
      <c r="BBQ16" s="33"/>
      <c r="BBR16" s="33"/>
      <c r="BBS16" s="33"/>
      <c r="BBT16" s="33"/>
      <c r="BBU16" s="33"/>
      <c r="BBV16" s="33"/>
      <c r="BBW16" s="33"/>
      <c r="BBX16" s="33"/>
      <c r="BBY16" s="33"/>
      <c r="BBZ16" s="33"/>
      <c r="BCA16" s="33"/>
      <c r="BCB16" s="33"/>
      <c r="BCC16" s="33"/>
      <c r="BCD16" s="33"/>
      <c r="BCE16" s="33"/>
      <c r="BCF16" s="33"/>
      <c r="BCG16" s="33"/>
      <c r="BCH16" s="33"/>
      <c r="BCI16" s="33"/>
      <c r="BCJ16" s="33"/>
      <c r="BCK16" s="33"/>
      <c r="BCL16" s="33"/>
      <c r="BCM16" s="33"/>
      <c r="BCN16" s="33"/>
      <c r="BCO16" s="33"/>
      <c r="BCP16" s="33"/>
      <c r="BCQ16" s="33"/>
      <c r="BCR16" s="33"/>
      <c r="BCS16" s="33"/>
      <c r="BCT16" s="33"/>
      <c r="BCU16" s="33"/>
      <c r="BCV16" s="33"/>
      <c r="BCW16" s="33"/>
      <c r="BCX16" s="33"/>
      <c r="BCY16" s="33"/>
      <c r="BCZ16" s="33"/>
      <c r="BDA16" s="33"/>
      <c r="BDB16" s="33"/>
      <c r="BDC16" s="33"/>
      <c r="BDD16" s="33"/>
      <c r="BDE16" s="33"/>
      <c r="BDF16" s="33"/>
      <c r="BDG16" s="33"/>
      <c r="BDH16" s="33"/>
      <c r="BDI16" s="33"/>
      <c r="BDJ16" s="33"/>
      <c r="BDK16" s="33"/>
      <c r="BDL16" s="33"/>
      <c r="BDM16" s="33"/>
      <c r="BDN16" s="33"/>
      <c r="BDO16" s="33"/>
      <c r="BDP16" s="33"/>
      <c r="BDQ16" s="33"/>
      <c r="BDR16" s="33"/>
      <c r="BDS16" s="33"/>
      <c r="BDT16" s="33"/>
      <c r="BDU16" s="33"/>
      <c r="BDV16" s="33"/>
      <c r="BDW16" s="33"/>
      <c r="BDX16" s="33"/>
      <c r="BDY16" s="33"/>
      <c r="BDZ16" s="33"/>
      <c r="BEA16" s="33"/>
      <c r="BEB16" s="33"/>
      <c r="BEC16" s="33"/>
      <c r="BED16" s="33"/>
      <c r="BEE16" s="33"/>
      <c r="BEF16" s="33"/>
      <c r="BEG16" s="33"/>
      <c r="BEH16" s="33"/>
      <c r="BEI16" s="33"/>
      <c r="BEJ16" s="33"/>
      <c r="BEK16" s="33"/>
      <c r="BEL16" s="33"/>
      <c r="BEM16" s="33"/>
      <c r="BEN16" s="33"/>
      <c r="BEO16" s="33"/>
      <c r="BEP16" s="33"/>
      <c r="BEQ16" s="33"/>
      <c r="BER16" s="33"/>
      <c r="BES16" s="33"/>
      <c r="BET16" s="33"/>
      <c r="BEU16" s="33"/>
      <c r="BEV16" s="33"/>
      <c r="BEW16" s="33"/>
      <c r="BEX16" s="33"/>
      <c r="BEY16" s="33"/>
      <c r="BEZ16" s="33"/>
      <c r="BFA16" s="33"/>
      <c r="BFB16" s="33"/>
      <c r="BFC16" s="33"/>
      <c r="BFD16" s="33"/>
      <c r="BFE16" s="33"/>
      <c r="BFF16" s="33"/>
      <c r="BFG16" s="33"/>
      <c r="BFH16" s="33"/>
      <c r="BFI16" s="33"/>
      <c r="BFJ16" s="33"/>
      <c r="BFK16" s="33"/>
      <c r="BFL16" s="33"/>
      <c r="BFM16" s="33"/>
      <c r="BFN16" s="33"/>
      <c r="BFO16" s="33"/>
      <c r="BFP16" s="33"/>
      <c r="BFQ16" s="33"/>
      <c r="BFR16" s="33"/>
      <c r="BFS16" s="33"/>
      <c r="BFT16" s="33"/>
      <c r="BFU16" s="33"/>
      <c r="BFV16" s="33"/>
      <c r="BFW16" s="33"/>
      <c r="BFX16" s="33"/>
      <c r="BFY16" s="33"/>
      <c r="BFZ16" s="33"/>
      <c r="BGA16" s="33"/>
      <c r="BGB16" s="33"/>
      <c r="BGC16" s="33"/>
      <c r="BGD16" s="33"/>
      <c r="BGE16" s="33"/>
      <c r="BGF16" s="33"/>
      <c r="BGG16" s="33"/>
      <c r="BGH16" s="33"/>
      <c r="BGI16" s="33"/>
      <c r="BGJ16" s="33"/>
      <c r="BGK16" s="33"/>
      <c r="BGL16" s="33"/>
      <c r="BGM16" s="33"/>
      <c r="BGN16" s="33"/>
      <c r="BGO16" s="33"/>
      <c r="BGP16" s="33"/>
      <c r="BGQ16" s="33"/>
      <c r="BGR16" s="33"/>
      <c r="BGS16" s="33"/>
      <c r="BGT16" s="33"/>
      <c r="BGU16" s="33"/>
      <c r="BGV16" s="33"/>
      <c r="BGW16" s="33"/>
      <c r="BGX16" s="33"/>
      <c r="BGY16" s="33"/>
      <c r="BGZ16" s="33"/>
      <c r="BHA16" s="33"/>
      <c r="BHB16" s="33"/>
      <c r="BHC16" s="33"/>
      <c r="BHD16" s="33"/>
      <c r="BHE16" s="33"/>
      <c r="BHF16" s="33"/>
      <c r="BHG16" s="33"/>
      <c r="BHH16" s="33"/>
      <c r="BHI16" s="33"/>
      <c r="BHJ16" s="33"/>
      <c r="BHK16" s="33"/>
      <c r="BHL16" s="33"/>
      <c r="BHM16" s="33"/>
      <c r="BHN16" s="33"/>
      <c r="BHO16" s="33"/>
      <c r="BHP16" s="33"/>
      <c r="BHQ16" s="33"/>
      <c r="BHR16" s="33"/>
      <c r="BHS16" s="33"/>
      <c r="BHT16" s="33"/>
      <c r="BHU16" s="33"/>
      <c r="BHV16" s="33"/>
      <c r="BHW16" s="33"/>
      <c r="BHX16" s="33"/>
      <c r="BHY16" s="33"/>
      <c r="BHZ16" s="33"/>
      <c r="BIA16" s="33"/>
      <c r="BIB16" s="33"/>
      <c r="BIC16" s="33"/>
      <c r="BID16" s="33"/>
      <c r="BIE16" s="33"/>
      <c r="BIF16" s="33"/>
      <c r="BIG16" s="33"/>
      <c r="BIH16" s="33"/>
      <c r="BII16" s="33"/>
      <c r="BIJ16" s="33"/>
      <c r="BIK16" s="33"/>
      <c r="BIL16" s="33"/>
      <c r="BIM16" s="33"/>
      <c r="BIN16" s="33"/>
      <c r="BIO16" s="33"/>
      <c r="BIP16" s="33"/>
      <c r="BIQ16" s="33"/>
      <c r="BIR16" s="33"/>
      <c r="BIS16" s="33"/>
      <c r="BIT16" s="33"/>
      <c r="BIU16" s="33"/>
      <c r="BIV16" s="33"/>
      <c r="BIW16" s="33"/>
      <c r="BIX16" s="33"/>
      <c r="BIY16" s="33"/>
      <c r="BIZ16" s="33"/>
      <c r="BJA16" s="33"/>
      <c r="BJB16" s="33"/>
      <c r="BJC16" s="33"/>
      <c r="BJD16" s="33"/>
      <c r="BJE16" s="33"/>
      <c r="BJF16" s="33"/>
      <c r="BJG16" s="33"/>
      <c r="BJH16" s="33"/>
      <c r="BJI16" s="33"/>
      <c r="BJJ16" s="33"/>
      <c r="BJK16" s="33"/>
      <c r="BJL16" s="33"/>
      <c r="BJM16" s="33"/>
      <c r="BJN16" s="33"/>
      <c r="BJO16" s="33"/>
      <c r="BJP16" s="33"/>
      <c r="BJQ16" s="33"/>
      <c r="BJR16" s="33"/>
      <c r="BJS16" s="33"/>
      <c r="BJT16" s="33"/>
      <c r="BJU16" s="33"/>
      <c r="BJV16" s="33"/>
      <c r="BJW16" s="33"/>
      <c r="BJX16" s="33"/>
      <c r="BJY16" s="33"/>
      <c r="BJZ16" s="33"/>
      <c r="BKA16" s="33"/>
      <c r="BKB16" s="33"/>
      <c r="BKC16" s="33"/>
      <c r="BKD16" s="33"/>
      <c r="BKE16" s="33"/>
      <c r="BKF16" s="33"/>
      <c r="BKG16" s="33"/>
      <c r="BKH16" s="33"/>
      <c r="BKI16" s="33"/>
      <c r="BKJ16" s="33"/>
      <c r="BKK16" s="33"/>
      <c r="BKL16" s="33"/>
      <c r="BKM16" s="33"/>
      <c r="BKN16" s="33"/>
      <c r="BKO16" s="33"/>
      <c r="BKP16" s="33"/>
      <c r="BKQ16" s="33"/>
      <c r="BKR16" s="33"/>
      <c r="BKS16" s="33"/>
      <c r="BKT16" s="33"/>
      <c r="BKU16" s="33"/>
      <c r="BKV16" s="33"/>
      <c r="BKW16" s="33"/>
      <c r="BKX16" s="33"/>
      <c r="BKY16" s="33"/>
      <c r="BKZ16" s="33"/>
      <c r="BLA16" s="33"/>
      <c r="BLB16" s="33"/>
      <c r="BLC16" s="33"/>
      <c r="BLD16" s="33"/>
      <c r="BLE16" s="33"/>
      <c r="BLF16" s="33"/>
      <c r="BLG16" s="33"/>
      <c r="BLH16" s="33"/>
      <c r="BLI16" s="33"/>
      <c r="BLJ16" s="33"/>
      <c r="BLK16" s="33"/>
      <c r="BLL16" s="33"/>
      <c r="BLM16" s="33"/>
      <c r="BLN16" s="33"/>
      <c r="BLO16" s="33"/>
      <c r="BLP16" s="33"/>
      <c r="BLQ16" s="33"/>
      <c r="BLR16" s="33"/>
      <c r="BLS16" s="33"/>
      <c r="BLT16" s="33"/>
      <c r="BLU16" s="33"/>
      <c r="BLV16" s="33"/>
      <c r="BLW16" s="33"/>
      <c r="BLX16" s="33"/>
      <c r="BLY16" s="33"/>
      <c r="BLZ16" s="33"/>
      <c r="BMA16" s="33"/>
      <c r="BMB16" s="33"/>
      <c r="BMC16" s="33"/>
      <c r="BMD16" s="33"/>
      <c r="BME16" s="33"/>
      <c r="BMF16" s="33"/>
      <c r="BMG16" s="33"/>
      <c r="BMH16" s="33"/>
      <c r="BMI16" s="33"/>
      <c r="BMJ16" s="33"/>
      <c r="BMK16" s="33"/>
      <c r="BML16" s="33"/>
      <c r="BMM16" s="33"/>
      <c r="BMN16" s="33"/>
      <c r="BMO16" s="33"/>
      <c r="BMP16" s="33"/>
      <c r="BMQ16" s="33"/>
      <c r="BMR16" s="33"/>
      <c r="BMS16" s="33"/>
      <c r="BMT16" s="33"/>
      <c r="BMU16" s="33"/>
      <c r="BMV16" s="33"/>
      <c r="BMW16" s="33"/>
      <c r="BMX16" s="33"/>
      <c r="BMY16" s="33"/>
      <c r="BMZ16" s="33"/>
      <c r="BNA16" s="33"/>
      <c r="BNB16" s="33"/>
      <c r="BNC16" s="33"/>
      <c r="BND16" s="33"/>
      <c r="BNE16" s="33"/>
      <c r="BNF16" s="33"/>
      <c r="BNG16" s="33"/>
      <c r="BNH16" s="33"/>
      <c r="BNI16" s="33"/>
      <c r="BNJ16" s="33"/>
      <c r="BNK16" s="33"/>
      <c r="BNL16" s="33"/>
      <c r="BNM16" s="33"/>
      <c r="BNN16" s="33"/>
      <c r="BNO16" s="33"/>
      <c r="BNP16" s="33"/>
      <c r="BNQ16" s="33"/>
      <c r="BNR16" s="33"/>
      <c r="BNS16" s="33"/>
      <c r="BNT16" s="33"/>
      <c r="BNU16" s="33"/>
      <c r="BNV16" s="33"/>
      <c r="BNW16" s="33"/>
      <c r="BNX16" s="33"/>
      <c r="BNY16" s="33"/>
      <c r="BNZ16" s="33"/>
      <c r="BOA16" s="33"/>
      <c r="BOB16" s="33"/>
      <c r="BOC16" s="33"/>
      <c r="BOD16" s="33"/>
      <c r="BOE16" s="33"/>
      <c r="BOF16" s="33"/>
      <c r="BOG16" s="33"/>
      <c r="BOH16" s="33"/>
      <c r="BOI16" s="33"/>
      <c r="BOJ16" s="33"/>
      <c r="BOK16" s="33"/>
      <c r="BOL16" s="33"/>
      <c r="BOM16" s="33"/>
      <c r="BON16" s="33"/>
      <c r="BOO16" s="33"/>
      <c r="BOP16" s="33"/>
      <c r="BOQ16" s="33"/>
      <c r="BOR16" s="33"/>
      <c r="BOS16" s="33"/>
      <c r="BOT16" s="33"/>
      <c r="BOU16" s="33"/>
      <c r="BOV16" s="33"/>
      <c r="BOW16" s="33"/>
      <c r="BOX16" s="33"/>
      <c r="BOY16" s="33"/>
      <c r="BOZ16" s="33"/>
      <c r="BPA16" s="33"/>
      <c r="BPB16" s="33"/>
      <c r="BPC16" s="81"/>
    </row>
    <row r="17" s="34" customFormat="1" ht="60" customHeight="1" spans="1:1024 1025:1771">
      <c r="A17" s="78" t="s">
        <v>41</v>
      </c>
      <c r="B17" s="75" t="s">
        <v>42</v>
      </c>
      <c r="C17" s="75" t="s">
        <v>43</v>
      </c>
      <c r="D17" s="75" t="s">
        <v>44</v>
      </c>
      <c r="E17" s="75"/>
      <c r="F17" s="75"/>
      <c r="G17" s="79"/>
      <c r="H17" s="76">
        <f ca="1" t="shared" si="0"/>
        <v>46175</v>
      </c>
      <c r="I17" s="80" t="s">
        <v>7</v>
      </c>
      <c r="J17" s="79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  <c r="AML17" s="33"/>
      <c r="AMM17" s="33"/>
      <c r="AMN17" s="33"/>
      <c r="AMO17" s="33"/>
      <c r="AMP17" s="33"/>
      <c r="AMQ17" s="33"/>
      <c r="AMR17" s="33"/>
      <c r="AMS17" s="33"/>
      <c r="AMT17" s="33"/>
      <c r="AMU17" s="33"/>
      <c r="AMV17" s="33"/>
      <c r="AMW17" s="33"/>
      <c r="AMX17" s="33"/>
      <c r="AMY17" s="33"/>
      <c r="AMZ17" s="33"/>
      <c r="ANA17" s="33"/>
      <c r="ANB17" s="33"/>
      <c r="ANC17" s="33"/>
      <c r="AND17" s="33"/>
      <c r="ANE17" s="33"/>
      <c r="ANF17" s="33"/>
      <c r="ANG17" s="33"/>
      <c r="ANH17" s="33"/>
      <c r="ANI17" s="33"/>
      <c r="ANJ17" s="33"/>
      <c r="ANK17" s="33"/>
      <c r="ANL17" s="33"/>
      <c r="ANM17" s="33"/>
      <c r="ANN17" s="33"/>
      <c r="ANO17" s="33"/>
      <c r="ANP17" s="33"/>
      <c r="ANQ17" s="33"/>
      <c r="ANR17" s="33"/>
      <c r="ANS17" s="33"/>
      <c r="ANT17" s="33"/>
      <c r="ANU17" s="33"/>
      <c r="ANV17" s="33"/>
      <c r="ANW17" s="33"/>
      <c r="ANX17" s="33"/>
      <c r="ANY17" s="33"/>
      <c r="ANZ17" s="33"/>
      <c r="AOA17" s="33"/>
      <c r="AOB17" s="33"/>
      <c r="AOC17" s="33"/>
      <c r="AOD17" s="33"/>
      <c r="AOE17" s="33"/>
      <c r="AOF17" s="33"/>
      <c r="AOG17" s="33"/>
      <c r="AOH17" s="33"/>
      <c r="AOI17" s="33"/>
      <c r="AOJ17" s="33"/>
      <c r="AOK17" s="33"/>
      <c r="AOL17" s="33"/>
      <c r="AOM17" s="33"/>
      <c r="AON17" s="33"/>
      <c r="AOO17" s="33"/>
      <c r="AOP17" s="33"/>
      <c r="AOQ17" s="33"/>
      <c r="AOR17" s="33"/>
      <c r="AOS17" s="33"/>
      <c r="AOT17" s="33"/>
      <c r="AOU17" s="33"/>
      <c r="AOV17" s="33"/>
      <c r="AOW17" s="33"/>
      <c r="AOX17" s="33"/>
      <c r="AOY17" s="33"/>
      <c r="AOZ17" s="33"/>
      <c r="APA17" s="33"/>
      <c r="APB17" s="33"/>
      <c r="APC17" s="33"/>
      <c r="APD17" s="33"/>
      <c r="APE17" s="33"/>
      <c r="APF17" s="33"/>
      <c r="APG17" s="33"/>
      <c r="APH17" s="33"/>
      <c r="API17" s="33"/>
      <c r="APJ17" s="33"/>
      <c r="APK17" s="33"/>
      <c r="APL17" s="33"/>
      <c r="APM17" s="33"/>
      <c r="APN17" s="33"/>
      <c r="APO17" s="33"/>
      <c r="APP17" s="33"/>
      <c r="APQ17" s="33"/>
      <c r="APR17" s="33"/>
      <c r="APS17" s="33"/>
      <c r="APT17" s="33"/>
      <c r="APU17" s="33"/>
      <c r="APV17" s="33"/>
      <c r="APW17" s="33"/>
      <c r="APX17" s="33"/>
      <c r="APY17" s="33"/>
      <c r="APZ17" s="33"/>
      <c r="AQA17" s="33"/>
      <c r="AQB17" s="33"/>
      <c r="AQC17" s="33"/>
      <c r="AQD17" s="33"/>
      <c r="AQE17" s="33"/>
      <c r="AQF17" s="33"/>
      <c r="AQG17" s="33"/>
      <c r="AQH17" s="33"/>
      <c r="AQI17" s="33"/>
      <c r="AQJ17" s="33"/>
      <c r="AQK17" s="33"/>
      <c r="AQL17" s="33"/>
      <c r="AQM17" s="33"/>
      <c r="AQN17" s="33"/>
      <c r="AQO17" s="33"/>
      <c r="AQP17" s="33"/>
      <c r="AQQ17" s="33"/>
      <c r="AQR17" s="33"/>
      <c r="AQS17" s="33"/>
      <c r="AQT17" s="33"/>
      <c r="AQU17" s="33"/>
      <c r="AQV17" s="33"/>
      <c r="AQW17" s="33"/>
      <c r="AQX17" s="33"/>
      <c r="AQY17" s="33"/>
      <c r="AQZ17" s="33"/>
      <c r="ARA17" s="33"/>
      <c r="ARB17" s="33"/>
      <c r="ARC17" s="33"/>
      <c r="ARD17" s="33"/>
      <c r="ARE17" s="33"/>
      <c r="ARF17" s="33"/>
      <c r="ARG17" s="33"/>
      <c r="ARH17" s="33"/>
      <c r="ARI17" s="33"/>
      <c r="ARJ17" s="33"/>
      <c r="ARK17" s="33"/>
      <c r="ARL17" s="33"/>
      <c r="ARM17" s="33"/>
      <c r="ARN17" s="33"/>
      <c r="ARO17" s="33"/>
      <c r="ARP17" s="33"/>
      <c r="ARQ17" s="33"/>
      <c r="ARR17" s="33"/>
      <c r="ARS17" s="33"/>
      <c r="ART17" s="33"/>
      <c r="ARU17" s="33"/>
      <c r="ARV17" s="33"/>
      <c r="ARW17" s="33"/>
      <c r="ARX17" s="33"/>
      <c r="ARY17" s="33"/>
      <c r="ARZ17" s="33"/>
      <c r="ASA17" s="33"/>
      <c r="ASB17" s="33"/>
      <c r="ASC17" s="33"/>
      <c r="ASD17" s="33"/>
      <c r="ASE17" s="33"/>
      <c r="ASF17" s="33"/>
      <c r="ASG17" s="33"/>
      <c r="ASH17" s="33"/>
      <c r="ASI17" s="33"/>
      <c r="ASJ17" s="33"/>
      <c r="ASK17" s="33"/>
      <c r="ASL17" s="33"/>
      <c r="ASM17" s="33"/>
      <c r="ASN17" s="33"/>
      <c r="ASO17" s="33"/>
      <c r="ASP17" s="33"/>
      <c r="ASQ17" s="33"/>
      <c r="ASR17" s="33"/>
      <c r="ASS17" s="33"/>
      <c r="AST17" s="33"/>
      <c r="ASU17" s="33"/>
      <c r="ASV17" s="33"/>
      <c r="ASW17" s="33"/>
      <c r="ASX17" s="33"/>
      <c r="ASY17" s="33"/>
      <c r="ASZ17" s="33"/>
      <c r="ATA17" s="33"/>
      <c r="ATB17" s="33"/>
      <c r="ATC17" s="33"/>
      <c r="ATD17" s="33"/>
      <c r="ATE17" s="33"/>
      <c r="ATF17" s="33"/>
      <c r="ATG17" s="33"/>
      <c r="ATH17" s="33"/>
      <c r="ATI17" s="33"/>
      <c r="ATJ17" s="33"/>
      <c r="ATK17" s="33"/>
      <c r="ATL17" s="33"/>
      <c r="ATM17" s="33"/>
      <c r="ATN17" s="33"/>
      <c r="ATO17" s="33"/>
      <c r="ATP17" s="33"/>
      <c r="ATQ17" s="33"/>
      <c r="ATR17" s="33"/>
      <c r="ATS17" s="33"/>
      <c r="ATT17" s="33"/>
      <c r="ATU17" s="33"/>
      <c r="ATV17" s="33"/>
      <c r="ATW17" s="33"/>
      <c r="ATX17" s="33"/>
      <c r="ATY17" s="33"/>
      <c r="ATZ17" s="33"/>
      <c r="AUA17" s="33"/>
      <c r="AUB17" s="33"/>
      <c r="AUC17" s="33"/>
      <c r="AUD17" s="33"/>
      <c r="AUE17" s="33"/>
      <c r="AUF17" s="33"/>
      <c r="AUG17" s="33"/>
      <c r="AUH17" s="33"/>
      <c r="AUI17" s="33"/>
      <c r="AUJ17" s="33"/>
      <c r="AUK17" s="33"/>
      <c r="AUL17" s="33"/>
      <c r="AUM17" s="33"/>
      <c r="AUN17" s="33"/>
      <c r="AUO17" s="33"/>
      <c r="AUP17" s="33"/>
      <c r="AUQ17" s="33"/>
      <c r="AUR17" s="33"/>
      <c r="AUS17" s="33"/>
      <c r="AUT17" s="33"/>
      <c r="AUU17" s="33"/>
      <c r="AUV17" s="33"/>
      <c r="AUW17" s="33"/>
      <c r="AUX17" s="33"/>
      <c r="AUY17" s="33"/>
      <c r="AUZ17" s="33"/>
      <c r="AVA17" s="33"/>
      <c r="AVB17" s="33"/>
      <c r="AVC17" s="33"/>
      <c r="AVD17" s="33"/>
      <c r="AVE17" s="33"/>
      <c r="AVF17" s="33"/>
      <c r="AVG17" s="33"/>
      <c r="AVH17" s="33"/>
      <c r="AVI17" s="33"/>
      <c r="AVJ17" s="33"/>
      <c r="AVK17" s="33"/>
      <c r="AVL17" s="33"/>
      <c r="AVM17" s="33"/>
      <c r="AVN17" s="33"/>
      <c r="AVO17" s="33"/>
      <c r="AVP17" s="33"/>
      <c r="AVQ17" s="33"/>
      <c r="AVR17" s="33"/>
      <c r="AVS17" s="33"/>
      <c r="AVT17" s="33"/>
      <c r="AVU17" s="33"/>
      <c r="AVV17" s="33"/>
      <c r="AVW17" s="33"/>
      <c r="AVX17" s="33"/>
      <c r="AVY17" s="33"/>
      <c r="AVZ17" s="33"/>
      <c r="AWA17" s="33"/>
      <c r="AWB17" s="33"/>
      <c r="AWC17" s="33"/>
      <c r="AWD17" s="33"/>
      <c r="AWE17" s="33"/>
      <c r="AWF17" s="33"/>
      <c r="AWG17" s="33"/>
      <c r="AWH17" s="33"/>
      <c r="AWI17" s="33"/>
      <c r="AWJ17" s="33"/>
      <c r="AWK17" s="33"/>
      <c r="AWL17" s="33"/>
      <c r="AWM17" s="33"/>
      <c r="AWN17" s="33"/>
      <c r="AWO17" s="33"/>
      <c r="AWP17" s="33"/>
      <c r="AWQ17" s="33"/>
      <c r="AWR17" s="33"/>
      <c r="AWS17" s="33"/>
      <c r="AWT17" s="33"/>
      <c r="AWU17" s="33"/>
      <c r="AWV17" s="33"/>
      <c r="AWW17" s="33"/>
      <c r="AWX17" s="33"/>
      <c r="AWY17" s="33"/>
      <c r="AWZ17" s="33"/>
      <c r="AXA17" s="33"/>
      <c r="AXB17" s="33"/>
      <c r="AXC17" s="33"/>
      <c r="AXD17" s="33"/>
      <c r="AXE17" s="33"/>
      <c r="AXF17" s="33"/>
      <c r="AXG17" s="33"/>
      <c r="AXH17" s="33"/>
      <c r="AXI17" s="33"/>
      <c r="AXJ17" s="33"/>
      <c r="AXK17" s="33"/>
      <c r="AXL17" s="33"/>
      <c r="AXM17" s="33"/>
      <c r="AXN17" s="33"/>
      <c r="AXO17" s="33"/>
      <c r="AXP17" s="33"/>
      <c r="AXQ17" s="33"/>
      <c r="AXR17" s="33"/>
      <c r="AXS17" s="33"/>
      <c r="AXT17" s="33"/>
      <c r="AXU17" s="33"/>
      <c r="AXV17" s="33"/>
      <c r="AXW17" s="33"/>
      <c r="AXX17" s="33"/>
      <c r="AXY17" s="33"/>
      <c r="AXZ17" s="33"/>
      <c r="AYA17" s="33"/>
      <c r="AYB17" s="33"/>
      <c r="AYC17" s="33"/>
      <c r="AYD17" s="33"/>
      <c r="AYE17" s="33"/>
      <c r="AYF17" s="33"/>
      <c r="AYG17" s="33"/>
      <c r="AYH17" s="33"/>
      <c r="AYI17" s="33"/>
      <c r="AYJ17" s="33"/>
      <c r="AYK17" s="33"/>
      <c r="AYL17" s="33"/>
      <c r="AYM17" s="33"/>
      <c r="AYN17" s="33"/>
      <c r="AYO17" s="33"/>
      <c r="AYP17" s="33"/>
      <c r="AYQ17" s="33"/>
      <c r="AYR17" s="33"/>
      <c r="AYS17" s="33"/>
      <c r="AYT17" s="33"/>
      <c r="AYU17" s="33"/>
      <c r="AYV17" s="33"/>
      <c r="AYW17" s="33"/>
      <c r="AYX17" s="33"/>
      <c r="AYY17" s="33"/>
      <c r="AYZ17" s="33"/>
      <c r="AZA17" s="33"/>
      <c r="AZB17" s="33"/>
      <c r="AZC17" s="33"/>
      <c r="AZD17" s="33"/>
      <c r="AZE17" s="33"/>
      <c r="AZF17" s="33"/>
      <c r="AZG17" s="33"/>
      <c r="AZH17" s="33"/>
      <c r="AZI17" s="33"/>
      <c r="AZJ17" s="33"/>
      <c r="AZK17" s="33"/>
      <c r="AZL17" s="33"/>
      <c r="AZM17" s="33"/>
      <c r="AZN17" s="33"/>
      <c r="AZO17" s="33"/>
      <c r="AZP17" s="33"/>
      <c r="AZQ17" s="33"/>
      <c r="AZR17" s="33"/>
      <c r="AZS17" s="33"/>
      <c r="AZT17" s="33"/>
      <c r="AZU17" s="33"/>
      <c r="AZV17" s="33"/>
      <c r="AZW17" s="33"/>
      <c r="AZX17" s="33"/>
      <c r="AZY17" s="33"/>
      <c r="AZZ17" s="33"/>
      <c r="BAA17" s="33"/>
      <c r="BAB17" s="33"/>
      <c r="BAC17" s="33"/>
      <c r="BAD17" s="33"/>
      <c r="BAE17" s="33"/>
      <c r="BAF17" s="33"/>
      <c r="BAG17" s="33"/>
      <c r="BAH17" s="33"/>
      <c r="BAI17" s="33"/>
      <c r="BAJ17" s="33"/>
      <c r="BAK17" s="33"/>
      <c r="BAL17" s="33"/>
      <c r="BAM17" s="33"/>
      <c r="BAN17" s="33"/>
      <c r="BAO17" s="33"/>
      <c r="BAP17" s="33"/>
      <c r="BAQ17" s="33"/>
      <c r="BAR17" s="33"/>
      <c r="BAS17" s="33"/>
      <c r="BAT17" s="33"/>
      <c r="BAU17" s="33"/>
      <c r="BAV17" s="33"/>
      <c r="BAW17" s="33"/>
      <c r="BAX17" s="33"/>
      <c r="BAY17" s="33"/>
      <c r="BAZ17" s="33"/>
      <c r="BBA17" s="33"/>
      <c r="BBB17" s="33"/>
      <c r="BBC17" s="33"/>
      <c r="BBD17" s="33"/>
      <c r="BBE17" s="33"/>
      <c r="BBF17" s="33"/>
      <c r="BBG17" s="33"/>
      <c r="BBH17" s="33"/>
      <c r="BBI17" s="33"/>
      <c r="BBJ17" s="33"/>
      <c r="BBK17" s="33"/>
      <c r="BBL17" s="33"/>
      <c r="BBM17" s="33"/>
      <c r="BBN17" s="33"/>
      <c r="BBO17" s="33"/>
      <c r="BBP17" s="33"/>
      <c r="BBQ17" s="33"/>
      <c r="BBR17" s="33"/>
      <c r="BBS17" s="33"/>
      <c r="BBT17" s="33"/>
      <c r="BBU17" s="33"/>
      <c r="BBV17" s="33"/>
      <c r="BBW17" s="33"/>
      <c r="BBX17" s="33"/>
      <c r="BBY17" s="33"/>
      <c r="BBZ17" s="33"/>
      <c r="BCA17" s="33"/>
      <c r="BCB17" s="33"/>
      <c r="BCC17" s="33"/>
      <c r="BCD17" s="33"/>
      <c r="BCE17" s="33"/>
      <c r="BCF17" s="33"/>
      <c r="BCG17" s="33"/>
      <c r="BCH17" s="33"/>
      <c r="BCI17" s="33"/>
      <c r="BCJ17" s="33"/>
      <c r="BCK17" s="33"/>
      <c r="BCL17" s="33"/>
      <c r="BCM17" s="33"/>
      <c r="BCN17" s="33"/>
      <c r="BCO17" s="33"/>
      <c r="BCP17" s="33"/>
      <c r="BCQ17" s="33"/>
      <c r="BCR17" s="33"/>
      <c r="BCS17" s="33"/>
      <c r="BCT17" s="33"/>
      <c r="BCU17" s="33"/>
      <c r="BCV17" s="33"/>
      <c r="BCW17" s="33"/>
      <c r="BCX17" s="33"/>
      <c r="BCY17" s="33"/>
      <c r="BCZ17" s="33"/>
      <c r="BDA17" s="33"/>
      <c r="BDB17" s="33"/>
      <c r="BDC17" s="33"/>
      <c r="BDD17" s="33"/>
      <c r="BDE17" s="33"/>
      <c r="BDF17" s="33"/>
      <c r="BDG17" s="33"/>
      <c r="BDH17" s="33"/>
      <c r="BDI17" s="33"/>
      <c r="BDJ17" s="33"/>
      <c r="BDK17" s="33"/>
      <c r="BDL17" s="33"/>
      <c r="BDM17" s="33"/>
      <c r="BDN17" s="33"/>
      <c r="BDO17" s="33"/>
      <c r="BDP17" s="33"/>
      <c r="BDQ17" s="33"/>
      <c r="BDR17" s="33"/>
      <c r="BDS17" s="33"/>
      <c r="BDT17" s="33"/>
      <c r="BDU17" s="33"/>
      <c r="BDV17" s="33"/>
      <c r="BDW17" s="33"/>
      <c r="BDX17" s="33"/>
      <c r="BDY17" s="33"/>
      <c r="BDZ17" s="33"/>
      <c r="BEA17" s="33"/>
      <c r="BEB17" s="33"/>
      <c r="BEC17" s="33"/>
      <c r="BED17" s="33"/>
      <c r="BEE17" s="33"/>
      <c r="BEF17" s="33"/>
      <c r="BEG17" s="33"/>
      <c r="BEH17" s="33"/>
      <c r="BEI17" s="33"/>
      <c r="BEJ17" s="33"/>
      <c r="BEK17" s="33"/>
      <c r="BEL17" s="33"/>
      <c r="BEM17" s="33"/>
      <c r="BEN17" s="33"/>
      <c r="BEO17" s="33"/>
      <c r="BEP17" s="33"/>
      <c r="BEQ17" s="33"/>
      <c r="BER17" s="33"/>
      <c r="BES17" s="33"/>
      <c r="BET17" s="33"/>
      <c r="BEU17" s="33"/>
      <c r="BEV17" s="33"/>
      <c r="BEW17" s="33"/>
      <c r="BEX17" s="33"/>
      <c r="BEY17" s="33"/>
      <c r="BEZ17" s="33"/>
      <c r="BFA17" s="33"/>
      <c r="BFB17" s="33"/>
      <c r="BFC17" s="33"/>
      <c r="BFD17" s="33"/>
      <c r="BFE17" s="33"/>
      <c r="BFF17" s="33"/>
      <c r="BFG17" s="33"/>
      <c r="BFH17" s="33"/>
      <c r="BFI17" s="33"/>
      <c r="BFJ17" s="33"/>
      <c r="BFK17" s="33"/>
      <c r="BFL17" s="33"/>
      <c r="BFM17" s="33"/>
      <c r="BFN17" s="33"/>
      <c r="BFO17" s="33"/>
      <c r="BFP17" s="33"/>
      <c r="BFQ17" s="33"/>
      <c r="BFR17" s="33"/>
      <c r="BFS17" s="33"/>
      <c r="BFT17" s="33"/>
      <c r="BFU17" s="33"/>
      <c r="BFV17" s="33"/>
      <c r="BFW17" s="33"/>
      <c r="BFX17" s="33"/>
      <c r="BFY17" s="33"/>
      <c r="BFZ17" s="33"/>
      <c r="BGA17" s="33"/>
      <c r="BGB17" s="33"/>
      <c r="BGC17" s="33"/>
      <c r="BGD17" s="33"/>
      <c r="BGE17" s="33"/>
      <c r="BGF17" s="33"/>
      <c r="BGG17" s="33"/>
      <c r="BGH17" s="33"/>
      <c r="BGI17" s="33"/>
      <c r="BGJ17" s="33"/>
      <c r="BGK17" s="33"/>
      <c r="BGL17" s="33"/>
      <c r="BGM17" s="33"/>
      <c r="BGN17" s="33"/>
      <c r="BGO17" s="33"/>
      <c r="BGP17" s="33"/>
      <c r="BGQ17" s="33"/>
      <c r="BGR17" s="33"/>
      <c r="BGS17" s="33"/>
      <c r="BGT17" s="33"/>
      <c r="BGU17" s="33"/>
      <c r="BGV17" s="33"/>
      <c r="BGW17" s="33"/>
      <c r="BGX17" s="33"/>
      <c r="BGY17" s="33"/>
      <c r="BGZ17" s="33"/>
      <c r="BHA17" s="33"/>
      <c r="BHB17" s="33"/>
      <c r="BHC17" s="33"/>
      <c r="BHD17" s="33"/>
      <c r="BHE17" s="33"/>
      <c r="BHF17" s="33"/>
      <c r="BHG17" s="33"/>
      <c r="BHH17" s="33"/>
      <c r="BHI17" s="33"/>
      <c r="BHJ17" s="33"/>
      <c r="BHK17" s="33"/>
      <c r="BHL17" s="33"/>
      <c r="BHM17" s="33"/>
      <c r="BHN17" s="33"/>
      <c r="BHO17" s="33"/>
      <c r="BHP17" s="33"/>
      <c r="BHQ17" s="33"/>
      <c r="BHR17" s="33"/>
      <c r="BHS17" s="33"/>
      <c r="BHT17" s="33"/>
      <c r="BHU17" s="33"/>
      <c r="BHV17" s="33"/>
      <c r="BHW17" s="33"/>
      <c r="BHX17" s="33"/>
      <c r="BHY17" s="33"/>
      <c r="BHZ17" s="33"/>
      <c r="BIA17" s="33"/>
      <c r="BIB17" s="33"/>
      <c r="BIC17" s="33"/>
      <c r="BID17" s="33"/>
      <c r="BIE17" s="33"/>
      <c r="BIF17" s="33"/>
      <c r="BIG17" s="33"/>
      <c r="BIH17" s="33"/>
      <c r="BII17" s="33"/>
      <c r="BIJ17" s="33"/>
      <c r="BIK17" s="33"/>
      <c r="BIL17" s="33"/>
      <c r="BIM17" s="33"/>
      <c r="BIN17" s="33"/>
      <c r="BIO17" s="33"/>
      <c r="BIP17" s="33"/>
      <c r="BIQ17" s="33"/>
      <c r="BIR17" s="33"/>
      <c r="BIS17" s="33"/>
      <c r="BIT17" s="33"/>
      <c r="BIU17" s="33"/>
      <c r="BIV17" s="33"/>
      <c r="BIW17" s="33"/>
      <c r="BIX17" s="33"/>
      <c r="BIY17" s="33"/>
      <c r="BIZ17" s="33"/>
      <c r="BJA17" s="33"/>
      <c r="BJB17" s="33"/>
      <c r="BJC17" s="33"/>
      <c r="BJD17" s="33"/>
      <c r="BJE17" s="33"/>
      <c r="BJF17" s="33"/>
      <c r="BJG17" s="33"/>
      <c r="BJH17" s="33"/>
      <c r="BJI17" s="33"/>
      <c r="BJJ17" s="33"/>
      <c r="BJK17" s="33"/>
      <c r="BJL17" s="33"/>
      <c r="BJM17" s="33"/>
      <c r="BJN17" s="33"/>
      <c r="BJO17" s="33"/>
      <c r="BJP17" s="33"/>
      <c r="BJQ17" s="33"/>
      <c r="BJR17" s="33"/>
      <c r="BJS17" s="33"/>
      <c r="BJT17" s="33"/>
      <c r="BJU17" s="33"/>
      <c r="BJV17" s="33"/>
      <c r="BJW17" s="33"/>
      <c r="BJX17" s="33"/>
      <c r="BJY17" s="33"/>
      <c r="BJZ17" s="33"/>
      <c r="BKA17" s="33"/>
      <c r="BKB17" s="33"/>
      <c r="BKC17" s="33"/>
      <c r="BKD17" s="33"/>
      <c r="BKE17" s="33"/>
      <c r="BKF17" s="33"/>
      <c r="BKG17" s="33"/>
      <c r="BKH17" s="33"/>
      <c r="BKI17" s="33"/>
      <c r="BKJ17" s="33"/>
      <c r="BKK17" s="33"/>
      <c r="BKL17" s="33"/>
      <c r="BKM17" s="33"/>
      <c r="BKN17" s="33"/>
      <c r="BKO17" s="33"/>
      <c r="BKP17" s="33"/>
      <c r="BKQ17" s="33"/>
      <c r="BKR17" s="33"/>
      <c r="BKS17" s="33"/>
      <c r="BKT17" s="33"/>
      <c r="BKU17" s="33"/>
      <c r="BKV17" s="33"/>
      <c r="BKW17" s="33"/>
      <c r="BKX17" s="33"/>
      <c r="BKY17" s="33"/>
      <c r="BKZ17" s="33"/>
      <c r="BLA17" s="33"/>
      <c r="BLB17" s="33"/>
      <c r="BLC17" s="33"/>
      <c r="BLD17" s="33"/>
      <c r="BLE17" s="33"/>
      <c r="BLF17" s="33"/>
      <c r="BLG17" s="33"/>
      <c r="BLH17" s="33"/>
      <c r="BLI17" s="33"/>
      <c r="BLJ17" s="33"/>
      <c r="BLK17" s="33"/>
      <c r="BLL17" s="33"/>
      <c r="BLM17" s="33"/>
      <c r="BLN17" s="33"/>
      <c r="BLO17" s="33"/>
      <c r="BLP17" s="33"/>
      <c r="BLQ17" s="33"/>
      <c r="BLR17" s="33"/>
      <c r="BLS17" s="33"/>
      <c r="BLT17" s="33"/>
      <c r="BLU17" s="33"/>
      <c r="BLV17" s="33"/>
      <c r="BLW17" s="33"/>
      <c r="BLX17" s="33"/>
      <c r="BLY17" s="33"/>
      <c r="BLZ17" s="33"/>
      <c r="BMA17" s="33"/>
      <c r="BMB17" s="33"/>
      <c r="BMC17" s="33"/>
      <c r="BMD17" s="33"/>
      <c r="BME17" s="33"/>
      <c r="BMF17" s="33"/>
      <c r="BMG17" s="33"/>
      <c r="BMH17" s="33"/>
      <c r="BMI17" s="33"/>
      <c r="BMJ17" s="33"/>
      <c r="BMK17" s="33"/>
      <c r="BML17" s="33"/>
      <c r="BMM17" s="33"/>
      <c r="BMN17" s="33"/>
      <c r="BMO17" s="33"/>
      <c r="BMP17" s="33"/>
      <c r="BMQ17" s="33"/>
      <c r="BMR17" s="33"/>
      <c r="BMS17" s="33"/>
      <c r="BMT17" s="33"/>
      <c r="BMU17" s="33"/>
      <c r="BMV17" s="33"/>
      <c r="BMW17" s="33"/>
      <c r="BMX17" s="33"/>
      <c r="BMY17" s="33"/>
      <c r="BMZ17" s="33"/>
      <c r="BNA17" s="33"/>
      <c r="BNB17" s="33"/>
      <c r="BNC17" s="33"/>
      <c r="BND17" s="33"/>
      <c r="BNE17" s="33"/>
      <c r="BNF17" s="33"/>
      <c r="BNG17" s="33"/>
      <c r="BNH17" s="33"/>
      <c r="BNI17" s="33"/>
      <c r="BNJ17" s="33"/>
      <c r="BNK17" s="33"/>
      <c r="BNL17" s="33"/>
      <c r="BNM17" s="33"/>
      <c r="BNN17" s="33"/>
      <c r="BNO17" s="33"/>
      <c r="BNP17" s="33"/>
      <c r="BNQ17" s="33"/>
      <c r="BNR17" s="33"/>
      <c r="BNS17" s="33"/>
      <c r="BNT17" s="33"/>
      <c r="BNU17" s="33"/>
      <c r="BNV17" s="33"/>
      <c r="BNW17" s="33"/>
      <c r="BNX17" s="33"/>
      <c r="BNY17" s="33"/>
      <c r="BNZ17" s="33"/>
      <c r="BOA17" s="33"/>
      <c r="BOB17" s="33"/>
      <c r="BOC17" s="33"/>
      <c r="BOD17" s="33"/>
      <c r="BOE17" s="33"/>
      <c r="BOF17" s="33"/>
      <c r="BOG17" s="33"/>
      <c r="BOH17" s="33"/>
      <c r="BOI17" s="33"/>
      <c r="BOJ17" s="33"/>
      <c r="BOK17" s="33"/>
      <c r="BOL17" s="33"/>
      <c r="BOM17" s="33"/>
      <c r="BON17" s="33"/>
      <c r="BOO17" s="33"/>
      <c r="BOP17" s="33"/>
      <c r="BOQ17" s="33"/>
      <c r="BOR17" s="33"/>
      <c r="BOS17" s="33"/>
      <c r="BOT17" s="33"/>
      <c r="BOU17" s="33"/>
      <c r="BOV17" s="33"/>
      <c r="BOW17" s="33"/>
      <c r="BOX17" s="33"/>
      <c r="BOY17" s="33"/>
      <c r="BOZ17" s="33"/>
      <c r="BPA17" s="33"/>
      <c r="BPB17" s="33"/>
      <c r="BPC17" s="81"/>
    </row>
    <row r="18" s="34" customFormat="1" ht="60" customHeight="1" spans="1:1024 1025:1771">
      <c r="A18" s="78" t="s">
        <v>45</v>
      </c>
      <c r="B18" s="75" t="s">
        <v>46</v>
      </c>
      <c r="C18" s="75" t="s">
        <v>47</v>
      </c>
      <c r="D18" s="75" t="s">
        <v>48</v>
      </c>
      <c r="E18" s="75"/>
      <c r="F18" s="75"/>
      <c r="G18" s="79"/>
      <c r="H18" s="76">
        <f ca="1" t="shared" si="0"/>
        <v>46175</v>
      </c>
      <c r="I18" s="80" t="s">
        <v>7</v>
      </c>
      <c r="J18" s="79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3"/>
      <c r="PU18" s="33"/>
      <c r="PV18" s="33"/>
      <c r="PW18" s="33"/>
      <c r="PX18" s="33"/>
      <c r="PY18" s="33"/>
      <c r="PZ18" s="33"/>
      <c r="QA18" s="33"/>
      <c r="QB18" s="33"/>
      <c r="QC18" s="33"/>
      <c r="QD18" s="33"/>
      <c r="QE18" s="33"/>
      <c r="QF18" s="33"/>
      <c r="QG18" s="33"/>
      <c r="QH18" s="33"/>
      <c r="QI18" s="33"/>
      <c r="QJ18" s="33"/>
      <c r="QK18" s="33"/>
      <c r="QL18" s="33"/>
      <c r="QM18" s="33"/>
      <c r="QN18" s="33"/>
      <c r="QO18" s="33"/>
      <c r="QP18" s="33"/>
      <c r="QQ18" s="33"/>
      <c r="QR18" s="33"/>
      <c r="QS18" s="33"/>
      <c r="QT18" s="33"/>
      <c r="QU18" s="33"/>
      <c r="QV18" s="33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3"/>
      <c r="SD18" s="33"/>
      <c r="SE18" s="33"/>
      <c r="SF18" s="33"/>
      <c r="SG18" s="33"/>
      <c r="SH18" s="33"/>
      <c r="SI18" s="33"/>
      <c r="SJ18" s="33"/>
      <c r="SK18" s="33"/>
      <c r="SL18" s="33"/>
      <c r="SM18" s="33"/>
      <c r="SN18" s="33"/>
      <c r="SO18" s="33"/>
      <c r="SP18" s="33"/>
      <c r="SQ18" s="33"/>
      <c r="SR18" s="33"/>
      <c r="SS18" s="33"/>
      <c r="ST18" s="33"/>
      <c r="SU18" s="33"/>
      <c r="SV18" s="33"/>
      <c r="SW18" s="33"/>
      <c r="SX18" s="33"/>
      <c r="SY18" s="33"/>
      <c r="SZ18" s="33"/>
      <c r="TA18" s="33"/>
      <c r="TB18" s="33"/>
      <c r="TC18" s="33"/>
      <c r="TD18" s="33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  <c r="AJZ18" s="33"/>
      <c r="AKA18" s="33"/>
      <c r="AKB18" s="33"/>
      <c r="AKC18" s="33"/>
      <c r="AKD18" s="33"/>
      <c r="AKE18" s="33"/>
      <c r="AKF18" s="33"/>
      <c r="AKG18" s="33"/>
      <c r="AKH18" s="33"/>
      <c r="AKI18" s="33"/>
      <c r="AKJ18" s="33"/>
      <c r="AKK18" s="33"/>
      <c r="AKL18" s="33"/>
      <c r="AKM18" s="33"/>
      <c r="AKN18" s="33"/>
      <c r="AKO18" s="33"/>
      <c r="AKP18" s="33"/>
      <c r="AKQ18" s="33"/>
      <c r="AKR18" s="33"/>
      <c r="AKS18" s="33"/>
      <c r="AKT18" s="33"/>
      <c r="AKU18" s="33"/>
      <c r="AKV18" s="33"/>
      <c r="AKW18" s="33"/>
      <c r="AKX18" s="33"/>
      <c r="AKY18" s="33"/>
      <c r="AKZ18" s="33"/>
      <c r="ALA18" s="33"/>
      <c r="ALB18" s="33"/>
      <c r="ALC18" s="33"/>
      <c r="ALD18" s="33"/>
      <c r="ALE18" s="33"/>
      <c r="ALF18" s="33"/>
      <c r="ALG18" s="33"/>
      <c r="ALH18" s="33"/>
      <c r="ALI18" s="33"/>
      <c r="ALJ18" s="33"/>
      <c r="ALK18" s="33"/>
      <c r="ALL18" s="33"/>
      <c r="ALM18" s="33"/>
      <c r="ALN18" s="33"/>
      <c r="ALO18" s="33"/>
      <c r="ALP18" s="33"/>
      <c r="ALQ18" s="33"/>
      <c r="ALR18" s="33"/>
      <c r="ALS18" s="33"/>
      <c r="ALT18" s="33"/>
      <c r="ALU18" s="33"/>
      <c r="ALV18" s="33"/>
      <c r="ALW18" s="33"/>
      <c r="ALX18" s="33"/>
      <c r="ALY18" s="33"/>
      <c r="ALZ18" s="33"/>
      <c r="AMA18" s="33"/>
      <c r="AMB18" s="33"/>
      <c r="AMC18" s="33"/>
      <c r="AMD18" s="33"/>
      <c r="AME18" s="33"/>
      <c r="AMF18" s="33"/>
      <c r="AMG18" s="33"/>
      <c r="AMH18" s="33"/>
      <c r="AMI18" s="33"/>
      <c r="AMJ18" s="33"/>
      <c r="AMK18" s="33"/>
      <c r="AML18" s="33"/>
      <c r="AMM18" s="33"/>
      <c r="AMN18" s="33"/>
      <c r="AMO18" s="33"/>
      <c r="AMP18" s="33"/>
      <c r="AMQ18" s="33"/>
      <c r="AMR18" s="33"/>
      <c r="AMS18" s="33"/>
      <c r="AMT18" s="33"/>
      <c r="AMU18" s="33"/>
      <c r="AMV18" s="33"/>
      <c r="AMW18" s="33"/>
      <c r="AMX18" s="33"/>
      <c r="AMY18" s="33"/>
      <c r="AMZ18" s="33"/>
      <c r="ANA18" s="33"/>
      <c r="ANB18" s="33"/>
      <c r="ANC18" s="33"/>
      <c r="AND18" s="33"/>
      <c r="ANE18" s="33"/>
      <c r="ANF18" s="33"/>
      <c r="ANG18" s="33"/>
      <c r="ANH18" s="33"/>
      <c r="ANI18" s="33"/>
      <c r="ANJ18" s="33"/>
      <c r="ANK18" s="33"/>
      <c r="ANL18" s="33"/>
      <c r="ANM18" s="33"/>
      <c r="ANN18" s="33"/>
      <c r="ANO18" s="33"/>
      <c r="ANP18" s="33"/>
      <c r="ANQ18" s="33"/>
      <c r="ANR18" s="33"/>
      <c r="ANS18" s="33"/>
      <c r="ANT18" s="33"/>
      <c r="ANU18" s="33"/>
      <c r="ANV18" s="33"/>
      <c r="ANW18" s="33"/>
      <c r="ANX18" s="33"/>
      <c r="ANY18" s="33"/>
      <c r="ANZ18" s="33"/>
      <c r="AOA18" s="33"/>
      <c r="AOB18" s="33"/>
      <c r="AOC18" s="33"/>
      <c r="AOD18" s="33"/>
      <c r="AOE18" s="33"/>
      <c r="AOF18" s="33"/>
      <c r="AOG18" s="33"/>
      <c r="AOH18" s="33"/>
      <c r="AOI18" s="33"/>
      <c r="AOJ18" s="33"/>
      <c r="AOK18" s="33"/>
      <c r="AOL18" s="33"/>
      <c r="AOM18" s="33"/>
      <c r="AON18" s="33"/>
      <c r="AOO18" s="33"/>
      <c r="AOP18" s="33"/>
      <c r="AOQ18" s="33"/>
      <c r="AOR18" s="33"/>
      <c r="AOS18" s="33"/>
      <c r="AOT18" s="33"/>
      <c r="AOU18" s="33"/>
      <c r="AOV18" s="33"/>
      <c r="AOW18" s="33"/>
      <c r="AOX18" s="33"/>
      <c r="AOY18" s="33"/>
      <c r="AOZ18" s="33"/>
      <c r="APA18" s="33"/>
      <c r="APB18" s="33"/>
      <c r="APC18" s="33"/>
      <c r="APD18" s="33"/>
      <c r="APE18" s="33"/>
      <c r="APF18" s="33"/>
      <c r="APG18" s="33"/>
      <c r="APH18" s="33"/>
      <c r="API18" s="33"/>
      <c r="APJ18" s="33"/>
      <c r="APK18" s="33"/>
      <c r="APL18" s="33"/>
      <c r="APM18" s="33"/>
      <c r="APN18" s="33"/>
      <c r="APO18" s="33"/>
      <c r="APP18" s="33"/>
      <c r="APQ18" s="33"/>
      <c r="APR18" s="33"/>
      <c r="APS18" s="33"/>
      <c r="APT18" s="33"/>
      <c r="APU18" s="33"/>
      <c r="APV18" s="33"/>
      <c r="APW18" s="33"/>
      <c r="APX18" s="33"/>
      <c r="APY18" s="33"/>
      <c r="APZ18" s="33"/>
      <c r="AQA18" s="33"/>
      <c r="AQB18" s="33"/>
      <c r="AQC18" s="33"/>
      <c r="AQD18" s="33"/>
      <c r="AQE18" s="33"/>
      <c r="AQF18" s="33"/>
      <c r="AQG18" s="33"/>
      <c r="AQH18" s="33"/>
      <c r="AQI18" s="33"/>
      <c r="AQJ18" s="33"/>
      <c r="AQK18" s="33"/>
      <c r="AQL18" s="33"/>
      <c r="AQM18" s="33"/>
      <c r="AQN18" s="33"/>
      <c r="AQO18" s="33"/>
      <c r="AQP18" s="33"/>
      <c r="AQQ18" s="33"/>
      <c r="AQR18" s="33"/>
      <c r="AQS18" s="33"/>
      <c r="AQT18" s="33"/>
      <c r="AQU18" s="33"/>
      <c r="AQV18" s="33"/>
      <c r="AQW18" s="33"/>
      <c r="AQX18" s="33"/>
      <c r="AQY18" s="33"/>
      <c r="AQZ18" s="33"/>
      <c r="ARA18" s="33"/>
      <c r="ARB18" s="33"/>
      <c r="ARC18" s="33"/>
      <c r="ARD18" s="33"/>
      <c r="ARE18" s="33"/>
      <c r="ARF18" s="33"/>
      <c r="ARG18" s="33"/>
      <c r="ARH18" s="33"/>
      <c r="ARI18" s="33"/>
      <c r="ARJ18" s="33"/>
      <c r="ARK18" s="33"/>
      <c r="ARL18" s="33"/>
      <c r="ARM18" s="33"/>
      <c r="ARN18" s="33"/>
      <c r="ARO18" s="33"/>
      <c r="ARP18" s="33"/>
      <c r="ARQ18" s="33"/>
      <c r="ARR18" s="33"/>
      <c r="ARS18" s="33"/>
      <c r="ART18" s="33"/>
      <c r="ARU18" s="33"/>
      <c r="ARV18" s="33"/>
      <c r="ARW18" s="33"/>
      <c r="ARX18" s="33"/>
      <c r="ARY18" s="33"/>
      <c r="ARZ18" s="33"/>
      <c r="ASA18" s="33"/>
      <c r="ASB18" s="33"/>
      <c r="ASC18" s="33"/>
      <c r="ASD18" s="33"/>
      <c r="ASE18" s="33"/>
      <c r="ASF18" s="33"/>
      <c r="ASG18" s="33"/>
      <c r="ASH18" s="33"/>
      <c r="ASI18" s="33"/>
      <c r="ASJ18" s="33"/>
      <c r="ASK18" s="33"/>
      <c r="ASL18" s="33"/>
      <c r="ASM18" s="33"/>
      <c r="ASN18" s="33"/>
      <c r="ASO18" s="33"/>
      <c r="ASP18" s="33"/>
      <c r="ASQ18" s="33"/>
      <c r="ASR18" s="33"/>
      <c r="ASS18" s="33"/>
      <c r="AST18" s="33"/>
      <c r="ASU18" s="33"/>
      <c r="ASV18" s="33"/>
      <c r="ASW18" s="33"/>
      <c r="ASX18" s="33"/>
      <c r="ASY18" s="33"/>
      <c r="ASZ18" s="33"/>
      <c r="ATA18" s="33"/>
      <c r="ATB18" s="33"/>
      <c r="ATC18" s="33"/>
      <c r="ATD18" s="33"/>
      <c r="ATE18" s="33"/>
      <c r="ATF18" s="33"/>
      <c r="ATG18" s="33"/>
      <c r="ATH18" s="33"/>
      <c r="ATI18" s="33"/>
      <c r="ATJ18" s="33"/>
      <c r="ATK18" s="33"/>
      <c r="ATL18" s="33"/>
      <c r="ATM18" s="33"/>
      <c r="ATN18" s="33"/>
      <c r="ATO18" s="33"/>
      <c r="ATP18" s="33"/>
      <c r="ATQ18" s="33"/>
      <c r="ATR18" s="33"/>
      <c r="ATS18" s="33"/>
      <c r="ATT18" s="33"/>
      <c r="ATU18" s="33"/>
      <c r="ATV18" s="33"/>
      <c r="ATW18" s="33"/>
      <c r="ATX18" s="33"/>
      <c r="ATY18" s="33"/>
      <c r="ATZ18" s="33"/>
      <c r="AUA18" s="33"/>
      <c r="AUB18" s="33"/>
      <c r="AUC18" s="33"/>
      <c r="AUD18" s="33"/>
      <c r="AUE18" s="33"/>
      <c r="AUF18" s="33"/>
      <c r="AUG18" s="33"/>
      <c r="AUH18" s="33"/>
      <c r="AUI18" s="33"/>
      <c r="AUJ18" s="33"/>
      <c r="AUK18" s="33"/>
      <c r="AUL18" s="33"/>
      <c r="AUM18" s="33"/>
      <c r="AUN18" s="33"/>
      <c r="AUO18" s="33"/>
      <c r="AUP18" s="33"/>
      <c r="AUQ18" s="33"/>
      <c r="AUR18" s="33"/>
      <c r="AUS18" s="33"/>
      <c r="AUT18" s="33"/>
      <c r="AUU18" s="33"/>
      <c r="AUV18" s="33"/>
      <c r="AUW18" s="33"/>
      <c r="AUX18" s="33"/>
      <c r="AUY18" s="33"/>
      <c r="AUZ18" s="33"/>
      <c r="AVA18" s="33"/>
      <c r="AVB18" s="33"/>
      <c r="AVC18" s="33"/>
      <c r="AVD18" s="33"/>
      <c r="AVE18" s="33"/>
      <c r="AVF18" s="33"/>
      <c r="AVG18" s="33"/>
      <c r="AVH18" s="33"/>
      <c r="AVI18" s="33"/>
      <c r="AVJ18" s="33"/>
      <c r="AVK18" s="33"/>
      <c r="AVL18" s="33"/>
      <c r="AVM18" s="33"/>
      <c r="AVN18" s="33"/>
      <c r="AVO18" s="33"/>
      <c r="AVP18" s="33"/>
      <c r="AVQ18" s="33"/>
      <c r="AVR18" s="33"/>
      <c r="AVS18" s="33"/>
      <c r="AVT18" s="33"/>
      <c r="AVU18" s="33"/>
      <c r="AVV18" s="33"/>
      <c r="AVW18" s="33"/>
      <c r="AVX18" s="33"/>
      <c r="AVY18" s="33"/>
      <c r="AVZ18" s="33"/>
      <c r="AWA18" s="33"/>
      <c r="AWB18" s="33"/>
      <c r="AWC18" s="33"/>
      <c r="AWD18" s="33"/>
      <c r="AWE18" s="33"/>
      <c r="AWF18" s="33"/>
      <c r="AWG18" s="33"/>
      <c r="AWH18" s="33"/>
      <c r="AWI18" s="33"/>
      <c r="AWJ18" s="33"/>
      <c r="AWK18" s="33"/>
      <c r="AWL18" s="33"/>
      <c r="AWM18" s="33"/>
      <c r="AWN18" s="33"/>
      <c r="AWO18" s="33"/>
      <c r="AWP18" s="33"/>
      <c r="AWQ18" s="33"/>
      <c r="AWR18" s="33"/>
      <c r="AWS18" s="33"/>
      <c r="AWT18" s="33"/>
      <c r="AWU18" s="33"/>
      <c r="AWV18" s="33"/>
      <c r="AWW18" s="33"/>
      <c r="AWX18" s="33"/>
      <c r="AWY18" s="33"/>
      <c r="AWZ18" s="33"/>
      <c r="AXA18" s="33"/>
      <c r="AXB18" s="33"/>
      <c r="AXC18" s="33"/>
      <c r="AXD18" s="33"/>
      <c r="AXE18" s="33"/>
      <c r="AXF18" s="33"/>
      <c r="AXG18" s="33"/>
      <c r="AXH18" s="33"/>
      <c r="AXI18" s="33"/>
      <c r="AXJ18" s="33"/>
      <c r="AXK18" s="33"/>
      <c r="AXL18" s="33"/>
      <c r="AXM18" s="33"/>
      <c r="AXN18" s="33"/>
      <c r="AXO18" s="33"/>
      <c r="AXP18" s="33"/>
      <c r="AXQ18" s="33"/>
      <c r="AXR18" s="33"/>
      <c r="AXS18" s="33"/>
      <c r="AXT18" s="33"/>
      <c r="AXU18" s="33"/>
      <c r="AXV18" s="33"/>
      <c r="AXW18" s="33"/>
      <c r="AXX18" s="33"/>
      <c r="AXY18" s="33"/>
      <c r="AXZ18" s="33"/>
      <c r="AYA18" s="33"/>
      <c r="AYB18" s="33"/>
      <c r="AYC18" s="33"/>
      <c r="AYD18" s="33"/>
      <c r="AYE18" s="33"/>
      <c r="AYF18" s="33"/>
      <c r="AYG18" s="33"/>
      <c r="AYH18" s="33"/>
      <c r="AYI18" s="33"/>
      <c r="AYJ18" s="33"/>
      <c r="AYK18" s="33"/>
      <c r="AYL18" s="33"/>
      <c r="AYM18" s="33"/>
      <c r="AYN18" s="33"/>
      <c r="AYO18" s="33"/>
      <c r="AYP18" s="33"/>
      <c r="AYQ18" s="33"/>
      <c r="AYR18" s="33"/>
      <c r="AYS18" s="33"/>
      <c r="AYT18" s="33"/>
      <c r="AYU18" s="33"/>
      <c r="AYV18" s="33"/>
      <c r="AYW18" s="33"/>
      <c r="AYX18" s="33"/>
      <c r="AYY18" s="33"/>
      <c r="AYZ18" s="33"/>
      <c r="AZA18" s="33"/>
      <c r="AZB18" s="33"/>
      <c r="AZC18" s="33"/>
      <c r="AZD18" s="33"/>
      <c r="AZE18" s="33"/>
      <c r="AZF18" s="33"/>
      <c r="AZG18" s="33"/>
      <c r="AZH18" s="33"/>
      <c r="AZI18" s="33"/>
      <c r="AZJ18" s="33"/>
      <c r="AZK18" s="33"/>
      <c r="AZL18" s="33"/>
      <c r="AZM18" s="33"/>
      <c r="AZN18" s="33"/>
      <c r="AZO18" s="33"/>
      <c r="AZP18" s="33"/>
      <c r="AZQ18" s="33"/>
      <c r="AZR18" s="33"/>
      <c r="AZS18" s="33"/>
      <c r="AZT18" s="33"/>
      <c r="AZU18" s="33"/>
      <c r="AZV18" s="33"/>
      <c r="AZW18" s="33"/>
      <c r="AZX18" s="33"/>
      <c r="AZY18" s="33"/>
      <c r="AZZ18" s="33"/>
      <c r="BAA18" s="33"/>
      <c r="BAB18" s="33"/>
      <c r="BAC18" s="33"/>
      <c r="BAD18" s="33"/>
      <c r="BAE18" s="33"/>
      <c r="BAF18" s="33"/>
      <c r="BAG18" s="33"/>
      <c r="BAH18" s="33"/>
      <c r="BAI18" s="33"/>
      <c r="BAJ18" s="33"/>
      <c r="BAK18" s="33"/>
      <c r="BAL18" s="33"/>
      <c r="BAM18" s="33"/>
      <c r="BAN18" s="33"/>
      <c r="BAO18" s="33"/>
      <c r="BAP18" s="33"/>
      <c r="BAQ18" s="33"/>
      <c r="BAR18" s="33"/>
      <c r="BAS18" s="33"/>
      <c r="BAT18" s="33"/>
      <c r="BAU18" s="33"/>
      <c r="BAV18" s="33"/>
      <c r="BAW18" s="33"/>
      <c r="BAX18" s="33"/>
      <c r="BAY18" s="33"/>
      <c r="BAZ18" s="33"/>
      <c r="BBA18" s="33"/>
      <c r="BBB18" s="33"/>
      <c r="BBC18" s="33"/>
      <c r="BBD18" s="33"/>
      <c r="BBE18" s="33"/>
      <c r="BBF18" s="33"/>
      <c r="BBG18" s="33"/>
      <c r="BBH18" s="33"/>
      <c r="BBI18" s="33"/>
      <c r="BBJ18" s="33"/>
      <c r="BBK18" s="33"/>
      <c r="BBL18" s="33"/>
      <c r="BBM18" s="33"/>
      <c r="BBN18" s="33"/>
      <c r="BBO18" s="33"/>
      <c r="BBP18" s="33"/>
      <c r="BBQ18" s="33"/>
      <c r="BBR18" s="33"/>
      <c r="BBS18" s="33"/>
      <c r="BBT18" s="33"/>
      <c r="BBU18" s="33"/>
      <c r="BBV18" s="33"/>
      <c r="BBW18" s="33"/>
      <c r="BBX18" s="33"/>
      <c r="BBY18" s="33"/>
      <c r="BBZ18" s="33"/>
      <c r="BCA18" s="33"/>
      <c r="BCB18" s="33"/>
      <c r="BCC18" s="33"/>
      <c r="BCD18" s="33"/>
      <c r="BCE18" s="33"/>
      <c r="BCF18" s="33"/>
      <c r="BCG18" s="33"/>
      <c r="BCH18" s="33"/>
      <c r="BCI18" s="33"/>
      <c r="BCJ18" s="33"/>
      <c r="BCK18" s="33"/>
      <c r="BCL18" s="33"/>
      <c r="BCM18" s="33"/>
      <c r="BCN18" s="33"/>
      <c r="BCO18" s="33"/>
      <c r="BCP18" s="33"/>
      <c r="BCQ18" s="33"/>
      <c r="BCR18" s="33"/>
      <c r="BCS18" s="33"/>
      <c r="BCT18" s="33"/>
      <c r="BCU18" s="33"/>
      <c r="BCV18" s="33"/>
      <c r="BCW18" s="33"/>
      <c r="BCX18" s="33"/>
      <c r="BCY18" s="33"/>
      <c r="BCZ18" s="33"/>
      <c r="BDA18" s="33"/>
      <c r="BDB18" s="33"/>
      <c r="BDC18" s="33"/>
      <c r="BDD18" s="33"/>
      <c r="BDE18" s="33"/>
      <c r="BDF18" s="33"/>
      <c r="BDG18" s="33"/>
      <c r="BDH18" s="33"/>
      <c r="BDI18" s="33"/>
      <c r="BDJ18" s="33"/>
      <c r="BDK18" s="33"/>
      <c r="BDL18" s="33"/>
      <c r="BDM18" s="33"/>
      <c r="BDN18" s="33"/>
      <c r="BDO18" s="33"/>
      <c r="BDP18" s="33"/>
      <c r="BDQ18" s="33"/>
      <c r="BDR18" s="33"/>
      <c r="BDS18" s="33"/>
      <c r="BDT18" s="33"/>
      <c r="BDU18" s="33"/>
      <c r="BDV18" s="33"/>
      <c r="BDW18" s="33"/>
      <c r="BDX18" s="33"/>
      <c r="BDY18" s="33"/>
      <c r="BDZ18" s="33"/>
      <c r="BEA18" s="33"/>
      <c r="BEB18" s="33"/>
      <c r="BEC18" s="33"/>
      <c r="BED18" s="33"/>
      <c r="BEE18" s="33"/>
      <c r="BEF18" s="33"/>
      <c r="BEG18" s="33"/>
      <c r="BEH18" s="33"/>
      <c r="BEI18" s="33"/>
      <c r="BEJ18" s="33"/>
      <c r="BEK18" s="33"/>
      <c r="BEL18" s="33"/>
      <c r="BEM18" s="33"/>
      <c r="BEN18" s="33"/>
      <c r="BEO18" s="33"/>
      <c r="BEP18" s="33"/>
      <c r="BEQ18" s="33"/>
      <c r="BER18" s="33"/>
      <c r="BES18" s="33"/>
      <c r="BET18" s="33"/>
      <c r="BEU18" s="33"/>
      <c r="BEV18" s="33"/>
      <c r="BEW18" s="33"/>
      <c r="BEX18" s="33"/>
      <c r="BEY18" s="33"/>
      <c r="BEZ18" s="33"/>
      <c r="BFA18" s="33"/>
      <c r="BFB18" s="33"/>
      <c r="BFC18" s="33"/>
      <c r="BFD18" s="33"/>
      <c r="BFE18" s="33"/>
      <c r="BFF18" s="33"/>
      <c r="BFG18" s="33"/>
      <c r="BFH18" s="33"/>
      <c r="BFI18" s="33"/>
      <c r="BFJ18" s="33"/>
      <c r="BFK18" s="33"/>
      <c r="BFL18" s="33"/>
      <c r="BFM18" s="33"/>
      <c r="BFN18" s="33"/>
      <c r="BFO18" s="33"/>
      <c r="BFP18" s="33"/>
      <c r="BFQ18" s="33"/>
      <c r="BFR18" s="33"/>
      <c r="BFS18" s="33"/>
      <c r="BFT18" s="33"/>
      <c r="BFU18" s="33"/>
      <c r="BFV18" s="33"/>
      <c r="BFW18" s="33"/>
      <c r="BFX18" s="33"/>
      <c r="BFY18" s="33"/>
      <c r="BFZ18" s="33"/>
      <c r="BGA18" s="33"/>
      <c r="BGB18" s="33"/>
      <c r="BGC18" s="33"/>
      <c r="BGD18" s="33"/>
      <c r="BGE18" s="33"/>
      <c r="BGF18" s="33"/>
      <c r="BGG18" s="33"/>
      <c r="BGH18" s="33"/>
      <c r="BGI18" s="33"/>
      <c r="BGJ18" s="33"/>
      <c r="BGK18" s="33"/>
      <c r="BGL18" s="33"/>
      <c r="BGM18" s="33"/>
      <c r="BGN18" s="33"/>
      <c r="BGO18" s="33"/>
      <c r="BGP18" s="33"/>
      <c r="BGQ18" s="33"/>
      <c r="BGR18" s="33"/>
      <c r="BGS18" s="33"/>
      <c r="BGT18" s="33"/>
      <c r="BGU18" s="33"/>
      <c r="BGV18" s="33"/>
      <c r="BGW18" s="33"/>
      <c r="BGX18" s="33"/>
      <c r="BGY18" s="33"/>
      <c r="BGZ18" s="33"/>
      <c r="BHA18" s="33"/>
      <c r="BHB18" s="33"/>
      <c r="BHC18" s="33"/>
      <c r="BHD18" s="33"/>
      <c r="BHE18" s="33"/>
      <c r="BHF18" s="33"/>
      <c r="BHG18" s="33"/>
      <c r="BHH18" s="33"/>
      <c r="BHI18" s="33"/>
      <c r="BHJ18" s="33"/>
      <c r="BHK18" s="33"/>
      <c r="BHL18" s="33"/>
      <c r="BHM18" s="33"/>
      <c r="BHN18" s="33"/>
      <c r="BHO18" s="33"/>
      <c r="BHP18" s="33"/>
      <c r="BHQ18" s="33"/>
      <c r="BHR18" s="33"/>
      <c r="BHS18" s="33"/>
      <c r="BHT18" s="33"/>
      <c r="BHU18" s="33"/>
      <c r="BHV18" s="33"/>
      <c r="BHW18" s="33"/>
      <c r="BHX18" s="33"/>
      <c r="BHY18" s="33"/>
      <c r="BHZ18" s="33"/>
      <c r="BIA18" s="33"/>
      <c r="BIB18" s="33"/>
      <c r="BIC18" s="33"/>
      <c r="BID18" s="33"/>
      <c r="BIE18" s="33"/>
      <c r="BIF18" s="33"/>
      <c r="BIG18" s="33"/>
      <c r="BIH18" s="33"/>
      <c r="BII18" s="33"/>
      <c r="BIJ18" s="33"/>
      <c r="BIK18" s="33"/>
      <c r="BIL18" s="33"/>
      <c r="BIM18" s="33"/>
      <c r="BIN18" s="33"/>
      <c r="BIO18" s="33"/>
      <c r="BIP18" s="33"/>
      <c r="BIQ18" s="33"/>
      <c r="BIR18" s="33"/>
      <c r="BIS18" s="33"/>
      <c r="BIT18" s="33"/>
      <c r="BIU18" s="33"/>
      <c r="BIV18" s="33"/>
      <c r="BIW18" s="33"/>
      <c r="BIX18" s="33"/>
      <c r="BIY18" s="33"/>
      <c r="BIZ18" s="33"/>
      <c r="BJA18" s="33"/>
      <c r="BJB18" s="33"/>
      <c r="BJC18" s="33"/>
      <c r="BJD18" s="33"/>
      <c r="BJE18" s="33"/>
      <c r="BJF18" s="33"/>
      <c r="BJG18" s="33"/>
      <c r="BJH18" s="33"/>
      <c r="BJI18" s="33"/>
      <c r="BJJ18" s="33"/>
      <c r="BJK18" s="33"/>
      <c r="BJL18" s="33"/>
      <c r="BJM18" s="33"/>
      <c r="BJN18" s="33"/>
      <c r="BJO18" s="33"/>
      <c r="BJP18" s="33"/>
      <c r="BJQ18" s="33"/>
      <c r="BJR18" s="33"/>
      <c r="BJS18" s="33"/>
      <c r="BJT18" s="33"/>
      <c r="BJU18" s="33"/>
      <c r="BJV18" s="33"/>
      <c r="BJW18" s="33"/>
      <c r="BJX18" s="33"/>
      <c r="BJY18" s="33"/>
      <c r="BJZ18" s="33"/>
      <c r="BKA18" s="33"/>
      <c r="BKB18" s="33"/>
      <c r="BKC18" s="33"/>
      <c r="BKD18" s="33"/>
      <c r="BKE18" s="33"/>
      <c r="BKF18" s="33"/>
      <c r="BKG18" s="33"/>
      <c r="BKH18" s="33"/>
      <c r="BKI18" s="33"/>
      <c r="BKJ18" s="33"/>
      <c r="BKK18" s="33"/>
      <c r="BKL18" s="33"/>
      <c r="BKM18" s="33"/>
      <c r="BKN18" s="33"/>
      <c r="BKO18" s="33"/>
      <c r="BKP18" s="33"/>
      <c r="BKQ18" s="33"/>
      <c r="BKR18" s="33"/>
      <c r="BKS18" s="33"/>
      <c r="BKT18" s="33"/>
      <c r="BKU18" s="33"/>
      <c r="BKV18" s="33"/>
      <c r="BKW18" s="33"/>
      <c r="BKX18" s="33"/>
      <c r="BKY18" s="33"/>
      <c r="BKZ18" s="33"/>
      <c r="BLA18" s="33"/>
      <c r="BLB18" s="33"/>
      <c r="BLC18" s="33"/>
      <c r="BLD18" s="33"/>
      <c r="BLE18" s="33"/>
      <c r="BLF18" s="33"/>
      <c r="BLG18" s="33"/>
      <c r="BLH18" s="33"/>
      <c r="BLI18" s="33"/>
      <c r="BLJ18" s="33"/>
      <c r="BLK18" s="33"/>
      <c r="BLL18" s="33"/>
      <c r="BLM18" s="33"/>
      <c r="BLN18" s="33"/>
      <c r="BLO18" s="33"/>
      <c r="BLP18" s="33"/>
      <c r="BLQ18" s="33"/>
      <c r="BLR18" s="33"/>
      <c r="BLS18" s="33"/>
      <c r="BLT18" s="33"/>
      <c r="BLU18" s="33"/>
      <c r="BLV18" s="33"/>
      <c r="BLW18" s="33"/>
      <c r="BLX18" s="33"/>
      <c r="BLY18" s="33"/>
      <c r="BLZ18" s="33"/>
      <c r="BMA18" s="33"/>
      <c r="BMB18" s="33"/>
      <c r="BMC18" s="33"/>
      <c r="BMD18" s="33"/>
      <c r="BME18" s="33"/>
      <c r="BMF18" s="33"/>
      <c r="BMG18" s="33"/>
      <c r="BMH18" s="33"/>
      <c r="BMI18" s="33"/>
      <c r="BMJ18" s="33"/>
      <c r="BMK18" s="33"/>
      <c r="BML18" s="33"/>
      <c r="BMM18" s="33"/>
      <c r="BMN18" s="33"/>
      <c r="BMO18" s="33"/>
      <c r="BMP18" s="33"/>
      <c r="BMQ18" s="33"/>
      <c r="BMR18" s="33"/>
      <c r="BMS18" s="33"/>
      <c r="BMT18" s="33"/>
      <c r="BMU18" s="33"/>
      <c r="BMV18" s="33"/>
      <c r="BMW18" s="33"/>
      <c r="BMX18" s="33"/>
      <c r="BMY18" s="33"/>
      <c r="BMZ18" s="33"/>
      <c r="BNA18" s="33"/>
      <c r="BNB18" s="33"/>
      <c r="BNC18" s="33"/>
      <c r="BND18" s="33"/>
      <c r="BNE18" s="33"/>
      <c r="BNF18" s="33"/>
      <c r="BNG18" s="33"/>
      <c r="BNH18" s="33"/>
      <c r="BNI18" s="33"/>
      <c r="BNJ18" s="33"/>
      <c r="BNK18" s="33"/>
      <c r="BNL18" s="33"/>
      <c r="BNM18" s="33"/>
      <c r="BNN18" s="33"/>
      <c r="BNO18" s="33"/>
      <c r="BNP18" s="33"/>
      <c r="BNQ18" s="33"/>
      <c r="BNR18" s="33"/>
      <c r="BNS18" s="33"/>
      <c r="BNT18" s="33"/>
      <c r="BNU18" s="33"/>
      <c r="BNV18" s="33"/>
      <c r="BNW18" s="33"/>
      <c r="BNX18" s="33"/>
      <c r="BNY18" s="33"/>
      <c r="BNZ18" s="33"/>
      <c r="BOA18" s="33"/>
      <c r="BOB18" s="33"/>
      <c r="BOC18" s="33"/>
      <c r="BOD18" s="33"/>
      <c r="BOE18" s="33"/>
      <c r="BOF18" s="33"/>
      <c r="BOG18" s="33"/>
      <c r="BOH18" s="33"/>
      <c r="BOI18" s="33"/>
      <c r="BOJ18" s="33"/>
      <c r="BOK18" s="33"/>
      <c r="BOL18" s="33"/>
      <c r="BOM18" s="33"/>
      <c r="BON18" s="33"/>
      <c r="BOO18" s="33"/>
      <c r="BOP18" s="33"/>
      <c r="BOQ18" s="33"/>
      <c r="BOR18" s="33"/>
      <c r="BOS18" s="33"/>
      <c r="BOT18" s="33"/>
      <c r="BOU18" s="33"/>
      <c r="BOV18" s="33"/>
      <c r="BOW18" s="33"/>
      <c r="BOX18" s="33"/>
      <c r="BOY18" s="33"/>
      <c r="BOZ18" s="33"/>
      <c r="BPA18" s="33"/>
      <c r="BPB18" s="33"/>
      <c r="BPC18" s="81"/>
    </row>
    <row r="19" s="34" customFormat="1" ht="60" customHeight="1" spans="1:1024 1025:1771">
      <c r="A19" s="78" t="s">
        <v>49</v>
      </c>
      <c r="B19" s="75" t="s">
        <v>50</v>
      </c>
      <c r="C19" s="75" t="s">
        <v>51</v>
      </c>
      <c r="D19" s="75" t="s">
        <v>52</v>
      </c>
      <c r="E19" s="75"/>
      <c r="F19" s="75"/>
      <c r="G19" s="79"/>
      <c r="H19" s="76">
        <f ca="1" t="shared" si="0"/>
        <v>46175</v>
      </c>
      <c r="I19" s="80" t="s">
        <v>7</v>
      </c>
      <c r="J19" s="79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33"/>
      <c r="NN19" s="33"/>
      <c r="NO19" s="33"/>
      <c r="NP19" s="33"/>
      <c r="NQ19" s="33"/>
      <c r="NR19" s="33"/>
      <c r="NS19" s="33"/>
      <c r="NT19" s="33"/>
      <c r="NU19" s="33"/>
      <c r="NV19" s="33"/>
      <c r="NW19" s="33"/>
      <c r="NX19" s="33"/>
      <c r="NY19" s="33"/>
      <c r="NZ19" s="33"/>
      <c r="OA19" s="33"/>
      <c r="OB19" s="33"/>
      <c r="OC19" s="33"/>
      <c r="OD19" s="33"/>
      <c r="OE19" s="33"/>
      <c r="OF19" s="33"/>
      <c r="OG19" s="33"/>
      <c r="OH19" s="33"/>
      <c r="OI19" s="33"/>
      <c r="OJ19" s="33"/>
      <c r="OK19" s="33"/>
      <c r="OL19" s="33"/>
      <c r="OM19" s="33"/>
      <c r="ON19" s="33"/>
      <c r="OO19" s="33"/>
      <c r="OP19" s="33"/>
      <c r="OQ19" s="33"/>
      <c r="OR19" s="33"/>
      <c r="OS19" s="33"/>
      <c r="OT19" s="33"/>
      <c r="OU19" s="33"/>
      <c r="OV19" s="33"/>
      <c r="OW19" s="33"/>
      <c r="OX19" s="33"/>
      <c r="OY19" s="33"/>
      <c r="OZ19" s="33"/>
      <c r="PA19" s="33"/>
      <c r="PB19" s="33"/>
      <c r="PC19" s="33"/>
      <c r="PD19" s="33"/>
      <c r="PE19" s="33"/>
      <c r="PF19" s="33"/>
      <c r="PG19" s="33"/>
      <c r="PH19" s="33"/>
      <c r="PI19" s="33"/>
      <c r="PJ19" s="33"/>
      <c r="PK19" s="33"/>
      <c r="PL19" s="33"/>
      <c r="PM19" s="33"/>
      <c r="PN19" s="33"/>
      <c r="PO19" s="33"/>
      <c r="PP19" s="33"/>
      <c r="PQ19" s="33"/>
      <c r="PR19" s="33"/>
      <c r="PS19" s="33"/>
      <c r="PT19" s="33"/>
      <c r="PU19" s="33"/>
      <c r="PV19" s="33"/>
      <c r="PW19" s="33"/>
      <c r="PX19" s="33"/>
      <c r="PY19" s="33"/>
      <c r="PZ19" s="33"/>
      <c r="QA19" s="33"/>
      <c r="QB19" s="33"/>
      <c r="QC19" s="33"/>
      <c r="QD19" s="33"/>
      <c r="QE19" s="33"/>
      <c r="QF19" s="33"/>
      <c r="QG19" s="33"/>
      <c r="QH19" s="33"/>
      <c r="QI19" s="33"/>
      <c r="QJ19" s="33"/>
      <c r="QK19" s="33"/>
      <c r="QL19" s="33"/>
      <c r="QM19" s="33"/>
      <c r="QN19" s="33"/>
      <c r="QO19" s="33"/>
      <c r="QP19" s="33"/>
      <c r="QQ19" s="33"/>
      <c r="QR19" s="33"/>
      <c r="QS19" s="33"/>
      <c r="QT19" s="33"/>
      <c r="QU19" s="33"/>
      <c r="QV19" s="33"/>
      <c r="QW19" s="33"/>
      <c r="QX19" s="33"/>
      <c r="QY19" s="33"/>
      <c r="QZ19" s="33"/>
      <c r="RA19" s="33"/>
      <c r="RB19" s="33"/>
      <c r="RC19" s="33"/>
      <c r="RD19" s="33"/>
      <c r="RE19" s="33"/>
      <c r="RF19" s="33"/>
      <c r="RG19" s="33"/>
      <c r="RH19" s="33"/>
      <c r="RI19" s="33"/>
      <c r="RJ19" s="33"/>
      <c r="RK19" s="33"/>
      <c r="RL19" s="33"/>
      <c r="RM19" s="33"/>
      <c r="RN19" s="33"/>
      <c r="RO19" s="33"/>
      <c r="RP19" s="33"/>
      <c r="RQ19" s="33"/>
      <c r="RR19" s="33"/>
      <c r="RS19" s="33"/>
      <c r="RT19" s="33"/>
      <c r="RU19" s="33"/>
      <c r="RV19" s="33"/>
      <c r="RW19" s="33"/>
      <c r="RX19" s="33"/>
      <c r="RY19" s="33"/>
      <c r="RZ19" s="33"/>
      <c r="SA19" s="33"/>
      <c r="SB19" s="33"/>
      <c r="SC19" s="33"/>
      <c r="SD19" s="33"/>
      <c r="SE19" s="33"/>
      <c r="SF19" s="33"/>
      <c r="SG19" s="33"/>
      <c r="SH19" s="33"/>
      <c r="SI19" s="33"/>
      <c r="SJ19" s="33"/>
      <c r="SK19" s="33"/>
      <c r="SL19" s="33"/>
      <c r="SM19" s="33"/>
      <c r="SN19" s="33"/>
      <c r="SO19" s="33"/>
      <c r="SP19" s="33"/>
      <c r="SQ19" s="33"/>
      <c r="SR19" s="33"/>
      <c r="SS19" s="33"/>
      <c r="ST19" s="33"/>
      <c r="SU19" s="33"/>
      <c r="SV19" s="33"/>
      <c r="SW19" s="33"/>
      <c r="SX19" s="33"/>
      <c r="SY19" s="33"/>
      <c r="SZ19" s="33"/>
      <c r="TA19" s="33"/>
      <c r="TB19" s="33"/>
      <c r="TC19" s="33"/>
      <c r="TD19" s="33"/>
      <c r="TE19" s="33"/>
      <c r="TF19" s="33"/>
      <c r="TG19" s="33"/>
      <c r="TH19" s="33"/>
      <c r="TI19" s="33"/>
      <c r="TJ19" s="33"/>
      <c r="TK19" s="33"/>
      <c r="TL19" s="33"/>
      <c r="TM19" s="33"/>
      <c r="TN19" s="33"/>
      <c r="TO19" s="33"/>
      <c r="TP19" s="33"/>
      <c r="TQ19" s="33"/>
      <c r="TR19" s="33"/>
      <c r="TS19" s="33"/>
      <c r="TT19" s="33"/>
      <c r="TU19" s="33"/>
      <c r="TV19" s="33"/>
      <c r="TW19" s="33"/>
      <c r="TX19" s="33"/>
      <c r="TY19" s="33"/>
      <c r="TZ19" s="33"/>
      <c r="UA19" s="33"/>
      <c r="UB19" s="33"/>
      <c r="UC19" s="33"/>
      <c r="UD19" s="33"/>
      <c r="UE19" s="33"/>
      <c r="UF19" s="33"/>
      <c r="UG19" s="33"/>
      <c r="UH19" s="33"/>
      <c r="UI19" s="33"/>
      <c r="UJ19" s="33"/>
      <c r="UK19" s="33"/>
      <c r="UL19" s="33"/>
      <c r="UM19" s="33"/>
      <c r="UN19" s="33"/>
      <c r="UO19" s="33"/>
      <c r="UP19" s="33"/>
      <c r="UQ19" s="33"/>
      <c r="UR19" s="33"/>
      <c r="US19" s="33"/>
      <c r="UT19" s="33"/>
      <c r="UU19" s="33"/>
      <c r="UV19" s="33"/>
      <c r="UW19" s="33"/>
      <c r="UX19" s="33"/>
      <c r="UY19" s="33"/>
      <c r="UZ19" s="33"/>
      <c r="VA19" s="33"/>
      <c r="VB19" s="33"/>
      <c r="VC19" s="33"/>
      <c r="VD19" s="33"/>
      <c r="VE19" s="33"/>
      <c r="VF19" s="33"/>
      <c r="VG19" s="33"/>
      <c r="VH19" s="33"/>
      <c r="VI19" s="33"/>
      <c r="VJ19" s="33"/>
      <c r="VK19" s="33"/>
      <c r="VL19" s="33"/>
      <c r="VM19" s="33"/>
      <c r="VN19" s="33"/>
      <c r="VO19" s="33"/>
      <c r="VP19" s="33"/>
      <c r="VQ19" s="33"/>
      <c r="VR19" s="33"/>
      <c r="VS19" s="33"/>
      <c r="VT19" s="33"/>
      <c r="VU19" s="33"/>
      <c r="VV19" s="33"/>
      <c r="VW19" s="33"/>
      <c r="VX19" s="33"/>
      <c r="VY19" s="33"/>
      <c r="VZ19" s="33"/>
      <c r="WA19" s="33"/>
      <c r="WB19" s="33"/>
      <c r="WC19" s="33"/>
      <c r="WD19" s="33"/>
      <c r="WE19" s="33"/>
      <c r="WF19" s="33"/>
      <c r="WG19" s="33"/>
      <c r="WH19" s="33"/>
      <c r="WI19" s="33"/>
      <c r="WJ19" s="33"/>
      <c r="WK19" s="33"/>
      <c r="WL19" s="33"/>
      <c r="WM19" s="33"/>
      <c r="WN19" s="33"/>
      <c r="WO19" s="33"/>
      <c r="WP19" s="33"/>
      <c r="WQ19" s="33"/>
      <c r="WR19" s="33"/>
      <c r="WS19" s="33"/>
      <c r="WT19" s="33"/>
      <c r="WU19" s="33"/>
      <c r="WV19" s="33"/>
      <c r="WW19" s="33"/>
      <c r="WX19" s="33"/>
      <c r="WY19" s="33"/>
      <c r="WZ19" s="33"/>
      <c r="XA19" s="33"/>
      <c r="XB19" s="33"/>
      <c r="XC19" s="33"/>
      <c r="XD19" s="33"/>
      <c r="XE19" s="33"/>
      <c r="XF19" s="33"/>
      <c r="XG19" s="33"/>
      <c r="XH19" s="33"/>
      <c r="XI19" s="33"/>
      <c r="XJ19" s="33"/>
      <c r="XK19" s="33"/>
      <c r="XL19" s="33"/>
      <c r="XM19" s="33"/>
      <c r="XN19" s="33"/>
      <c r="XO19" s="33"/>
      <c r="XP19" s="33"/>
      <c r="XQ19" s="33"/>
      <c r="XR19" s="33"/>
      <c r="XS19" s="33"/>
      <c r="XT19" s="33"/>
      <c r="XU19" s="33"/>
      <c r="XV19" s="33"/>
      <c r="XW19" s="33"/>
      <c r="XX19" s="33"/>
      <c r="XY19" s="33"/>
      <c r="XZ19" s="33"/>
      <c r="YA19" s="33"/>
      <c r="YB19" s="33"/>
      <c r="YC19" s="33"/>
      <c r="YD19" s="33"/>
      <c r="YE19" s="33"/>
      <c r="YF19" s="33"/>
      <c r="YG19" s="33"/>
      <c r="YH19" s="33"/>
      <c r="YI19" s="33"/>
      <c r="YJ19" s="33"/>
      <c r="YK19" s="33"/>
      <c r="YL19" s="33"/>
      <c r="YM19" s="33"/>
      <c r="YN19" s="33"/>
      <c r="YO19" s="33"/>
      <c r="YP19" s="33"/>
      <c r="YQ19" s="33"/>
      <c r="YR19" s="33"/>
      <c r="YS19" s="33"/>
      <c r="YT19" s="33"/>
      <c r="YU19" s="33"/>
      <c r="YV19" s="33"/>
      <c r="YW19" s="33"/>
      <c r="YX19" s="33"/>
      <c r="YY19" s="33"/>
      <c r="YZ19" s="33"/>
      <c r="ZA19" s="33"/>
      <c r="ZB19" s="33"/>
      <c r="ZC19" s="33"/>
      <c r="ZD19" s="33"/>
      <c r="ZE19" s="33"/>
      <c r="ZF19" s="33"/>
      <c r="ZG19" s="33"/>
      <c r="ZH19" s="33"/>
      <c r="ZI19" s="33"/>
      <c r="ZJ19" s="33"/>
      <c r="ZK19" s="33"/>
      <c r="ZL19" s="33"/>
      <c r="ZM19" s="33"/>
      <c r="ZN19" s="33"/>
      <c r="ZO19" s="33"/>
      <c r="ZP19" s="33"/>
      <c r="ZQ19" s="33"/>
      <c r="ZR19" s="33"/>
      <c r="ZS19" s="33"/>
      <c r="ZT19" s="33"/>
      <c r="ZU19" s="33"/>
      <c r="ZV19" s="33"/>
      <c r="ZW19" s="33"/>
      <c r="ZX19" s="33"/>
      <c r="ZY19" s="33"/>
      <c r="ZZ19" s="33"/>
      <c r="AAA19" s="33"/>
      <c r="AAB19" s="33"/>
      <c r="AAC19" s="33"/>
      <c r="AAD19" s="33"/>
      <c r="AAE19" s="33"/>
      <c r="AAF19" s="33"/>
      <c r="AAG19" s="33"/>
      <c r="AAH19" s="33"/>
      <c r="AAI19" s="33"/>
      <c r="AAJ19" s="33"/>
      <c r="AAK19" s="33"/>
      <c r="AAL19" s="33"/>
      <c r="AAM19" s="33"/>
      <c r="AAN19" s="33"/>
      <c r="AAO19" s="33"/>
      <c r="AAP19" s="33"/>
      <c r="AAQ19" s="33"/>
      <c r="AAR19" s="33"/>
      <c r="AAS19" s="33"/>
      <c r="AAT19" s="33"/>
      <c r="AAU19" s="33"/>
      <c r="AAV19" s="33"/>
      <c r="AAW19" s="33"/>
      <c r="AAX19" s="33"/>
      <c r="AAY19" s="33"/>
      <c r="AAZ19" s="33"/>
      <c r="ABA19" s="33"/>
      <c r="ABB19" s="33"/>
      <c r="ABC19" s="33"/>
      <c r="ABD19" s="33"/>
      <c r="ABE19" s="33"/>
      <c r="ABF19" s="33"/>
      <c r="ABG19" s="33"/>
      <c r="ABH19" s="33"/>
      <c r="ABI19" s="33"/>
      <c r="ABJ19" s="33"/>
      <c r="ABK19" s="33"/>
      <c r="ABL19" s="33"/>
      <c r="ABM19" s="33"/>
      <c r="ABN19" s="33"/>
      <c r="ABO19" s="33"/>
      <c r="ABP19" s="33"/>
      <c r="ABQ19" s="33"/>
      <c r="ABR19" s="33"/>
      <c r="ABS19" s="33"/>
      <c r="ABT19" s="33"/>
      <c r="ABU19" s="33"/>
      <c r="ABV19" s="33"/>
      <c r="ABW19" s="33"/>
      <c r="ABX19" s="33"/>
      <c r="ABY19" s="33"/>
      <c r="ABZ19" s="33"/>
      <c r="ACA19" s="33"/>
      <c r="ACB19" s="33"/>
      <c r="ACC19" s="33"/>
      <c r="ACD19" s="33"/>
      <c r="ACE19" s="33"/>
      <c r="ACF19" s="33"/>
      <c r="ACG19" s="33"/>
      <c r="ACH19" s="33"/>
      <c r="ACI19" s="33"/>
      <c r="ACJ19" s="33"/>
      <c r="ACK19" s="33"/>
      <c r="ACL19" s="33"/>
      <c r="ACM19" s="33"/>
      <c r="ACN19" s="33"/>
      <c r="ACO19" s="33"/>
      <c r="ACP19" s="33"/>
      <c r="ACQ19" s="33"/>
      <c r="ACR19" s="33"/>
      <c r="ACS19" s="33"/>
      <c r="ACT19" s="33"/>
      <c r="ACU19" s="33"/>
      <c r="ACV19" s="33"/>
      <c r="ACW19" s="33"/>
      <c r="ACX19" s="33"/>
      <c r="ACY19" s="33"/>
      <c r="ACZ19" s="33"/>
      <c r="ADA19" s="33"/>
      <c r="ADB19" s="33"/>
      <c r="ADC19" s="33"/>
      <c r="ADD19" s="33"/>
      <c r="ADE19" s="33"/>
      <c r="ADF19" s="33"/>
      <c r="ADG19" s="33"/>
      <c r="ADH19" s="33"/>
      <c r="ADI19" s="33"/>
      <c r="ADJ19" s="33"/>
      <c r="ADK19" s="33"/>
      <c r="ADL19" s="33"/>
      <c r="ADM19" s="33"/>
      <c r="ADN19" s="33"/>
      <c r="ADO19" s="33"/>
      <c r="ADP19" s="33"/>
      <c r="ADQ19" s="33"/>
      <c r="ADR19" s="33"/>
      <c r="ADS19" s="33"/>
      <c r="ADT19" s="33"/>
      <c r="ADU19" s="33"/>
      <c r="ADV19" s="33"/>
      <c r="ADW19" s="33"/>
      <c r="ADX19" s="33"/>
      <c r="ADY19" s="33"/>
      <c r="ADZ19" s="33"/>
      <c r="AEA19" s="33"/>
      <c r="AEB19" s="33"/>
      <c r="AEC19" s="33"/>
      <c r="AED19" s="33"/>
      <c r="AEE19" s="33"/>
      <c r="AEF19" s="33"/>
      <c r="AEG19" s="33"/>
      <c r="AEH19" s="33"/>
      <c r="AEI19" s="33"/>
      <c r="AEJ19" s="33"/>
      <c r="AEK19" s="33"/>
      <c r="AEL19" s="33"/>
      <c r="AEM19" s="33"/>
      <c r="AEN19" s="33"/>
      <c r="AEO19" s="33"/>
      <c r="AEP19" s="33"/>
      <c r="AEQ19" s="33"/>
      <c r="AER19" s="33"/>
      <c r="AES19" s="33"/>
      <c r="AET19" s="33"/>
      <c r="AEU19" s="33"/>
      <c r="AEV19" s="33"/>
      <c r="AEW19" s="33"/>
      <c r="AEX19" s="33"/>
      <c r="AEY19" s="33"/>
      <c r="AEZ19" s="33"/>
      <c r="AFA19" s="33"/>
      <c r="AFB19" s="33"/>
      <c r="AFC19" s="33"/>
      <c r="AFD19" s="33"/>
      <c r="AFE19" s="33"/>
      <c r="AFF19" s="33"/>
      <c r="AFG19" s="33"/>
      <c r="AFH19" s="33"/>
      <c r="AFI19" s="33"/>
      <c r="AFJ19" s="33"/>
      <c r="AFK19" s="33"/>
      <c r="AFL19" s="33"/>
      <c r="AFM19" s="33"/>
      <c r="AFN19" s="33"/>
      <c r="AFO19" s="33"/>
      <c r="AFP19" s="33"/>
      <c r="AFQ19" s="33"/>
      <c r="AFR19" s="33"/>
      <c r="AFS19" s="33"/>
      <c r="AFT19" s="33"/>
      <c r="AFU19" s="33"/>
      <c r="AFV19" s="33"/>
      <c r="AFW19" s="33"/>
      <c r="AFX19" s="33"/>
      <c r="AFY19" s="33"/>
      <c r="AFZ19" s="33"/>
      <c r="AGA19" s="33"/>
      <c r="AGB19" s="33"/>
      <c r="AGC19" s="33"/>
      <c r="AGD19" s="33"/>
      <c r="AGE19" s="33"/>
      <c r="AGF19" s="33"/>
      <c r="AGG19" s="33"/>
      <c r="AGH19" s="33"/>
      <c r="AGI19" s="33"/>
      <c r="AGJ19" s="33"/>
      <c r="AGK19" s="33"/>
      <c r="AGL19" s="33"/>
      <c r="AGM19" s="33"/>
      <c r="AGN19" s="33"/>
      <c r="AGO19" s="33"/>
      <c r="AGP19" s="33"/>
      <c r="AGQ19" s="33"/>
      <c r="AGR19" s="33"/>
      <c r="AGS19" s="33"/>
      <c r="AGT19" s="33"/>
      <c r="AGU19" s="33"/>
      <c r="AGV19" s="33"/>
      <c r="AGW19" s="33"/>
      <c r="AGX19" s="33"/>
      <c r="AGY19" s="33"/>
      <c r="AGZ19" s="33"/>
      <c r="AHA19" s="33"/>
      <c r="AHB19" s="33"/>
      <c r="AHC19" s="33"/>
      <c r="AHD19" s="33"/>
      <c r="AHE19" s="33"/>
      <c r="AHF19" s="33"/>
      <c r="AHG19" s="33"/>
      <c r="AHH19" s="33"/>
      <c r="AHI19" s="33"/>
      <c r="AHJ19" s="33"/>
      <c r="AHK19" s="33"/>
      <c r="AHL19" s="33"/>
      <c r="AHM19" s="33"/>
      <c r="AHN19" s="33"/>
      <c r="AHO19" s="33"/>
      <c r="AHP19" s="33"/>
      <c r="AHQ19" s="33"/>
      <c r="AHR19" s="33"/>
      <c r="AHS19" s="33"/>
      <c r="AHT19" s="33"/>
      <c r="AHU19" s="33"/>
      <c r="AHV19" s="33"/>
      <c r="AHW19" s="33"/>
      <c r="AHX19" s="33"/>
      <c r="AHY19" s="33"/>
      <c r="AHZ19" s="33"/>
      <c r="AIA19" s="33"/>
      <c r="AIB19" s="33"/>
      <c r="AIC19" s="33"/>
      <c r="AID19" s="33"/>
      <c r="AIE19" s="33"/>
      <c r="AIF19" s="33"/>
      <c r="AIG19" s="33"/>
      <c r="AIH19" s="33"/>
      <c r="AII19" s="33"/>
      <c r="AIJ19" s="33"/>
      <c r="AIK19" s="33"/>
      <c r="AIL19" s="33"/>
      <c r="AIM19" s="33"/>
      <c r="AIN19" s="33"/>
      <c r="AIO19" s="33"/>
      <c r="AIP19" s="33"/>
      <c r="AIQ19" s="33"/>
      <c r="AIR19" s="33"/>
      <c r="AIS19" s="33"/>
      <c r="AIT19" s="33"/>
      <c r="AIU19" s="33"/>
      <c r="AIV19" s="33"/>
      <c r="AIW19" s="33"/>
      <c r="AIX19" s="33"/>
      <c r="AIY19" s="33"/>
      <c r="AIZ19" s="33"/>
      <c r="AJA19" s="33"/>
      <c r="AJB19" s="33"/>
      <c r="AJC19" s="33"/>
      <c r="AJD19" s="33"/>
      <c r="AJE19" s="33"/>
      <c r="AJF19" s="33"/>
      <c r="AJG19" s="33"/>
      <c r="AJH19" s="33"/>
      <c r="AJI19" s="33"/>
      <c r="AJJ19" s="33"/>
      <c r="AJK19" s="33"/>
      <c r="AJL19" s="33"/>
      <c r="AJM19" s="33"/>
      <c r="AJN19" s="33"/>
      <c r="AJO19" s="33"/>
      <c r="AJP19" s="33"/>
      <c r="AJQ19" s="33"/>
      <c r="AJR19" s="33"/>
      <c r="AJS19" s="33"/>
      <c r="AJT19" s="33"/>
      <c r="AJU19" s="33"/>
      <c r="AJV19" s="33"/>
      <c r="AJW19" s="33"/>
      <c r="AJX19" s="33"/>
      <c r="AJY19" s="33"/>
      <c r="AJZ19" s="33"/>
      <c r="AKA19" s="33"/>
      <c r="AKB19" s="33"/>
      <c r="AKC19" s="33"/>
      <c r="AKD19" s="33"/>
      <c r="AKE19" s="33"/>
      <c r="AKF19" s="33"/>
      <c r="AKG19" s="33"/>
      <c r="AKH19" s="33"/>
      <c r="AKI19" s="33"/>
      <c r="AKJ19" s="33"/>
      <c r="AKK19" s="33"/>
      <c r="AKL19" s="33"/>
      <c r="AKM19" s="33"/>
      <c r="AKN19" s="33"/>
      <c r="AKO19" s="33"/>
      <c r="AKP19" s="33"/>
      <c r="AKQ19" s="33"/>
      <c r="AKR19" s="33"/>
      <c r="AKS19" s="33"/>
      <c r="AKT19" s="33"/>
      <c r="AKU19" s="33"/>
      <c r="AKV19" s="33"/>
      <c r="AKW19" s="33"/>
      <c r="AKX19" s="33"/>
      <c r="AKY19" s="33"/>
      <c r="AKZ19" s="33"/>
      <c r="ALA19" s="33"/>
      <c r="ALB19" s="33"/>
      <c r="ALC19" s="33"/>
      <c r="ALD19" s="33"/>
      <c r="ALE19" s="33"/>
      <c r="ALF19" s="33"/>
      <c r="ALG19" s="33"/>
      <c r="ALH19" s="33"/>
      <c r="ALI19" s="33"/>
      <c r="ALJ19" s="33"/>
      <c r="ALK19" s="33"/>
      <c r="ALL19" s="33"/>
      <c r="ALM19" s="33"/>
      <c r="ALN19" s="33"/>
      <c r="ALO19" s="33"/>
      <c r="ALP19" s="33"/>
      <c r="ALQ19" s="33"/>
      <c r="ALR19" s="33"/>
      <c r="ALS19" s="33"/>
      <c r="ALT19" s="33"/>
      <c r="ALU19" s="33"/>
      <c r="ALV19" s="33"/>
      <c r="ALW19" s="33"/>
      <c r="ALX19" s="33"/>
      <c r="ALY19" s="33"/>
      <c r="ALZ19" s="33"/>
      <c r="AMA19" s="33"/>
      <c r="AMB19" s="33"/>
      <c r="AMC19" s="33"/>
      <c r="AMD19" s="33"/>
      <c r="AME19" s="33"/>
      <c r="AMF19" s="33"/>
      <c r="AMG19" s="33"/>
      <c r="AMH19" s="33"/>
      <c r="AMI19" s="33"/>
      <c r="AMJ19" s="33"/>
      <c r="AMK19" s="33"/>
      <c r="AML19" s="33"/>
      <c r="AMM19" s="33"/>
      <c r="AMN19" s="33"/>
      <c r="AMO19" s="33"/>
      <c r="AMP19" s="33"/>
      <c r="AMQ19" s="33"/>
      <c r="AMR19" s="33"/>
      <c r="AMS19" s="33"/>
      <c r="AMT19" s="33"/>
      <c r="AMU19" s="33"/>
      <c r="AMV19" s="33"/>
      <c r="AMW19" s="33"/>
      <c r="AMX19" s="33"/>
      <c r="AMY19" s="33"/>
      <c r="AMZ19" s="33"/>
      <c r="ANA19" s="33"/>
      <c r="ANB19" s="33"/>
      <c r="ANC19" s="33"/>
      <c r="AND19" s="33"/>
      <c r="ANE19" s="33"/>
      <c r="ANF19" s="33"/>
      <c r="ANG19" s="33"/>
      <c r="ANH19" s="33"/>
      <c r="ANI19" s="33"/>
      <c r="ANJ19" s="33"/>
      <c r="ANK19" s="33"/>
      <c r="ANL19" s="33"/>
      <c r="ANM19" s="33"/>
      <c r="ANN19" s="33"/>
      <c r="ANO19" s="33"/>
      <c r="ANP19" s="33"/>
      <c r="ANQ19" s="33"/>
      <c r="ANR19" s="33"/>
      <c r="ANS19" s="33"/>
      <c r="ANT19" s="33"/>
      <c r="ANU19" s="33"/>
      <c r="ANV19" s="33"/>
      <c r="ANW19" s="33"/>
      <c r="ANX19" s="33"/>
      <c r="ANY19" s="33"/>
      <c r="ANZ19" s="33"/>
      <c r="AOA19" s="33"/>
      <c r="AOB19" s="33"/>
      <c r="AOC19" s="33"/>
      <c r="AOD19" s="33"/>
      <c r="AOE19" s="33"/>
      <c r="AOF19" s="33"/>
      <c r="AOG19" s="33"/>
      <c r="AOH19" s="33"/>
      <c r="AOI19" s="33"/>
      <c r="AOJ19" s="33"/>
      <c r="AOK19" s="33"/>
      <c r="AOL19" s="33"/>
      <c r="AOM19" s="33"/>
      <c r="AON19" s="33"/>
      <c r="AOO19" s="33"/>
      <c r="AOP19" s="33"/>
      <c r="AOQ19" s="33"/>
      <c r="AOR19" s="33"/>
      <c r="AOS19" s="33"/>
      <c r="AOT19" s="33"/>
      <c r="AOU19" s="33"/>
      <c r="AOV19" s="33"/>
      <c r="AOW19" s="33"/>
      <c r="AOX19" s="33"/>
      <c r="AOY19" s="33"/>
      <c r="AOZ19" s="33"/>
      <c r="APA19" s="33"/>
      <c r="APB19" s="33"/>
      <c r="APC19" s="33"/>
      <c r="APD19" s="33"/>
      <c r="APE19" s="33"/>
      <c r="APF19" s="33"/>
      <c r="APG19" s="33"/>
      <c r="APH19" s="33"/>
      <c r="API19" s="33"/>
      <c r="APJ19" s="33"/>
      <c r="APK19" s="33"/>
      <c r="APL19" s="33"/>
      <c r="APM19" s="33"/>
      <c r="APN19" s="33"/>
      <c r="APO19" s="33"/>
      <c r="APP19" s="33"/>
      <c r="APQ19" s="33"/>
      <c r="APR19" s="33"/>
      <c r="APS19" s="33"/>
      <c r="APT19" s="33"/>
      <c r="APU19" s="33"/>
      <c r="APV19" s="33"/>
      <c r="APW19" s="33"/>
      <c r="APX19" s="33"/>
      <c r="APY19" s="33"/>
      <c r="APZ19" s="33"/>
      <c r="AQA19" s="33"/>
      <c r="AQB19" s="33"/>
      <c r="AQC19" s="33"/>
      <c r="AQD19" s="33"/>
      <c r="AQE19" s="33"/>
      <c r="AQF19" s="33"/>
      <c r="AQG19" s="33"/>
      <c r="AQH19" s="33"/>
      <c r="AQI19" s="33"/>
      <c r="AQJ19" s="33"/>
      <c r="AQK19" s="33"/>
      <c r="AQL19" s="33"/>
      <c r="AQM19" s="33"/>
      <c r="AQN19" s="33"/>
      <c r="AQO19" s="33"/>
      <c r="AQP19" s="33"/>
      <c r="AQQ19" s="33"/>
      <c r="AQR19" s="33"/>
      <c r="AQS19" s="33"/>
      <c r="AQT19" s="33"/>
      <c r="AQU19" s="33"/>
      <c r="AQV19" s="33"/>
      <c r="AQW19" s="33"/>
      <c r="AQX19" s="33"/>
      <c r="AQY19" s="33"/>
      <c r="AQZ19" s="33"/>
      <c r="ARA19" s="33"/>
      <c r="ARB19" s="33"/>
      <c r="ARC19" s="33"/>
      <c r="ARD19" s="33"/>
      <c r="ARE19" s="33"/>
      <c r="ARF19" s="33"/>
      <c r="ARG19" s="33"/>
      <c r="ARH19" s="33"/>
      <c r="ARI19" s="33"/>
      <c r="ARJ19" s="33"/>
      <c r="ARK19" s="33"/>
      <c r="ARL19" s="33"/>
      <c r="ARM19" s="33"/>
      <c r="ARN19" s="33"/>
      <c r="ARO19" s="33"/>
      <c r="ARP19" s="33"/>
      <c r="ARQ19" s="33"/>
      <c r="ARR19" s="33"/>
      <c r="ARS19" s="33"/>
      <c r="ART19" s="33"/>
      <c r="ARU19" s="33"/>
      <c r="ARV19" s="33"/>
      <c r="ARW19" s="33"/>
      <c r="ARX19" s="33"/>
      <c r="ARY19" s="33"/>
      <c r="ARZ19" s="33"/>
      <c r="ASA19" s="33"/>
      <c r="ASB19" s="33"/>
      <c r="ASC19" s="33"/>
      <c r="ASD19" s="33"/>
      <c r="ASE19" s="33"/>
      <c r="ASF19" s="33"/>
      <c r="ASG19" s="33"/>
      <c r="ASH19" s="33"/>
      <c r="ASI19" s="33"/>
      <c r="ASJ19" s="33"/>
      <c r="ASK19" s="33"/>
      <c r="ASL19" s="33"/>
      <c r="ASM19" s="33"/>
      <c r="ASN19" s="33"/>
      <c r="ASO19" s="33"/>
      <c r="ASP19" s="33"/>
      <c r="ASQ19" s="33"/>
      <c r="ASR19" s="33"/>
      <c r="ASS19" s="33"/>
      <c r="AST19" s="33"/>
      <c r="ASU19" s="33"/>
      <c r="ASV19" s="33"/>
      <c r="ASW19" s="33"/>
      <c r="ASX19" s="33"/>
      <c r="ASY19" s="33"/>
      <c r="ASZ19" s="33"/>
      <c r="ATA19" s="33"/>
      <c r="ATB19" s="33"/>
      <c r="ATC19" s="33"/>
      <c r="ATD19" s="33"/>
      <c r="ATE19" s="33"/>
      <c r="ATF19" s="33"/>
      <c r="ATG19" s="33"/>
      <c r="ATH19" s="33"/>
      <c r="ATI19" s="33"/>
      <c r="ATJ19" s="33"/>
      <c r="ATK19" s="33"/>
      <c r="ATL19" s="33"/>
      <c r="ATM19" s="33"/>
      <c r="ATN19" s="33"/>
      <c r="ATO19" s="33"/>
      <c r="ATP19" s="33"/>
      <c r="ATQ19" s="33"/>
      <c r="ATR19" s="33"/>
      <c r="ATS19" s="33"/>
      <c r="ATT19" s="33"/>
      <c r="ATU19" s="33"/>
      <c r="ATV19" s="33"/>
      <c r="ATW19" s="33"/>
      <c r="ATX19" s="33"/>
      <c r="ATY19" s="33"/>
      <c r="ATZ19" s="33"/>
      <c r="AUA19" s="33"/>
      <c r="AUB19" s="33"/>
      <c r="AUC19" s="33"/>
      <c r="AUD19" s="33"/>
      <c r="AUE19" s="33"/>
      <c r="AUF19" s="33"/>
      <c r="AUG19" s="33"/>
      <c r="AUH19" s="33"/>
      <c r="AUI19" s="33"/>
      <c r="AUJ19" s="33"/>
      <c r="AUK19" s="33"/>
      <c r="AUL19" s="33"/>
      <c r="AUM19" s="33"/>
      <c r="AUN19" s="33"/>
      <c r="AUO19" s="33"/>
      <c r="AUP19" s="33"/>
      <c r="AUQ19" s="33"/>
      <c r="AUR19" s="33"/>
      <c r="AUS19" s="33"/>
      <c r="AUT19" s="33"/>
      <c r="AUU19" s="33"/>
      <c r="AUV19" s="33"/>
      <c r="AUW19" s="33"/>
      <c r="AUX19" s="33"/>
      <c r="AUY19" s="33"/>
      <c r="AUZ19" s="33"/>
      <c r="AVA19" s="33"/>
      <c r="AVB19" s="33"/>
      <c r="AVC19" s="33"/>
      <c r="AVD19" s="33"/>
      <c r="AVE19" s="33"/>
      <c r="AVF19" s="33"/>
      <c r="AVG19" s="33"/>
      <c r="AVH19" s="33"/>
      <c r="AVI19" s="33"/>
      <c r="AVJ19" s="33"/>
      <c r="AVK19" s="33"/>
      <c r="AVL19" s="33"/>
      <c r="AVM19" s="33"/>
      <c r="AVN19" s="33"/>
      <c r="AVO19" s="33"/>
      <c r="AVP19" s="33"/>
      <c r="AVQ19" s="33"/>
      <c r="AVR19" s="33"/>
      <c r="AVS19" s="33"/>
      <c r="AVT19" s="33"/>
      <c r="AVU19" s="33"/>
      <c r="AVV19" s="33"/>
      <c r="AVW19" s="33"/>
      <c r="AVX19" s="33"/>
      <c r="AVY19" s="33"/>
      <c r="AVZ19" s="33"/>
      <c r="AWA19" s="33"/>
      <c r="AWB19" s="33"/>
      <c r="AWC19" s="33"/>
      <c r="AWD19" s="33"/>
      <c r="AWE19" s="33"/>
      <c r="AWF19" s="33"/>
      <c r="AWG19" s="33"/>
      <c r="AWH19" s="33"/>
      <c r="AWI19" s="33"/>
      <c r="AWJ19" s="33"/>
      <c r="AWK19" s="33"/>
      <c r="AWL19" s="33"/>
      <c r="AWM19" s="33"/>
      <c r="AWN19" s="33"/>
      <c r="AWO19" s="33"/>
      <c r="AWP19" s="33"/>
      <c r="AWQ19" s="33"/>
      <c r="AWR19" s="33"/>
      <c r="AWS19" s="33"/>
      <c r="AWT19" s="33"/>
      <c r="AWU19" s="33"/>
      <c r="AWV19" s="33"/>
      <c r="AWW19" s="33"/>
      <c r="AWX19" s="33"/>
      <c r="AWY19" s="33"/>
      <c r="AWZ19" s="33"/>
      <c r="AXA19" s="33"/>
      <c r="AXB19" s="33"/>
      <c r="AXC19" s="33"/>
      <c r="AXD19" s="33"/>
      <c r="AXE19" s="33"/>
      <c r="AXF19" s="33"/>
      <c r="AXG19" s="33"/>
      <c r="AXH19" s="33"/>
      <c r="AXI19" s="33"/>
      <c r="AXJ19" s="33"/>
      <c r="AXK19" s="33"/>
      <c r="AXL19" s="33"/>
      <c r="AXM19" s="33"/>
      <c r="AXN19" s="33"/>
      <c r="AXO19" s="33"/>
      <c r="AXP19" s="33"/>
      <c r="AXQ19" s="33"/>
      <c r="AXR19" s="33"/>
      <c r="AXS19" s="33"/>
      <c r="AXT19" s="33"/>
      <c r="AXU19" s="33"/>
      <c r="AXV19" s="33"/>
      <c r="AXW19" s="33"/>
      <c r="AXX19" s="33"/>
      <c r="AXY19" s="33"/>
      <c r="AXZ19" s="33"/>
      <c r="AYA19" s="33"/>
      <c r="AYB19" s="33"/>
      <c r="AYC19" s="33"/>
      <c r="AYD19" s="33"/>
      <c r="AYE19" s="33"/>
      <c r="AYF19" s="33"/>
      <c r="AYG19" s="33"/>
      <c r="AYH19" s="33"/>
      <c r="AYI19" s="33"/>
      <c r="AYJ19" s="33"/>
      <c r="AYK19" s="33"/>
      <c r="AYL19" s="33"/>
      <c r="AYM19" s="33"/>
      <c r="AYN19" s="33"/>
      <c r="AYO19" s="33"/>
      <c r="AYP19" s="33"/>
      <c r="AYQ19" s="33"/>
      <c r="AYR19" s="33"/>
      <c r="AYS19" s="33"/>
      <c r="AYT19" s="33"/>
      <c r="AYU19" s="33"/>
      <c r="AYV19" s="33"/>
      <c r="AYW19" s="33"/>
      <c r="AYX19" s="33"/>
      <c r="AYY19" s="33"/>
      <c r="AYZ19" s="33"/>
      <c r="AZA19" s="33"/>
      <c r="AZB19" s="33"/>
      <c r="AZC19" s="33"/>
      <c r="AZD19" s="33"/>
      <c r="AZE19" s="33"/>
      <c r="AZF19" s="33"/>
      <c r="AZG19" s="33"/>
      <c r="AZH19" s="33"/>
      <c r="AZI19" s="33"/>
      <c r="AZJ19" s="33"/>
      <c r="AZK19" s="33"/>
      <c r="AZL19" s="33"/>
      <c r="AZM19" s="33"/>
      <c r="AZN19" s="33"/>
      <c r="AZO19" s="33"/>
      <c r="AZP19" s="33"/>
      <c r="AZQ19" s="33"/>
      <c r="AZR19" s="33"/>
      <c r="AZS19" s="33"/>
      <c r="AZT19" s="33"/>
      <c r="AZU19" s="33"/>
      <c r="AZV19" s="33"/>
      <c r="AZW19" s="33"/>
      <c r="AZX19" s="33"/>
      <c r="AZY19" s="33"/>
      <c r="AZZ19" s="33"/>
      <c r="BAA19" s="33"/>
      <c r="BAB19" s="33"/>
      <c r="BAC19" s="33"/>
      <c r="BAD19" s="33"/>
      <c r="BAE19" s="33"/>
      <c r="BAF19" s="33"/>
      <c r="BAG19" s="33"/>
      <c r="BAH19" s="33"/>
      <c r="BAI19" s="33"/>
      <c r="BAJ19" s="33"/>
      <c r="BAK19" s="33"/>
      <c r="BAL19" s="33"/>
      <c r="BAM19" s="33"/>
      <c r="BAN19" s="33"/>
      <c r="BAO19" s="33"/>
      <c r="BAP19" s="33"/>
      <c r="BAQ19" s="33"/>
      <c r="BAR19" s="33"/>
      <c r="BAS19" s="33"/>
      <c r="BAT19" s="33"/>
      <c r="BAU19" s="33"/>
      <c r="BAV19" s="33"/>
      <c r="BAW19" s="33"/>
      <c r="BAX19" s="33"/>
      <c r="BAY19" s="33"/>
      <c r="BAZ19" s="33"/>
      <c r="BBA19" s="33"/>
      <c r="BBB19" s="33"/>
      <c r="BBC19" s="33"/>
      <c r="BBD19" s="33"/>
      <c r="BBE19" s="33"/>
      <c r="BBF19" s="33"/>
      <c r="BBG19" s="33"/>
      <c r="BBH19" s="33"/>
      <c r="BBI19" s="33"/>
      <c r="BBJ19" s="33"/>
      <c r="BBK19" s="33"/>
      <c r="BBL19" s="33"/>
      <c r="BBM19" s="33"/>
      <c r="BBN19" s="33"/>
      <c r="BBO19" s="33"/>
      <c r="BBP19" s="33"/>
      <c r="BBQ19" s="33"/>
      <c r="BBR19" s="33"/>
      <c r="BBS19" s="33"/>
      <c r="BBT19" s="33"/>
      <c r="BBU19" s="33"/>
      <c r="BBV19" s="33"/>
      <c r="BBW19" s="33"/>
      <c r="BBX19" s="33"/>
      <c r="BBY19" s="33"/>
      <c r="BBZ19" s="33"/>
      <c r="BCA19" s="33"/>
      <c r="BCB19" s="33"/>
      <c r="BCC19" s="33"/>
      <c r="BCD19" s="33"/>
      <c r="BCE19" s="33"/>
      <c r="BCF19" s="33"/>
      <c r="BCG19" s="33"/>
      <c r="BCH19" s="33"/>
      <c r="BCI19" s="33"/>
      <c r="BCJ19" s="33"/>
      <c r="BCK19" s="33"/>
      <c r="BCL19" s="33"/>
      <c r="BCM19" s="33"/>
      <c r="BCN19" s="33"/>
      <c r="BCO19" s="33"/>
      <c r="BCP19" s="33"/>
      <c r="BCQ19" s="33"/>
      <c r="BCR19" s="33"/>
      <c r="BCS19" s="33"/>
      <c r="BCT19" s="33"/>
      <c r="BCU19" s="33"/>
      <c r="BCV19" s="33"/>
      <c r="BCW19" s="33"/>
      <c r="BCX19" s="33"/>
      <c r="BCY19" s="33"/>
      <c r="BCZ19" s="33"/>
      <c r="BDA19" s="33"/>
      <c r="BDB19" s="33"/>
      <c r="BDC19" s="33"/>
      <c r="BDD19" s="33"/>
      <c r="BDE19" s="33"/>
      <c r="BDF19" s="33"/>
      <c r="BDG19" s="33"/>
      <c r="BDH19" s="33"/>
      <c r="BDI19" s="33"/>
      <c r="BDJ19" s="33"/>
      <c r="BDK19" s="33"/>
      <c r="BDL19" s="33"/>
      <c r="BDM19" s="33"/>
      <c r="BDN19" s="33"/>
      <c r="BDO19" s="33"/>
      <c r="BDP19" s="33"/>
      <c r="BDQ19" s="33"/>
      <c r="BDR19" s="33"/>
      <c r="BDS19" s="33"/>
      <c r="BDT19" s="33"/>
      <c r="BDU19" s="33"/>
      <c r="BDV19" s="33"/>
      <c r="BDW19" s="33"/>
      <c r="BDX19" s="33"/>
      <c r="BDY19" s="33"/>
      <c r="BDZ19" s="33"/>
      <c r="BEA19" s="33"/>
      <c r="BEB19" s="33"/>
      <c r="BEC19" s="33"/>
      <c r="BED19" s="33"/>
      <c r="BEE19" s="33"/>
      <c r="BEF19" s="33"/>
      <c r="BEG19" s="33"/>
      <c r="BEH19" s="33"/>
      <c r="BEI19" s="33"/>
      <c r="BEJ19" s="33"/>
      <c r="BEK19" s="33"/>
      <c r="BEL19" s="33"/>
      <c r="BEM19" s="33"/>
      <c r="BEN19" s="33"/>
      <c r="BEO19" s="33"/>
      <c r="BEP19" s="33"/>
      <c r="BEQ19" s="33"/>
      <c r="BER19" s="33"/>
      <c r="BES19" s="33"/>
      <c r="BET19" s="33"/>
      <c r="BEU19" s="33"/>
      <c r="BEV19" s="33"/>
      <c r="BEW19" s="33"/>
      <c r="BEX19" s="33"/>
      <c r="BEY19" s="33"/>
      <c r="BEZ19" s="33"/>
      <c r="BFA19" s="33"/>
      <c r="BFB19" s="33"/>
      <c r="BFC19" s="33"/>
      <c r="BFD19" s="33"/>
      <c r="BFE19" s="33"/>
      <c r="BFF19" s="33"/>
      <c r="BFG19" s="33"/>
      <c r="BFH19" s="33"/>
      <c r="BFI19" s="33"/>
      <c r="BFJ19" s="33"/>
      <c r="BFK19" s="33"/>
      <c r="BFL19" s="33"/>
      <c r="BFM19" s="33"/>
      <c r="BFN19" s="33"/>
      <c r="BFO19" s="33"/>
      <c r="BFP19" s="33"/>
      <c r="BFQ19" s="33"/>
      <c r="BFR19" s="33"/>
      <c r="BFS19" s="33"/>
      <c r="BFT19" s="33"/>
      <c r="BFU19" s="33"/>
      <c r="BFV19" s="33"/>
      <c r="BFW19" s="33"/>
      <c r="BFX19" s="33"/>
      <c r="BFY19" s="33"/>
      <c r="BFZ19" s="33"/>
      <c r="BGA19" s="33"/>
      <c r="BGB19" s="33"/>
      <c r="BGC19" s="33"/>
      <c r="BGD19" s="33"/>
      <c r="BGE19" s="33"/>
      <c r="BGF19" s="33"/>
      <c r="BGG19" s="33"/>
      <c r="BGH19" s="33"/>
      <c r="BGI19" s="33"/>
      <c r="BGJ19" s="33"/>
      <c r="BGK19" s="33"/>
      <c r="BGL19" s="33"/>
      <c r="BGM19" s="33"/>
      <c r="BGN19" s="33"/>
      <c r="BGO19" s="33"/>
      <c r="BGP19" s="33"/>
      <c r="BGQ19" s="33"/>
      <c r="BGR19" s="33"/>
      <c r="BGS19" s="33"/>
      <c r="BGT19" s="33"/>
      <c r="BGU19" s="33"/>
      <c r="BGV19" s="33"/>
      <c r="BGW19" s="33"/>
      <c r="BGX19" s="33"/>
      <c r="BGY19" s="33"/>
      <c r="BGZ19" s="33"/>
      <c r="BHA19" s="33"/>
      <c r="BHB19" s="33"/>
      <c r="BHC19" s="33"/>
      <c r="BHD19" s="33"/>
      <c r="BHE19" s="33"/>
      <c r="BHF19" s="33"/>
      <c r="BHG19" s="33"/>
      <c r="BHH19" s="33"/>
      <c r="BHI19" s="33"/>
      <c r="BHJ19" s="33"/>
      <c r="BHK19" s="33"/>
      <c r="BHL19" s="33"/>
      <c r="BHM19" s="33"/>
      <c r="BHN19" s="33"/>
      <c r="BHO19" s="33"/>
      <c r="BHP19" s="33"/>
      <c r="BHQ19" s="33"/>
      <c r="BHR19" s="33"/>
      <c r="BHS19" s="33"/>
      <c r="BHT19" s="33"/>
      <c r="BHU19" s="33"/>
      <c r="BHV19" s="33"/>
      <c r="BHW19" s="33"/>
      <c r="BHX19" s="33"/>
      <c r="BHY19" s="33"/>
      <c r="BHZ19" s="33"/>
      <c r="BIA19" s="33"/>
      <c r="BIB19" s="33"/>
      <c r="BIC19" s="33"/>
      <c r="BID19" s="33"/>
      <c r="BIE19" s="33"/>
      <c r="BIF19" s="33"/>
      <c r="BIG19" s="33"/>
      <c r="BIH19" s="33"/>
      <c r="BII19" s="33"/>
      <c r="BIJ19" s="33"/>
      <c r="BIK19" s="33"/>
      <c r="BIL19" s="33"/>
      <c r="BIM19" s="33"/>
      <c r="BIN19" s="33"/>
      <c r="BIO19" s="33"/>
      <c r="BIP19" s="33"/>
      <c r="BIQ19" s="33"/>
      <c r="BIR19" s="33"/>
      <c r="BIS19" s="33"/>
      <c r="BIT19" s="33"/>
      <c r="BIU19" s="33"/>
      <c r="BIV19" s="33"/>
      <c r="BIW19" s="33"/>
      <c r="BIX19" s="33"/>
      <c r="BIY19" s="33"/>
      <c r="BIZ19" s="33"/>
      <c r="BJA19" s="33"/>
      <c r="BJB19" s="33"/>
      <c r="BJC19" s="33"/>
      <c r="BJD19" s="33"/>
      <c r="BJE19" s="33"/>
      <c r="BJF19" s="33"/>
      <c r="BJG19" s="33"/>
      <c r="BJH19" s="33"/>
      <c r="BJI19" s="33"/>
      <c r="BJJ19" s="33"/>
      <c r="BJK19" s="33"/>
      <c r="BJL19" s="33"/>
      <c r="BJM19" s="33"/>
      <c r="BJN19" s="33"/>
      <c r="BJO19" s="33"/>
      <c r="BJP19" s="33"/>
      <c r="BJQ19" s="33"/>
      <c r="BJR19" s="33"/>
      <c r="BJS19" s="33"/>
      <c r="BJT19" s="33"/>
      <c r="BJU19" s="33"/>
      <c r="BJV19" s="33"/>
      <c r="BJW19" s="33"/>
      <c r="BJX19" s="33"/>
      <c r="BJY19" s="33"/>
      <c r="BJZ19" s="33"/>
      <c r="BKA19" s="33"/>
      <c r="BKB19" s="33"/>
      <c r="BKC19" s="33"/>
      <c r="BKD19" s="33"/>
      <c r="BKE19" s="33"/>
      <c r="BKF19" s="33"/>
      <c r="BKG19" s="33"/>
      <c r="BKH19" s="33"/>
      <c r="BKI19" s="33"/>
      <c r="BKJ19" s="33"/>
      <c r="BKK19" s="33"/>
      <c r="BKL19" s="33"/>
      <c r="BKM19" s="33"/>
      <c r="BKN19" s="33"/>
      <c r="BKO19" s="33"/>
      <c r="BKP19" s="33"/>
      <c r="BKQ19" s="33"/>
      <c r="BKR19" s="33"/>
      <c r="BKS19" s="33"/>
      <c r="BKT19" s="33"/>
      <c r="BKU19" s="33"/>
      <c r="BKV19" s="33"/>
      <c r="BKW19" s="33"/>
      <c r="BKX19" s="33"/>
      <c r="BKY19" s="33"/>
      <c r="BKZ19" s="33"/>
      <c r="BLA19" s="33"/>
      <c r="BLB19" s="33"/>
      <c r="BLC19" s="33"/>
      <c r="BLD19" s="33"/>
      <c r="BLE19" s="33"/>
      <c r="BLF19" s="33"/>
      <c r="BLG19" s="33"/>
      <c r="BLH19" s="33"/>
      <c r="BLI19" s="33"/>
      <c r="BLJ19" s="33"/>
      <c r="BLK19" s="33"/>
      <c r="BLL19" s="33"/>
      <c r="BLM19" s="33"/>
      <c r="BLN19" s="33"/>
      <c r="BLO19" s="33"/>
      <c r="BLP19" s="33"/>
      <c r="BLQ19" s="33"/>
      <c r="BLR19" s="33"/>
      <c r="BLS19" s="33"/>
      <c r="BLT19" s="33"/>
      <c r="BLU19" s="33"/>
      <c r="BLV19" s="33"/>
      <c r="BLW19" s="33"/>
      <c r="BLX19" s="33"/>
      <c r="BLY19" s="33"/>
      <c r="BLZ19" s="33"/>
      <c r="BMA19" s="33"/>
      <c r="BMB19" s="33"/>
      <c r="BMC19" s="33"/>
      <c r="BMD19" s="33"/>
      <c r="BME19" s="33"/>
      <c r="BMF19" s="33"/>
      <c r="BMG19" s="33"/>
      <c r="BMH19" s="33"/>
      <c r="BMI19" s="33"/>
      <c r="BMJ19" s="33"/>
      <c r="BMK19" s="33"/>
      <c r="BML19" s="33"/>
      <c r="BMM19" s="33"/>
      <c r="BMN19" s="33"/>
      <c r="BMO19" s="33"/>
      <c r="BMP19" s="33"/>
      <c r="BMQ19" s="33"/>
      <c r="BMR19" s="33"/>
      <c r="BMS19" s="33"/>
      <c r="BMT19" s="33"/>
      <c r="BMU19" s="33"/>
      <c r="BMV19" s="33"/>
      <c r="BMW19" s="33"/>
      <c r="BMX19" s="33"/>
      <c r="BMY19" s="33"/>
      <c r="BMZ19" s="33"/>
      <c r="BNA19" s="33"/>
      <c r="BNB19" s="33"/>
      <c r="BNC19" s="33"/>
      <c r="BND19" s="33"/>
      <c r="BNE19" s="33"/>
      <c r="BNF19" s="33"/>
      <c r="BNG19" s="33"/>
      <c r="BNH19" s="33"/>
      <c r="BNI19" s="33"/>
      <c r="BNJ19" s="33"/>
      <c r="BNK19" s="33"/>
      <c r="BNL19" s="33"/>
      <c r="BNM19" s="33"/>
      <c r="BNN19" s="33"/>
      <c r="BNO19" s="33"/>
      <c r="BNP19" s="33"/>
      <c r="BNQ19" s="33"/>
      <c r="BNR19" s="33"/>
      <c r="BNS19" s="33"/>
      <c r="BNT19" s="33"/>
      <c r="BNU19" s="33"/>
      <c r="BNV19" s="33"/>
      <c r="BNW19" s="33"/>
      <c r="BNX19" s="33"/>
      <c r="BNY19" s="33"/>
      <c r="BNZ19" s="33"/>
      <c r="BOA19" s="33"/>
      <c r="BOB19" s="33"/>
      <c r="BOC19" s="33"/>
      <c r="BOD19" s="33"/>
      <c r="BOE19" s="33"/>
      <c r="BOF19" s="33"/>
      <c r="BOG19" s="33"/>
      <c r="BOH19" s="33"/>
      <c r="BOI19" s="33"/>
      <c r="BOJ19" s="33"/>
      <c r="BOK19" s="33"/>
      <c r="BOL19" s="33"/>
      <c r="BOM19" s="33"/>
      <c r="BON19" s="33"/>
      <c r="BOO19" s="33"/>
      <c r="BOP19" s="33"/>
      <c r="BOQ19" s="33"/>
      <c r="BOR19" s="33"/>
      <c r="BOS19" s="33"/>
      <c r="BOT19" s="33"/>
      <c r="BOU19" s="33"/>
      <c r="BOV19" s="33"/>
      <c r="BOW19" s="33"/>
      <c r="BOX19" s="33"/>
      <c r="BOY19" s="33"/>
      <c r="BOZ19" s="33"/>
      <c r="BPA19" s="33"/>
      <c r="BPB19" s="33"/>
      <c r="BPC19" s="81"/>
    </row>
    <row r="20" s="34" customFormat="1" ht="60" customHeight="1" spans="1:1024 1025:1771">
      <c r="A20" s="78" t="s">
        <v>53</v>
      </c>
      <c r="B20" s="75" t="s">
        <v>54</v>
      </c>
      <c r="C20" s="75" t="s">
        <v>55</v>
      </c>
      <c r="D20" s="75" t="s">
        <v>56</v>
      </c>
      <c r="E20" s="75"/>
      <c r="F20" s="75"/>
      <c r="G20" s="79"/>
      <c r="H20" s="76">
        <f ca="1" t="shared" si="0"/>
        <v>46175</v>
      </c>
      <c r="I20" s="80" t="s">
        <v>7</v>
      </c>
      <c r="J20" s="79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33"/>
      <c r="LX20" s="33"/>
      <c r="LY20" s="33"/>
      <c r="LZ20" s="33"/>
      <c r="MA20" s="33"/>
      <c r="MB20" s="33"/>
      <c r="MC20" s="33"/>
      <c r="MD20" s="33"/>
      <c r="ME20" s="33"/>
      <c r="MF20" s="33"/>
      <c r="MG20" s="33"/>
      <c r="MH20" s="33"/>
      <c r="MI20" s="33"/>
      <c r="MJ20" s="33"/>
      <c r="MK20" s="33"/>
      <c r="ML20" s="33"/>
      <c r="MM20" s="33"/>
      <c r="MN20" s="33"/>
      <c r="MO20" s="33"/>
      <c r="MP20" s="33"/>
      <c r="MQ20" s="33"/>
      <c r="MR20" s="33"/>
      <c r="MS20" s="33"/>
      <c r="MT20" s="33"/>
      <c r="MU20" s="33"/>
      <c r="MV20" s="33"/>
      <c r="MW20" s="33"/>
      <c r="MX20" s="33"/>
      <c r="MY20" s="33"/>
      <c r="MZ20" s="33"/>
      <c r="NA20" s="33"/>
      <c r="NB20" s="33"/>
      <c r="NC20" s="33"/>
      <c r="ND20" s="33"/>
      <c r="NE20" s="33"/>
      <c r="NF20" s="33"/>
      <c r="NG20" s="33"/>
      <c r="NH20" s="33"/>
      <c r="NI20" s="33"/>
      <c r="NJ20" s="33"/>
      <c r="NK20" s="33"/>
      <c r="NL20" s="33"/>
      <c r="NM20" s="33"/>
      <c r="NN20" s="33"/>
      <c r="NO20" s="33"/>
      <c r="NP20" s="33"/>
      <c r="NQ20" s="33"/>
      <c r="NR20" s="33"/>
      <c r="NS20" s="33"/>
      <c r="NT20" s="33"/>
      <c r="NU20" s="33"/>
      <c r="NV20" s="33"/>
      <c r="NW20" s="33"/>
      <c r="NX20" s="33"/>
      <c r="NY20" s="33"/>
      <c r="NZ20" s="33"/>
      <c r="OA20" s="33"/>
      <c r="OB20" s="33"/>
      <c r="OC20" s="33"/>
      <c r="OD20" s="33"/>
      <c r="OE20" s="33"/>
      <c r="OF20" s="33"/>
      <c r="OG20" s="33"/>
      <c r="OH20" s="33"/>
      <c r="OI20" s="33"/>
      <c r="OJ20" s="33"/>
      <c r="OK20" s="33"/>
      <c r="OL20" s="33"/>
      <c r="OM20" s="33"/>
      <c r="ON20" s="33"/>
      <c r="OO20" s="33"/>
      <c r="OP20" s="33"/>
      <c r="OQ20" s="33"/>
      <c r="OR20" s="33"/>
      <c r="OS20" s="33"/>
      <c r="OT20" s="33"/>
      <c r="OU20" s="33"/>
      <c r="OV20" s="33"/>
      <c r="OW20" s="33"/>
      <c r="OX20" s="33"/>
      <c r="OY20" s="33"/>
      <c r="OZ20" s="33"/>
      <c r="PA20" s="33"/>
      <c r="PB20" s="33"/>
      <c r="PC20" s="33"/>
      <c r="PD20" s="33"/>
      <c r="PE20" s="33"/>
      <c r="PF20" s="33"/>
      <c r="PG20" s="33"/>
      <c r="PH20" s="33"/>
      <c r="PI20" s="33"/>
      <c r="PJ20" s="33"/>
      <c r="PK20" s="33"/>
      <c r="PL20" s="33"/>
      <c r="PM20" s="33"/>
      <c r="PN20" s="33"/>
      <c r="PO20" s="33"/>
      <c r="PP20" s="33"/>
      <c r="PQ20" s="33"/>
      <c r="PR20" s="33"/>
      <c r="PS20" s="33"/>
      <c r="PT20" s="33"/>
      <c r="PU20" s="33"/>
      <c r="PV20" s="33"/>
      <c r="PW20" s="33"/>
      <c r="PX20" s="33"/>
      <c r="PY20" s="33"/>
      <c r="PZ20" s="33"/>
      <c r="QA20" s="33"/>
      <c r="QB20" s="33"/>
      <c r="QC20" s="33"/>
      <c r="QD20" s="33"/>
      <c r="QE20" s="33"/>
      <c r="QF20" s="33"/>
      <c r="QG20" s="33"/>
      <c r="QH20" s="33"/>
      <c r="QI20" s="33"/>
      <c r="QJ20" s="33"/>
      <c r="QK20" s="33"/>
      <c r="QL20" s="33"/>
      <c r="QM20" s="33"/>
      <c r="QN20" s="33"/>
      <c r="QO20" s="33"/>
      <c r="QP20" s="33"/>
      <c r="QQ20" s="33"/>
      <c r="QR20" s="33"/>
      <c r="QS20" s="33"/>
      <c r="QT20" s="33"/>
      <c r="QU20" s="33"/>
      <c r="QV20" s="33"/>
      <c r="QW20" s="33"/>
      <c r="QX20" s="33"/>
      <c r="QY20" s="33"/>
      <c r="QZ20" s="33"/>
      <c r="RA20" s="33"/>
      <c r="RB20" s="33"/>
      <c r="RC20" s="33"/>
      <c r="RD20" s="33"/>
      <c r="RE20" s="33"/>
      <c r="RF20" s="33"/>
      <c r="RG20" s="33"/>
      <c r="RH20" s="33"/>
      <c r="RI20" s="33"/>
      <c r="RJ20" s="33"/>
      <c r="RK20" s="33"/>
      <c r="RL20" s="33"/>
      <c r="RM20" s="33"/>
      <c r="RN20" s="33"/>
      <c r="RO20" s="33"/>
      <c r="RP20" s="33"/>
      <c r="RQ20" s="33"/>
      <c r="RR20" s="33"/>
      <c r="RS20" s="33"/>
      <c r="RT20" s="33"/>
      <c r="RU20" s="33"/>
      <c r="RV20" s="33"/>
      <c r="RW20" s="33"/>
      <c r="RX20" s="33"/>
      <c r="RY20" s="33"/>
      <c r="RZ20" s="33"/>
      <c r="SA20" s="33"/>
      <c r="SB20" s="33"/>
      <c r="SC20" s="33"/>
      <c r="SD20" s="33"/>
      <c r="SE20" s="33"/>
      <c r="SF20" s="33"/>
      <c r="SG20" s="33"/>
      <c r="SH20" s="33"/>
      <c r="SI20" s="33"/>
      <c r="SJ20" s="33"/>
      <c r="SK20" s="33"/>
      <c r="SL20" s="33"/>
      <c r="SM20" s="33"/>
      <c r="SN20" s="33"/>
      <c r="SO20" s="33"/>
      <c r="SP20" s="33"/>
      <c r="SQ20" s="33"/>
      <c r="SR20" s="33"/>
      <c r="SS20" s="33"/>
      <c r="ST20" s="33"/>
      <c r="SU20" s="33"/>
      <c r="SV20" s="33"/>
      <c r="SW20" s="33"/>
      <c r="SX20" s="33"/>
      <c r="SY20" s="33"/>
      <c r="SZ20" s="33"/>
      <c r="TA20" s="33"/>
      <c r="TB20" s="33"/>
      <c r="TC20" s="33"/>
      <c r="TD20" s="33"/>
      <c r="TE20" s="33"/>
      <c r="TF20" s="33"/>
      <c r="TG20" s="33"/>
      <c r="TH20" s="33"/>
      <c r="TI20" s="33"/>
      <c r="TJ20" s="33"/>
      <c r="TK20" s="33"/>
      <c r="TL20" s="33"/>
      <c r="TM20" s="33"/>
      <c r="TN20" s="33"/>
      <c r="TO20" s="33"/>
      <c r="TP20" s="33"/>
      <c r="TQ20" s="33"/>
      <c r="TR20" s="33"/>
      <c r="TS20" s="33"/>
      <c r="TT20" s="33"/>
      <c r="TU20" s="33"/>
      <c r="TV20" s="33"/>
      <c r="TW20" s="33"/>
      <c r="TX20" s="33"/>
      <c r="TY20" s="33"/>
      <c r="TZ20" s="33"/>
      <c r="UA20" s="33"/>
      <c r="UB20" s="33"/>
      <c r="UC20" s="33"/>
      <c r="UD20" s="33"/>
      <c r="UE20" s="33"/>
      <c r="UF20" s="33"/>
      <c r="UG20" s="33"/>
      <c r="UH20" s="33"/>
      <c r="UI20" s="33"/>
      <c r="UJ20" s="33"/>
      <c r="UK20" s="33"/>
      <c r="UL20" s="33"/>
      <c r="UM20" s="33"/>
      <c r="UN20" s="33"/>
      <c r="UO20" s="33"/>
      <c r="UP20" s="33"/>
      <c r="UQ20" s="33"/>
      <c r="UR20" s="33"/>
      <c r="US20" s="33"/>
      <c r="UT20" s="33"/>
      <c r="UU20" s="33"/>
      <c r="UV20" s="33"/>
      <c r="UW20" s="33"/>
      <c r="UX20" s="33"/>
      <c r="UY20" s="33"/>
      <c r="UZ20" s="33"/>
      <c r="VA20" s="33"/>
      <c r="VB20" s="33"/>
      <c r="VC20" s="33"/>
      <c r="VD20" s="33"/>
      <c r="VE20" s="33"/>
      <c r="VF20" s="33"/>
      <c r="VG20" s="33"/>
      <c r="VH20" s="33"/>
      <c r="VI20" s="33"/>
      <c r="VJ20" s="33"/>
      <c r="VK20" s="33"/>
      <c r="VL20" s="33"/>
      <c r="VM20" s="33"/>
      <c r="VN20" s="33"/>
      <c r="VO20" s="33"/>
      <c r="VP20" s="33"/>
      <c r="VQ20" s="33"/>
      <c r="VR20" s="33"/>
      <c r="VS20" s="33"/>
      <c r="VT20" s="33"/>
      <c r="VU20" s="33"/>
      <c r="VV20" s="33"/>
      <c r="VW20" s="33"/>
      <c r="VX20" s="33"/>
      <c r="VY20" s="33"/>
      <c r="VZ20" s="33"/>
      <c r="WA20" s="33"/>
      <c r="WB20" s="33"/>
      <c r="WC20" s="33"/>
      <c r="WD20" s="33"/>
      <c r="WE20" s="33"/>
      <c r="WF20" s="33"/>
      <c r="WG20" s="33"/>
      <c r="WH20" s="33"/>
      <c r="WI20" s="33"/>
      <c r="WJ20" s="33"/>
      <c r="WK20" s="33"/>
      <c r="WL20" s="33"/>
      <c r="WM20" s="33"/>
      <c r="WN20" s="33"/>
      <c r="WO20" s="33"/>
      <c r="WP20" s="33"/>
      <c r="WQ20" s="33"/>
      <c r="WR20" s="33"/>
      <c r="WS20" s="33"/>
      <c r="WT20" s="33"/>
      <c r="WU20" s="33"/>
      <c r="WV20" s="33"/>
      <c r="WW20" s="33"/>
      <c r="WX20" s="33"/>
      <c r="WY20" s="33"/>
      <c r="WZ20" s="33"/>
      <c r="XA20" s="33"/>
      <c r="XB20" s="33"/>
      <c r="XC20" s="33"/>
      <c r="XD20" s="33"/>
      <c r="XE20" s="33"/>
      <c r="XF20" s="33"/>
      <c r="XG20" s="33"/>
      <c r="XH20" s="33"/>
      <c r="XI20" s="33"/>
      <c r="XJ20" s="33"/>
      <c r="XK20" s="33"/>
      <c r="XL20" s="33"/>
      <c r="XM20" s="33"/>
      <c r="XN20" s="33"/>
      <c r="XO20" s="33"/>
      <c r="XP20" s="33"/>
      <c r="XQ20" s="33"/>
      <c r="XR20" s="33"/>
      <c r="XS20" s="33"/>
      <c r="XT20" s="33"/>
      <c r="XU20" s="33"/>
      <c r="XV20" s="33"/>
      <c r="XW20" s="33"/>
      <c r="XX20" s="33"/>
      <c r="XY20" s="33"/>
      <c r="XZ20" s="33"/>
      <c r="YA20" s="33"/>
      <c r="YB20" s="33"/>
      <c r="YC20" s="33"/>
      <c r="YD20" s="33"/>
      <c r="YE20" s="33"/>
      <c r="YF20" s="33"/>
      <c r="YG20" s="33"/>
      <c r="YH20" s="33"/>
      <c r="YI20" s="33"/>
      <c r="YJ20" s="33"/>
      <c r="YK20" s="33"/>
      <c r="YL20" s="33"/>
      <c r="YM20" s="33"/>
      <c r="YN20" s="33"/>
      <c r="YO20" s="33"/>
      <c r="YP20" s="33"/>
      <c r="YQ20" s="33"/>
      <c r="YR20" s="33"/>
      <c r="YS20" s="33"/>
      <c r="YT20" s="33"/>
      <c r="YU20" s="33"/>
      <c r="YV20" s="33"/>
      <c r="YW20" s="33"/>
      <c r="YX20" s="33"/>
      <c r="YY20" s="33"/>
      <c r="YZ20" s="33"/>
      <c r="ZA20" s="33"/>
      <c r="ZB20" s="33"/>
      <c r="ZC20" s="33"/>
      <c r="ZD20" s="33"/>
      <c r="ZE20" s="33"/>
      <c r="ZF20" s="33"/>
      <c r="ZG20" s="33"/>
      <c r="ZH20" s="33"/>
      <c r="ZI20" s="33"/>
      <c r="ZJ20" s="33"/>
      <c r="ZK20" s="33"/>
      <c r="ZL20" s="33"/>
      <c r="ZM20" s="33"/>
      <c r="ZN20" s="33"/>
      <c r="ZO20" s="33"/>
      <c r="ZP20" s="33"/>
      <c r="ZQ20" s="33"/>
      <c r="ZR20" s="33"/>
      <c r="ZS20" s="33"/>
      <c r="ZT20" s="33"/>
      <c r="ZU20" s="33"/>
      <c r="ZV20" s="33"/>
      <c r="ZW20" s="33"/>
      <c r="ZX20" s="33"/>
      <c r="ZY20" s="33"/>
      <c r="ZZ20" s="33"/>
      <c r="AAA20" s="33"/>
      <c r="AAB20" s="33"/>
      <c r="AAC20" s="33"/>
      <c r="AAD20" s="33"/>
      <c r="AAE20" s="33"/>
      <c r="AAF20" s="33"/>
      <c r="AAG20" s="33"/>
      <c r="AAH20" s="33"/>
      <c r="AAI20" s="33"/>
      <c r="AAJ20" s="33"/>
      <c r="AAK20" s="33"/>
      <c r="AAL20" s="33"/>
      <c r="AAM20" s="33"/>
      <c r="AAN20" s="33"/>
      <c r="AAO20" s="33"/>
      <c r="AAP20" s="33"/>
      <c r="AAQ20" s="33"/>
      <c r="AAR20" s="33"/>
      <c r="AAS20" s="33"/>
      <c r="AAT20" s="33"/>
      <c r="AAU20" s="33"/>
      <c r="AAV20" s="33"/>
      <c r="AAW20" s="33"/>
      <c r="AAX20" s="33"/>
      <c r="AAY20" s="33"/>
      <c r="AAZ20" s="33"/>
      <c r="ABA20" s="33"/>
      <c r="ABB20" s="33"/>
      <c r="ABC20" s="33"/>
      <c r="ABD20" s="33"/>
      <c r="ABE20" s="33"/>
      <c r="ABF20" s="33"/>
      <c r="ABG20" s="33"/>
      <c r="ABH20" s="33"/>
      <c r="ABI20" s="33"/>
      <c r="ABJ20" s="33"/>
      <c r="ABK20" s="33"/>
      <c r="ABL20" s="33"/>
      <c r="ABM20" s="33"/>
      <c r="ABN20" s="33"/>
      <c r="ABO20" s="33"/>
      <c r="ABP20" s="33"/>
      <c r="ABQ20" s="33"/>
      <c r="ABR20" s="33"/>
      <c r="ABS20" s="33"/>
      <c r="ABT20" s="33"/>
      <c r="ABU20" s="33"/>
      <c r="ABV20" s="33"/>
      <c r="ABW20" s="33"/>
      <c r="ABX20" s="33"/>
      <c r="ABY20" s="33"/>
      <c r="ABZ20" s="33"/>
      <c r="ACA20" s="33"/>
      <c r="ACB20" s="33"/>
      <c r="ACC20" s="33"/>
      <c r="ACD20" s="33"/>
      <c r="ACE20" s="33"/>
      <c r="ACF20" s="33"/>
      <c r="ACG20" s="33"/>
      <c r="ACH20" s="33"/>
      <c r="ACI20" s="33"/>
      <c r="ACJ20" s="33"/>
      <c r="ACK20" s="33"/>
      <c r="ACL20" s="33"/>
      <c r="ACM20" s="33"/>
      <c r="ACN20" s="33"/>
      <c r="ACO20" s="33"/>
      <c r="ACP20" s="33"/>
      <c r="ACQ20" s="33"/>
      <c r="ACR20" s="33"/>
      <c r="ACS20" s="33"/>
      <c r="ACT20" s="33"/>
      <c r="ACU20" s="33"/>
      <c r="ACV20" s="33"/>
      <c r="ACW20" s="33"/>
      <c r="ACX20" s="33"/>
      <c r="ACY20" s="33"/>
      <c r="ACZ20" s="33"/>
      <c r="ADA20" s="33"/>
      <c r="ADB20" s="33"/>
      <c r="ADC20" s="33"/>
      <c r="ADD20" s="33"/>
      <c r="ADE20" s="33"/>
      <c r="ADF20" s="33"/>
      <c r="ADG20" s="33"/>
      <c r="ADH20" s="33"/>
      <c r="ADI20" s="33"/>
      <c r="ADJ20" s="33"/>
      <c r="ADK20" s="33"/>
      <c r="ADL20" s="33"/>
      <c r="ADM20" s="33"/>
      <c r="ADN20" s="33"/>
      <c r="ADO20" s="33"/>
      <c r="ADP20" s="33"/>
      <c r="ADQ20" s="33"/>
      <c r="ADR20" s="33"/>
      <c r="ADS20" s="33"/>
      <c r="ADT20" s="33"/>
      <c r="ADU20" s="33"/>
      <c r="ADV20" s="33"/>
      <c r="ADW20" s="33"/>
      <c r="ADX20" s="33"/>
      <c r="ADY20" s="33"/>
      <c r="ADZ20" s="33"/>
      <c r="AEA20" s="33"/>
      <c r="AEB20" s="33"/>
      <c r="AEC20" s="33"/>
      <c r="AED20" s="33"/>
      <c r="AEE20" s="33"/>
      <c r="AEF20" s="33"/>
      <c r="AEG20" s="33"/>
      <c r="AEH20" s="33"/>
      <c r="AEI20" s="33"/>
      <c r="AEJ20" s="33"/>
      <c r="AEK20" s="33"/>
      <c r="AEL20" s="33"/>
      <c r="AEM20" s="33"/>
      <c r="AEN20" s="33"/>
      <c r="AEO20" s="33"/>
      <c r="AEP20" s="33"/>
      <c r="AEQ20" s="33"/>
      <c r="AER20" s="33"/>
      <c r="AES20" s="33"/>
      <c r="AET20" s="33"/>
      <c r="AEU20" s="33"/>
      <c r="AEV20" s="33"/>
      <c r="AEW20" s="33"/>
      <c r="AEX20" s="33"/>
      <c r="AEY20" s="33"/>
      <c r="AEZ20" s="33"/>
      <c r="AFA20" s="33"/>
      <c r="AFB20" s="33"/>
      <c r="AFC20" s="33"/>
      <c r="AFD20" s="33"/>
      <c r="AFE20" s="33"/>
      <c r="AFF20" s="33"/>
      <c r="AFG20" s="33"/>
      <c r="AFH20" s="33"/>
      <c r="AFI20" s="33"/>
      <c r="AFJ20" s="33"/>
      <c r="AFK20" s="33"/>
      <c r="AFL20" s="33"/>
      <c r="AFM20" s="33"/>
      <c r="AFN20" s="33"/>
      <c r="AFO20" s="33"/>
      <c r="AFP20" s="33"/>
      <c r="AFQ20" s="33"/>
      <c r="AFR20" s="33"/>
      <c r="AFS20" s="33"/>
      <c r="AFT20" s="33"/>
      <c r="AFU20" s="33"/>
      <c r="AFV20" s="33"/>
      <c r="AFW20" s="33"/>
      <c r="AFX20" s="33"/>
      <c r="AFY20" s="33"/>
      <c r="AFZ20" s="33"/>
      <c r="AGA20" s="33"/>
      <c r="AGB20" s="33"/>
      <c r="AGC20" s="33"/>
      <c r="AGD20" s="33"/>
      <c r="AGE20" s="33"/>
      <c r="AGF20" s="33"/>
      <c r="AGG20" s="33"/>
      <c r="AGH20" s="33"/>
      <c r="AGI20" s="33"/>
      <c r="AGJ20" s="33"/>
      <c r="AGK20" s="33"/>
      <c r="AGL20" s="33"/>
      <c r="AGM20" s="33"/>
      <c r="AGN20" s="33"/>
      <c r="AGO20" s="33"/>
      <c r="AGP20" s="33"/>
      <c r="AGQ20" s="33"/>
      <c r="AGR20" s="33"/>
      <c r="AGS20" s="33"/>
      <c r="AGT20" s="33"/>
      <c r="AGU20" s="33"/>
      <c r="AGV20" s="33"/>
      <c r="AGW20" s="33"/>
      <c r="AGX20" s="33"/>
      <c r="AGY20" s="33"/>
      <c r="AGZ20" s="33"/>
      <c r="AHA20" s="33"/>
      <c r="AHB20" s="33"/>
      <c r="AHC20" s="33"/>
      <c r="AHD20" s="33"/>
      <c r="AHE20" s="33"/>
      <c r="AHF20" s="33"/>
      <c r="AHG20" s="33"/>
      <c r="AHH20" s="33"/>
      <c r="AHI20" s="33"/>
      <c r="AHJ20" s="33"/>
      <c r="AHK20" s="33"/>
      <c r="AHL20" s="33"/>
      <c r="AHM20" s="33"/>
      <c r="AHN20" s="33"/>
      <c r="AHO20" s="33"/>
      <c r="AHP20" s="33"/>
      <c r="AHQ20" s="33"/>
      <c r="AHR20" s="33"/>
      <c r="AHS20" s="33"/>
      <c r="AHT20" s="33"/>
      <c r="AHU20" s="33"/>
      <c r="AHV20" s="33"/>
      <c r="AHW20" s="33"/>
      <c r="AHX20" s="33"/>
      <c r="AHY20" s="33"/>
      <c r="AHZ20" s="33"/>
      <c r="AIA20" s="33"/>
      <c r="AIB20" s="33"/>
      <c r="AIC20" s="33"/>
      <c r="AID20" s="33"/>
      <c r="AIE20" s="33"/>
      <c r="AIF20" s="33"/>
      <c r="AIG20" s="33"/>
      <c r="AIH20" s="33"/>
      <c r="AII20" s="33"/>
      <c r="AIJ20" s="33"/>
      <c r="AIK20" s="33"/>
      <c r="AIL20" s="33"/>
      <c r="AIM20" s="33"/>
      <c r="AIN20" s="33"/>
      <c r="AIO20" s="33"/>
      <c r="AIP20" s="33"/>
      <c r="AIQ20" s="33"/>
      <c r="AIR20" s="33"/>
      <c r="AIS20" s="33"/>
      <c r="AIT20" s="33"/>
      <c r="AIU20" s="33"/>
      <c r="AIV20" s="33"/>
      <c r="AIW20" s="33"/>
      <c r="AIX20" s="33"/>
      <c r="AIY20" s="33"/>
      <c r="AIZ20" s="33"/>
      <c r="AJA20" s="33"/>
      <c r="AJB20" s="33"/>
      <c r="AJC20" s="33"/>
      <c r="AJD20" s="33"/>
      <c r="AJE20" s="33"/>
      <c r="AJF20" s="33"/>
      <c r="AJG20" s="33"/>
      <c r="AJH20" s="33"/>
      <c r="AJI20" s="33"/>
      <c r="AJJ20" s="33"/>
      <c r="AJK20" s="33"/>
      <c r="AJL20" s="33"/>
      <c r="AJM20" s="33"/>
      <c r="AJN20" s="33"/>
      <c r="AJO20" s="33"/>
      <c r="AJP20" s="33"/>
      <c r="AJQ20" s="33"/>
      <c r="AJR20" s="33"/>
      <c r="AJS20" s="33"/>
      <c r="AJT20" s="33"/>
      <c r="AJU20" s="33"/>
      <c r="AJV20" s="33"/>
      <c r="AJW20" s="33"/>
      <c r="AJX20" s="33"/>
      <c r="AJY20" s="33"/>
      <c r="AJZ20" s="33"/>
      <c r="AKA20" s="33"/>
      <c r="AKB20" s="33"/>
      <c r="AKC20" s="33"/>
      <c r="AKD20" s="33"/>
      <c r="AKE20" s="33"/>
      <c r="AKF20" s="33"/>
      <c r="AKG20" s="33"/>
      <c r="AKH20" s="33"/>
      <c r="AKI20" s="33"/>
      <c r="AKJ20" s="33"/>
      <c r="AKK20" s="33"/>
      <c r="AKL20" s="33"/>
      <c r="AKM20" s="33"/>
      <c r="AKN20" s="33"/>
      <c r="AKO20" s="33"/>
      <c r="AKP20" s="33"/>
      <c r="AKQ20" s="33"/>
      <c r="AKR20" s="33"/>
      <c r="AKS20" s="33"/>
      <c r="AKT20" s="33"/>
      <c r="AKU20" s="33"/>
      <c r="AKV20" s="33"/>
      <c r="AKW20" s="33"/>
      <c r="AKX20" s="33"/>
      <c r="AKY20" s="33"/>
      <c r="AKZ20" s="33"/>
      <c r="ALA20" s="33"/>
      <c r="ALB20" s="33"/>
      <c r="ALC20" s="33"/>
      <c r="ALD20" s="33"/>
      <c r="ALE20" s="33"/>
      <c r="ALF20" s="33"/>
      <c r="ALG20" s="33"/>
      <c r="ALH20" s="33"/>
      <c r="ALI20" s="33"/>
      <c r="ALJ20" s="33"/>
      <c r="ALK20" s="33"/>
      <c r="ALL20" s="33"/>
      <c r="ALM20" s="33"/>
      <c r="ALN20" s="33"/>
      <c r="ALO20" s="33"/>
      <c r="ALP20" s="33"/>
      <c r="ALQ20" s="33"/>
      <c r="ALR20" s="33"/>
      <c r="ALS20" s="33"/>
      <c r="ALT20" s="33"/>
      <c r="ALU20" s="33"/>
      <c r="ALV20" s="33"/>
      <c r="ALW20" s="33"/>
      <c r="ALX20" s="33"/>
      <c r="ALY20" s="33"/>
      <c r="ALZ20" s="33"/>
      <c r="AMA20" s="33"/>
      <c r="AMB20" s="33"/>
      <c r="AMC20" s="33"/>
      <c r="AMD20" s="33"/>
      <c r="AME20" s="33"/>
      <c r="AMF20" s="33"/>
      <c r="AMG20" s="33"/>
      <c r="AMH20" s="33"/>
      <c r="AMI20" s="33"/>
      <c r="AMJ20" s="33"/>
      <c r="AMK20" s="33"/>
      <c r="AML20" s="33"/>
      <c r="AMM20" s="33"/>
      <c r="AMN20" s="33"/>
      <c r="AMO20" s="33"/>
      <c r="AMP20" s="33"/>
      <c r="AMQ20" s="33"/>
      <c r="AMR20" s="33"/>
      <c r="AMS20" s="33"/>
      <c r="AMT20" s="33"/>
      <c r="AMU20" s="33"/>
      <c r="AMV20" s="33"/>
      <c r="AMW20" s="33"/>
      <c r="AMX20" s="33"/>
      <c r="AMY20" s="33"/>
      <c r="AMZ20" s="33"/>
      <c r="ANA20" s="33"/>
      <c r="ANB20" s="33"/>
      <c r="ANC20" s="33"/>
      <c r="AND20" s="33"/>
      <c r="ANE20" s="33"/>
      <c r="ANF20" s="33"/>
      <c r="ANG20" s="33"/>
      <c r="ANH20" s="33"/>
      <c r="ANI20" s="33"/>
      <c r="ANJ20" s="33"/>
      <c r="ANK20" s="33"/>
      <c r="ANL20" s="33"/>
      <c r="ANM20" s="33"/>
      <c r="ANN20" s="33"/>
      <c r="ANO20" s="33"/>
      <c r="ANP20" s="33"/>
      <c r="ANQ20" s="33"/>
      <c r="ANR20" s="33"/>
      <c r="ANS20" s="33"/>
      <c r="ANT20" s="33"/>
      <c r="ANU20" s="33"/>
      <c r="ANV20" s="33"/>
      <c r="ANW20" s="33"/>
      <c r="ANX20" s="33"/>
      <c r="ANY20" s="33"/>
      <c r="ANZ20" s="33"/>
      <c r="AOA20" s="33"/>
      <c r="AOB20" s="33"/>
      <c r="AOC20" s="33"/>
      <c r="AOD20" s="33"/>
      <c r="AOE20" s="33"/>
      <c r="AOF20" s="33"/>
      <c r="AOG20" s="33"/>
      <c r="AOH20" s="33"/>
      <c r="AOI20" s="33"/>
      <c r="AOJ20" s="33"/>
      <c r="AOK20" s="33"/>
      <c r="AOL20" s="33"/>
      <c r="AOM20" s="33"/>
      <c r="AON20" s="33"/>
      <c r="AOO20" s="33"/>
      <c r="AOP20" s="33"/>
      <c r="AOQ20" s="33"/>
      <c r="AOR20" s="33"/>
      <c r="AOS20" s="33"/>
      <c r="AOT20" s="33"/>
      <c r="AOU20" s="33"/>
      <c r="AOV20" s="33"/>
      <c r="AOW20" s="33"/>
      <c r="AOX20" s="33"/>
      <c r="AOY20" s="33"/>
      <c r="AOZ20" s="33"/>
      <c r="APA20" s="33"/>
      <c r="APB20" s="33"/>
      <c r="APC20" s="33"/>
      <c r="APD20" s="33"/>
      <c r="APE20" s="33"/>
      <c r="APF20" s="33"/>
      <c r="APG20" s="33"/>
      <c r="APH20" s="33"/>
      <c r="API20" s="33"/>
      <c r="APJ20" s="33"/>
      <c r="APK20" s="33"/>
      <c r="APL20" s="33"/>
      <c r="APM20" s="33"/>
      <c r="APN20" s="33"/>
      <c r="APO20" s="33"/>
      <c r="APP20" s="33"/>
      <c r="APQ20" s="33"/>
      <c r="APR20" s="33"/>
      <c r="APS20" s="33"/>
      <c r="APT20" s="33"/>
      <c r="APU20" s="33"/>
      <c r="APV20" s="33"/>
      <c r="APW20" s="33"/>
      <c r="APX20" s="33"/>
      <c r="APY20" s="33"/>
      <c r="APZ20" s="33"/>
      <c r="AQA20" s="33"/>
      <c r="AQB20" s="33"/>
      <c r="AQC20" s="33"/>
      <c r="AQD20" s="33"/>
      <c r="AQE20" s="33"/>
      <c r="AQF20" s="33"/>
      <c r="AQG20" s="33"/>
      <c r="AQH20" s="33"/>
      <c r="AQI20" s="33"/>
      <c r="AQJ20" s="33"/>
      <c r="AQK20" s="33"/>
      <c r="AQL20" s="33"/>
      <c r="AQM20" s="33"/>
      <c r="AQN20" s="33"/>
      <c r="AQO20" s="33"/>
      <c r="AQP20" s="33"/>
      <c r="AQQ20" s="33"/>
      <c r="AQR20" s="33"/>
      <c r="AQS20" s="33"/>
      <c r="AQT20" s="33"/>
      <c r="AQU20" s="33"/>
      <c r="AQV20" s="33"/>
      <c r="AQW20" s="33"/>
      <c r="AQX20" s="33"/>
      <c r="AQY20" s="33"/>
      <c r="AQZ20" s="33"/>
      <c r="ARA20" s="33"/>
      <c r="ARB20" s="33"/>
      <c r="ARC20" s="33"/>
      <c r="ARD20" s="33"/>
      <c r="ARE20" s="33"/>
      <c r="ARF20" s="33"/>
      <c r="ARG20" s="33"/>
      <c r="ARH20" s="33"/>
      <c r="ARI20" s="33"/>
      <c r="ARJ20" s="33"/>
      <c r="ARK20" s="33"/>
      <c r="ARL20" s="33"/>
      <c r="ARM20" s="33"/>
      <c r="ARN20" s="33"/>
      <c r="ARO20" s="33"/>
      <c r="ARP20" s="33"/>
      <c r="ARQ20" s="33"/>
      <c r="ARR20" s="33"/>
      <c r="ARS20" s="33"/>
      <c r="ART20" s="33"/>
      <c r="ARU20" s="33"/>
      <c r="ARV20" s="33"/>
      <c r="ARW20" s="33"/>
      <c r="ARX20" s="33"/>
      <c r="ARY20" s="33"/>
      <c r="ARZ20" s="33"/>
      <c r="ASA20" s="33"/>
      <c r="ASB20" s="33"/>
      <c r="ASC20" s="33"/>
      <c r="ASD20" s="33"/>
      <c r="ASE20" s="33"/>
      <c r="ASF20" s="33"/>
      <c r="ASG20" s="33"/>
      <c r="ASH20" s="33"/>
      <c r="ASI20" s="33"/>
      <c r="ASJ20" s="33"/>
      <c r="ASK20" s="33"/>
      <c r="ASL20" s="33"/>
      <c r="ASM20" s="33"/>
      <c r="ASN20" s="33"/>
      <c r="ASO20" s="33"/>
      <c r="ASP20" s="33"/>
      <c r="ASQ20" s="33"/>
      <c r="ASR20" s="33"/>
      <c r="ASS20" s="33"/>
      <c r="AST20" s="33"/>
      <c r="ASU20" s="33"/>
      <c r="ASV20" s="33"/>
      <c r="ASW20" s="33"/>
      <c r="ASX20" s="33"/>
      <c r="ASY20" s="33"/>
      <c r="ASZ20" s="33"/>
      <c r="ATA20" s="33"/>
      <c r="ATB20" s="33"/>
      <c r="ATC20" s="33"/>
      <c r="ATD20" s="33"/>
      <c r="ATE20" s="33"/>
      <c r="ATF20" s="33"/>
      <c r="ATG20" s="33"/>
      <c r="ATH20" s="33"/>
      <c r="ATI20" s="33"/>
      <c r="ATJ20" s="33"/>
      <c r="ATK20" s="33"/>
      <c r="ATL20" s="33"/>
      <c r="ATM20" s="33"/>
      <c r="ATN20" s="33"/>
      <c r="ATO20" s="33"/>
      <c r="ATP20" s="33"/>
      <c r="ATQ20" s="33"/>
      <c r="ATR20" s="33"/>
      <c r="ATS20" s="33"/>
      <c r="ATT20" s="33"/>
      <c r="ATU20" s="33"/>
      <c r="ATV20" s="33"/>
      <c r="ATW20" s="33"/>
      <c r="ATX20" s="33"/>
      <c r="ATY20" s="33"/>
      <c r="ATZ20" s="33"/>
      <c r="AUA20" s="33"/>
      <c r="AUB20" s="33"/>
      <c r="AUC20" s="33"/>
      <c r="AUD20" s="33"/>
      <c r="AUE20" s="33"/>
      <c r="AUF20" s="33"/>
      <c r="AUG20" s="33"/>
      <c r="AUH20" s="33"/>
      <c r="AUI20" s="33"/>
      <c r="AUJ20" s="33"/>
      <c r="AUK20" s="33"/>
      <c r="AUL20" s="33"/>
      <c r="AUM20" s="33"/>
      <c r="AUN20" s="33"/>
      <c r="AUO20" s="33"/>
      <c r="AUP20" s="33"/>
      <c r="AUQ20" s="33"/>
      <c r="AUR20" s="33"/>
      <c r="AUS20" s="33"/>
      <c r="AUT20" s="33"/>
      <c r="AUU20" s="33"/>
      <c r="AUV20" s="33"/>
      <c r="AUW20" s="33"/>
      <c r="AUX20" s="33"/>
      <c r="AUY20" s="33"/>
      <c r="AUZ20" s="33"/>
      <c r="AVA20" s="33"/>
      <c r="AVB20" s="33"/>
      <c r="AVC20" s="33"/>
      <c r="AVD20" s="33"/>
      <c r="AVE20" s="33"/>
      <c r="AVF20" s="33"/>
      <c r="AVG20" s="33"/>
      <c r="AVH20" s="33"/>
      <c r="AVI20" s="33"/>
      <c r="AVJ20" s="33"/>
      <c r="AVK20" s="33"/>
      <c r="AVL20" s="33"/>
      <c r="AVM20" s="33"/>
      <c r="AVN20" s="33"/>
      <c r="AVO20" s="33"/>
      <c r="AVP20" s="33"/>
      <c r="AVQ20" s="33"/>
      <c r="AVR20" s="33"/>
      <c r="AVS20" s="33"/>
      <c r="AVT20" s="33"/>
      <c r="AVU20" s="33"/>
      <c r="AVV20" s="33"/>
      <c r="AVW20" s="33"/>
      <c r="AVX20" s="33"/>
      <c r="AVY20" s="33"/>
      <c r="AVZ20" s="33"/>
      <c r="AWA20" s="33"/>
      <c r="AWB20" s="33"/>
      <c r="AWC20" s="33"/>
      <c r="AWD20" s="33"/>
      <c r="AWE20" s="33"/>
      <c r="AWF20" s="33"/>
      <c r="AWG20" s="33"/>
      <c r="AWH20" s="33"/>
      <c r="AWI20" s="33"/>
      <c r="AWJ20" s="33"/>
      <c r="AWK20" s="33"/>
      <c r="AWL20" s="33"/>
      <c r="AWM20" s="33"/>
      <c r="AWN20" s="33"/>
      <c r="AWO20" s="33"/>
      <c r="AWP20" s="33"/>
      <c r="AWQ20" s="33"/>
      <c r="AWR20" s="33"/>
      <c r="AWS20" s="33"/>
      <c r="AWT20" s="33"/>
      <c r="AWU20" s="33"/>
      <c r="AWV20" s="33"/>
      <c r="AWW20" s="33"/>
      <c r="AWX20" s="33"/>
      <c r="AWY20" s="33"/>
      <c r="AWZ20" s="33"/>
      <c r="AXA20" s="33"/>
      <c r="AXB20" s="33"/>
      <c r="AXC20" s="33"/>
      <c r="AXD20" s="33"/>
      <c r="AXE20" s="33"/>
      <c r="AXF20" s="33"/>
      <c r="AXG20" s="33"/>
      <c r="AXH20" s="33"/>
      <c r="AXI20" s="33"/>
      <c r="AXJ20" s="33"/>
      <c r="AXK20" s="33"/>
      <c r="AXL20" s="33"/>
      <c r="AXM20" s="33"/>
      <c r="AXN20" s="33"/>
      <c r="AXO20" s="33"/>
      <c r="AXP20" s="33"/>
      <c r="AXQ20" s="33"/>
      <c r="AXR20" s="33"/>
      <c r="AXS20" s="33"/>
      <c r="AXT20" s="33"/>
      <c r="AXU20" s="33"/>
      <c r="AXV20" s="33"/>
      <c r="AXW20" s="33"/>
      <c r="AXX20" s="33"/>
      <c r="AXY20" s="33"/>
      <c r="AXZ20" s="33"/>
      <c r="AYA20" s="33"/>
      <c r="AYB20" s="33"/>
      <c r="AYC20" s="33"/>
      <c r="AYD20" s="33"/>
      <c r="AYE20" s="33"/>
      <c r="AYF20" s="33"/>
      <c r="AYG20" s="33"/>
      <c r="AYH20" s="33"/>
      <c r="AYI20" s="33"/>
      <c r="AYJ20" s="33"/>
      <c r="AYK20" s="33"/>
      <c r="AYL20" s="33"/>
      <c r="AYM20" s="33"/>
      <c r="AYN20" s="33"/>
      <c r="AYO20" s="33"/>
      <c r="AYP20" s="33"/>
      <c r="AYQ20" s="33"/>
      <c r="AYR20" s="33"/>
      <c r="AYS20" s="33"/>
      <c r="AYT20" s="33"/>
      <c r="AYU20" s="33"/>
      <c r="AYV20" s="33"/>
      <c r="AYW20" s="33"/>
      <c r="AYX20" s="33"/>
      <c r="AYY20" s="33"/>
      <c r="AYZ20" s="33"/>
      <c r="AZA20" s="33"/>
      <c r="AZB20" s="33"/>
      <c r="AZC20" s="33"/>
      <c r="AZD20" s="33"/>
      <c r="AZE20" s="33"/>
      <c r="AZF20" s="33"/>
      <c r="AZG20" s="33"/>
      <c r="AZH20" s="33"/>
      <c r="AZI20" s="33"/>
      <c r="AZJ20" s="33"/>
      <c r="AZK20" s="33"/>
      <c r="AZL20" s="33"/>
      <c r="AZM20" s="33"/>
      <c r="AZN20" s="33"/>
      <c r="AZO20" s="33"/>
      <c r="AZP20" s="33"/>
      <c r="AZQ20" s="33"/>
      <c r="AZR20" s="33"/>
      <c r="AZS20" s="33"/>
      <c r="AZT20" s="33"/>
      <c r="AZU20" s="33"/>
      <c r="AZV20" s="33"/>
      <c r="AZW20" s="33"/>
      <c r="AZX20" s="33"/>
      <c r="AZY20" s="33"/>
      <c r="AZZ20" s="33"/>
      <c r="BAA20" s="33"/>
      <c r="BAB20" s="33"/>
      <c r="BAC20" s="33"/>
      <c r="BAD20" s="33"/>
      <c r="BAE20" s="33"/>
      <c r="BAF20" s="33"/>
      <c r="BAG20" s="33"/>
      <c r="BAH20" s="33"/>
      <c r="BAI20" s="33"/>
      <c r="BAJ20" s="33"/>
      <c r="BAK20" s="33"/>
      <c r="BAL20" s="33"/>
      <c r="BAM20" s="33"/>
      <c r="BAN20" s="33"/>
      <c r="BAO20" s="33"/>
      <c r="BAP20" s="33"/>
      <c r="BAQ20" s="33"/>
      <c r="BAR20" s="33"/>
      <c r="BAS20" s="33"/>
      <c r="BAT20" s="33"/>
      <c r="BAU20" s="33"/>
      <c r="BAV20" s="33"/>
      <c r="BAW20" s="33"/>
      <c r="BAX20" s="33"/>
      <c r="BAY20" s="33"/>
      <c r="BAZ20" s="33"/>
      <c r="BBA20" s="33"/>
      <c r="BBB20" s="33"/>
      <c r="BBC20" s="33"/>
      <c r="BBD20" s="33"/>
      <c r="BBE20" s="33"/>
      <c r="BBF20" s="33"/>
      <c r="BBG20" s="33"/>
      <c r="BBH20" s="33"/>
      <c r="BBI20" s="33"/>
      <c r="BBJ20" s="33"/>
      <c r="BBK20" s="33"/>
      <c r="BBL20" s="33"/>
      <c r="BBM20" s="33"/>
      <c r="BBN20" s="33"/>
      <c r="BBO20" s="33"/>
      <c r="BBP20" s="33"/>
      <c r="BBQ20" s="33"/>
      <c r="BBR20" s="33"/>
      <c r="BBS20" s="33"/>
      <c r="BBT20" s="33"/>
      <c r="BBU20" s="33"/>
      <c r="BBV20" s="33"/>
      <c r="BBW20" s="33"/>
      <c r="BBX20" s="33"/>
      <c r="BBY20" s="33"/>
      <c r="BBZ20" s="33"/>
      <c r="BCA20" s="33"/>
      <c r="BCB20" s="33"/>
      <c r="BCC20" s="33"/>
      <c r="BCD20" s="33"/>
      <c r="BCE20" s="33"/>
      <c r="BCF20" s="33"/>
      <c r="BCG20" s="33"/>
      <c r="BCH20" s="33"/>
      <c r="BCI20" s="33"/>
      <c r="BCJ20" s="33"/>
      <c r="BCK20" s="33"/>
      <c r="BCL20" s="33"/>
      <c r="BCM20" s="33"/>
      <c r="BCN20" s="33"/>
      <c r="BCO20" s="33"/>
      <c r="BCP20" s="33"/>
      <c r="BCQ20" s="33"/>
      <c r="BCR20" s="33"/>
      <c r="BCS20" s="33"/>
      <c r="BCT20" s="33"/>
      <c r="BCU20" s="33"/>
      <c r="BCV20" s="33"/>
      <c r="BCW20" s="33"/>
      <c r="BCX20" s="33"/>
      <c r="BCY20" s="33"/>
      <c r="BCZ20" s="33"/>
      <c r="BDA20" s="33"/>
      <c r="BDB20" s="33"/>
      <c r="BDC20" s="33"/>
      <c r="BDD20" s="33"/>
      <c r="BDE20" s="33"/>
      <c r="BDF20" s="33"/>
      <c r="BDG20" s="33"/>
      <c r="BDH20" s="33"/>
      <c r="BDI20" s="33"/>
      <c r="BDJ20" s="33"/>
      <c r="BDK20" s="33"/>
      <c r="BDL20" s="33"/>
      <c r="BDM20" s="33"/>
      <c r="BDN20" s="33"/>
      <c r="BDO20" s="33"/>
      <c r="BDP20" s="33"/>
      <c r="BDQ20" s="33"/>
      <c r="BDR20" s="33"/>
      <c r="BDS20" s="33"/>
      <c r="BDT20" s="33"/>
      <c r="BDU20" s="33"/>
      <c r="BDV20" s="33"/>
      <c r="BDW20" s="33"/>
      <c r="BDX20" s="33"/>
      <c r="BDY20" s="33"/>
      <c r="BDZ20" s="33"/>
      <c r="BEA20" s="33"/>
      <c r="BEB20" s="33"/>
      <c r="BEC20" s="33"/>
      <c r="BED20" s="33"/>
      <c r="BEE20" s="33"/>
      <c r="BEF20" s="33"/>
      <c r="BEG20" s="33"/>
      <c r="BEH20" s="33"/>
      <c r="BEI20" s="33"/>
      <c r="BEJ20" s="33"/>
      <c r="BEK20" s="33"/>
      <c r="BEL20" s="33"/>
      <c r="BEM20" s="33"/>
      <c r="BEN20" s="33"/>
      <c r="BEO20" s="33"/>
      <c r="BEP20" s="33"/>
      <c r="BEQ20" s="33"/>
      <c r="BER20" s="33"/>
      <c r="BES20" s="33"/>
      <c r="BET20" s="33"/>
      <c r="BEU20" s="33"/>
      <c r="BEV20" s="33"/>
      <c r="BEW20" s="33"/>
      <c r="BEX20" s="33"/>
      <c r="BEY20" s="33"/>
      <c r="BEZ20" s="33"/>
      <c r="BFA20" s="33"/>
      <c r="BFB20" s="33"/>
      <c r="BFC20" s="33"/>
      <c r="BFD20" s="33"/>
      <c r="BFE20" s="33"/>
      <c r="BFF20" s="33"/>
      <c r="BFG20" s="33"/>
      <c r="BFH20" s="33"/>
      <c r="BFI20" s="33"/>
      <c r="BFJ20" s="33"/>
      <c r="BFK20" s="33"/>
      <c r="BFL20" s="33"/>
      <c r="BFM20" s="33"/>
      <c r="BFN20" s="33"/>
      <c r="BFO20" s="33"/>
      <c r="BFP20" s="33"/>
      <c r="BFQ20" s="33"/>
      <c r="BFR20" s="33"/>
      <c r="BFS20" s="33"/>
      <c r="BFT20" s="33"/>
      <c r="BFU20" s="33"/>
      <c r="BFV20" s="33"/>
      <c r="BFW20" s="33"/>
      <c r="BFX20" s="33"/>
      <c r="BFY20" s="33"/>
      <c r="BFZ20" s="33"/>
      <c r="BGA20" s="33"/>
      <c r="BGB20" s="33"/>
      <c r="BGC20" s="33"/>
      <c r="BGD20" s="33"/>
      <c r="BGE20" s="33"/>
      <c r="BGF20" s="33"/>
      <c r="BGG20" s="33"/>
      <c r="BGH20" s="33"/>
      <c r="BGI20" s="33"/>
      <c r="BGJ20" s="33"/>
      <c r="BGK20" s="33"/>
      <c r="BGL20" s="33"/>
      <c r="BGM20" s="33"/>
      <c r="BGN20" s="33"/>
      <c r="BGO20" s="33"/>
      <c r="BGP20" s="33"/>
      <c r="BGQ20" s="33"/>
      <c r="BGR20" s="33"/>
      <c r="BGS20" s="33"/>
      <c r="BGT20" s="33"/>
      <c r="BGU20" s="33"/>
      <c r="BGV20" s="33"/>
      <c r="BGW20" s="33"/>
      <c r="BGX20" s="33"/>
      <c r="BGY20" s="33"/>
      <c r="BGZ20" s="33"/>
      <c r="BHA20" s="33"/>
      <c r="BHB20" s="33"/>
      <c r="BHC20" s="33"/>
      <c r="BHD20" s="33"/>
      <c r="BHE20" s="33"/>
      <c r="BHF20" s="33"/>
      <c r="BHG20" s="33"/>
      <c r="BHH20" s="33"/>
      <c r="BHI20" s="33"/>
      <c r="BHJ20" s="33"/>
      <c r="BHK20" s="33"/>
      <c r="BHL20" s="33"/>
      <c r="BHM20" s="33"/>
      <c r="BHN20" s="33"/>
      <c r="BHO20" s="33"/>
      <c r="BHP20" s="33"/>
      <c r="BHQ20" s="33"/>
      <c r="BHR20" s="33"/>
      <c r="BHS20" s="33"/>
      <c r="BHT20" s="33"/>
      <c r="BHU20" s="33"/>
      <c r="BHV20" s="33"/>
      <c r="BHW20" s="33"/>
      <c r="BHX20" s="33"/>
      <c r="BHY20" s="33"/>
      <c r="BHZ20" s="33"/>
      <c r="BIA20" s="33"/>
      <c r="BIB20" s="33"/>
      <c r="BIC20" s="33"/>
      <c r="BID20" s="33"/>
      <c r="BIE20" s="33"/>
      <c r="BIF20" s="33"/>
      <c r="BIG20" s="33"/>
      <c r="BIH20" s="33"/>
      <c r="BII20" s="33"/>
      <c r="BIJ20" s="33"/>
      <c r="BIK20" s="33"/>
      <c r="BIL20" s="33"/>
      <c r="BIM20" s="33"/>
      <c r="BIN20" s="33"/>
      <c r="BIO20" s="33"/>
      <c r="BIP20" s="33"/>
      <c r="BIQ20" s="33"/>
      <c r="BIR20" s="33"/>
      <c r="BIS20" s="33"/>
      <c r="BIT20" s="33"/>
      <c r="BIU20" s="33"/>
      <c r="BIV20" s="33"/>
      <c r="BIW20" s="33"/>
      <c r="BIX20" s="33"/>
      <c r="BIY20" s="33"/>
      <c r="BIZ20" s="33"/>
      <c r="BJA20" s="33"/>
      <c r="BJB20" s="33"/>
      <c r="BJC20" s="33"/>
      <c r="BJD20" s="33"/>
      <c r="BJE20" s="33"/>
      <c r="BJF20" s="33"/>
      <c r="BJG20" s="33"/>
      <c r="BJH20" s="33"/>
      <c r="BJI20" s="33"/>
      <c r="BJJ20" s="33"/>
      <c r="BJK20" s="33"/>
      <c r="BJL20" s="33"/>
      <c r="BJM20" s="33"/>
      <c r="BJN20" s="33"/>
      <c r="BJO20" s="33"/>
      <c r="BJP20" s="33"/>
      <c r="BJQ20" s="33"/>
      <c r="BJR20" s="33"/>
      <c r="BJS20" s="33"/>
      <c r="BJT20" s="33"/>
      <c r="BJU20" s="33"/>
      <c r="BJV20" s="33"/>
      <c r="BJW20" s="33"/>
      <c r="BJX20" s="33"/>
      <c r="BJY20" s="33"/>
      <c r="BJZ20" s="33"/>
      <c r="BKA20" s="33"/>
      <c r="BKB20" s="33"/>
      <c r="BKC20" s="33"/>
      <c r="BKD20" s="33"/>
      <c r="BKE20" s="33"/>
      <c r="BKF20" s="33"/>
      <c r="BKG20" s="33"/>
      <c r="BKH20" s="33"/>
      <c r="BKI20" s="33"/>
      <c r="BKJ20" s="33"/>
      <c r="BKK20" s="33"/>
      <c r="BKL20" s="33"/>
      <c r="BKM20" s="33"/>
      <c r="BKN20" s="33"/>
      <c r="BKO20" s="33"/>
      <c r="BKP20" s="33"/>
      <c r="BKQ20" s="33"/>
      <c r="BKR20" s="33"/>
      <c r="BKS20" s="33"/>
      <c r="BKT20" s="33"/>
      <c r="BKU20" s="33"/>
      <c r="BKV20" s="33"/>
      <c r="BKW20" s="33"/>
      <c r="BKX20" s="33"/>
      <c r="BKY20" s="33"/>
      <c r="BKZ20" s="33"/>
      <c r="BLA20" s="33"/>
      <c r="BLB20" s="33"/>
      <c r="BLC20" s="33"/>
      <c r="BLD20" s="33"/>
      <c r="BLE20" s="33"/>
      <c r="BLF20" s="33"/>
      <c r="BLG20" s="33"/>
      <c r="BLH20" s="33"/>
      <c r="BLI20" s="33"/>
      <c r="BLJ20" s="33"/>
      <c r="BLK20" s="33"/>
      <c r="BLL20" s="33"/>
      <c r="BLM20" s="33"/>
      <c r="BLN20" s="33"/>
      <c r="BLO20" s="33"/>
      <c r="BLP20" s="33"/>
      <c r="BLQ20" s="33"/>
      <c r="BLR20" s="33"/>
      <c r="BLS20" s="33"/>
      <c r="BLT20" s="33"/>
      <c r="BLU20" s="33"/>
      <c r="BLV20" s="33"/>
      <c r="BLW20" s="33"/>
      <c r="BLX20" s="33"/>
      <c r="BLY20" s="33"/>
      <c r="BLZ20" s="33"/>
      <c r="BMA20" s="33"/>
      <c r="BMB20" s="33"/>
      <c r="BMC20" s="33"/>
      <c r="BMD20" s="33"/>
      <c r="BME20" s="33"/>
      <c r="BMF20" s="33"/>
      <c r="BMG20" s="33"/>
      <c r="BMH20" s="33"/>
      <c r="BMI20" s="33"/>
      <c r="BMJ20" s="33"/>
      <c r="BMK20" s="33"/>
      <c r="BML20" s="33"/>
      <c r="BMM20" s="33"/>
      <c r="BMN20" s="33"/>
      <c r="BMO20" s="33"/>
      <c r="BMP20" s="33"/>
      <c r="BMQ20" s="33"/>
      <c r="BMR20" s="33"/>
      <c r="BMS20" s="33"/>
      <c r="BMT20" s="33"/>
      <c r="BMU20" s="33"/>
      <c r="BMV20" s="33"/>
      <c r="BMW20" s="33"/>
      <c r="BMX20" s="33"/>
      <c r="BMY20" s="33"/>
      <c r="BMZ20" s="33"/>
      <c r="BNA20" s="33"/>
      <c r="BNB20" s="33"/>
      <c r="BNC20" s="33"/>
      <c r="BND20" s="33"/>
      <c r="BNE20" s="33"/>
      <c r="BNF20" s="33"/>
      <c r="BNG20" s="33"/>
      <c r="BNH20" s="33"/>
      <c r="BNI20" s="33"/>
      <c r="BNJ20" s="33"/>
      <c r="BNK20" s="33"/>
      <c r="BNL20" s="33"/>
      <c r="BNM20" s="33"/>
      <c r="BNN20" s="33"/>
      <c r="BNO20" s="33"/>
      <c r="BNP20" s="33"/>
      <c r="BNQ20" s="33"/>
      <c r="BNR20" s="33"/>
      <c r="BNS20" s="33"/>
      <c r="BNT20" s="33"/>
      <c r="BNU20" s="33"/>
      <c r="BNV20" s="33"/>
      <c r="BNW20" s="33"/>
      <c r="BNX20" s="33"/>
      <c r="BNY20" s="33"/>
      <c r="BNZ20" s="33"/>
      <c r="BOA20" s="33"/>
      <c r="BOB20" s="33"/>
      <c r="BOC20" s="33"/>
      <c r="BOD20" s="33"/>
      <c r="BOE20" s="33"/>
      <c r="BOF20" s="33"/>
      <c r="BOG20" s="33"/>
      <c r="BOH20" s="33"/>
      <c r="BOI20" s="33"/>
      <c r="BOJ20" s="33"/>
      <c r="BOK20" s="33"/>
      <c r="BOL20" s="33"/>
      <c r="BOM20" s="33"/>
      <c r="BON20" s="33"/>
      <c r="BOO20" s="33"/>
      <c r="BOP20" s="33"/>
      <c r="BOQ20" s="33"/>
      <c r="BOR20" s="33"/>
      <c r="BOS20" s="33"/>
      <c r="BOT20" s="33"/>
      <c r="BOU20" s="33"/>
      <c r="BOV20" s="33"/>
      <c r="BOW20" s="33"/>
      <c r="BOX20" s="33"/>
      <c r="BOY20" s="33"/>
      <c r="BOZ20" s="33"/>
      <c r="BPA20" s="33"/>
      <c r="BPB20" s="33"/>
      <c r="BPC20" s="81"/>
    </row>
    <row r="21" s="34" customFormat="1" ht="60" customHeight="1" spans="1:1024 1025:1771">
      <c r="A21" s="78" t="s">
        <v>57</v>
      </c>
      <c r="B21" s="75" t="s">
        <v>58</v>
      </c>
      <c r="C21" s="75" t="s">
        <v>59</v>
      </c>
      <c r="D21" s="75" t="s">
        <v>60</v>
      </c>
      <c r="E21" s="75"/>
      <c r="F21" s="75"/>
      <c r="G21" s="79"/>
      <c r="H21" s="76">
        <f ca="1" t="shared" si="0"/>
        <v>46175</v>
      </c>
      <c r="I21" s="80" t="s">
        <v>7</v>
      </c>
      <c r="J21" s="79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MN21" s="33"/>
      <c r="MO21" s="33"/>
      <c r="MP21" s="33"/>
      <c r="MQ21" s="33"/>
      <c r="MR21" s="33"/>
      <c r="MS21" s="33"/>
      <c r="MT21" s="33"/>
      <c r="MU21" s="33"/>
      <c r="MV21" s="33"/>
      <c r="MW21" s="33"/>
      <c r="MX21" s="33"/>
      <c r="MY21" s="33"/>
      <c r="MZ21" s="33"/>
      <c r="NA21" s="33"/>
      <c r="NB21" s="33"/>
      <c r="NC21" s="33"/>
      <c r="ND21" s="33"/>
      <c r="NE21" s="33"/>
      <c r="NF21" s="33"/>
      <c r="NG21" s="33"/>
      <c r="NH21" s="33"/>
      <c r="NI21" s="33"/>
      <c r="NJ21" s="33"/>
      <c r="NK21" s="33"/>
      <c r="NL21" s="33"/>
      <c r="NM21" s="33"/>
      <c r="NN21" s="33"/>
      <c r="NO21" s="33"/>
      <c r="NP21" s="33"/>
      <c r="NQ21" s="33"/>
      <c r="NR21" s="33"/>
      <c r="NS21" s="33"/>
      <c r="NT21" s="33"/>
      <c r="NU21" s="33"/>
      <c r="NV21" s="33"/>
      <c r="NW21" s="33"/>
      <c r="NX21" s="33"/>
      <c r="NY21" s="33"/>
      <c r="NZ21" s="33"/>
      <c r="OA21" s="33"/>
      <c r="OB21" s="33"/>
      <c r="OC21" s="33"/>
      <c r="OD21" s="33"/>
      <c r="OE21" s="33"/>
      <c r="OF21" s="33"/>
      <c r="OG21" s="33"/>
      <c r="OH21" s="33"/>
      <c r="OI21" s="33"/>
      <c r="OJ21" s="33"/>
      <c r="OK21" s="33"/>
      <c r="OL21" s="33"/>
      <c r="OM21" s="33"/>
      <c r="ON21" s="33"/>
      <c r="OO21" s="33"/>
      <c r="OP21" s="33"/>
      <c r="OQ21" s="33"/>
      <c r="OR21" s="33"/>
      <c r="OS21" s="33"/>
      <c r="OT21" s="33"/>
      <c r="OU21" s="33"/>
      <c r="OV21" s="33"/>
      <c r="OW21" s="33"/>
      <c r="OX21" s="33"/>
      <c r="OY21" s="33"/>
      <c r="OZ21" s="33"/>
      <c r="PA21" s="33"/>
      <c r="PB21" s="33"/>
      <c r="PC21" s="33"/>
      <c r="PD21" s="33"/>
      <c r="PE21" s="33"/>
      <c r="PF21" s="33"/>
      <c r="PG21" s="33"/>
      <c r="PH21" s="33"/>
      <c r="PI21" s="33"/>
      <c r="PJ21" s="33"/>
      <c r="PK21" s="33"/>
      <c r="PL21" s="33"/>
      <c r="PM21" s="33"/>
      <c r="PN21" s="33"/>
      <c r="PO21" s="33"/>
      <c r="PP21" s="33"/>
      <c r="PQ21" s="33"/>
      <c r="PR21" s="33"/>
      <c r="PS21" s="33"/>
      <c r="PT21" s="33"/>
      <c r="PU21" s="33"/>
      <c r="PV21" s="33"/>
      <c r="PW21" s="33"/>
      <c r="PX21" s="33"/>
      <c r="PY21" s="33"/>
      <c r="PZ21" s="33"/>
      <c r="QA21" s="33"/>
      <c r="QB21" s="33"/>
      <c r="QC21" s="33"/>
      <c r="QD21" s="33"/>
      <c r="QE21" s="33"/>
      <c r="QF21" s="33"/>
      <c r="QG21" s="33"/>
      <c r="QH21" s="33"/>
      <c r="QI21" s="33"/>
      <c r="QJ21" s="33"/>
      <c r="QK21" s="33"/>
      <c r="QL21" s="33"/>
      <c r="QM21" s="33"/>
      <c r="QN21" s="33"/>
      <c r="QO21" s="33"/>
      <c r="QP21" s="33"/>
      <c r="QQ21" s="33"/>
      <c r="QR21" s="33"/>
      <c r="QS21" s="33"/>
      <c r="QT21" s="33"/>
      <c r="QU21" s="33"/>
      <c r="QV21" s="33"/>
      <c r="QW21" s="33"/>
      <c r="QX21" s="33"/>
      <c r="QY21" s="33"/>
      <c r="QZ21" s="33"/>
      <c r="RA21" s="33"/>
      <c r="RB21" s="33"/>
      <c r="RC21" s="33"/>
      <c r="RD21" s="33"/>
      <c r="RE21" s="33"/>
      <c r="RF21" s="33"/>
      <c r="RG21" s="33"/>
      <c r="RH21" s="33"/>
      <c r="RI21" s="33"/>
      <c r="RJ21" s="33"/>
      <c r="RK21" s="33"/>
      <c r="RL21" s="33"/>
      <c r="RM21" s="33"/>
      <c r="RN21" s="33"/>
      <c r="RO21" s="33"/>
      <c r="RP21" s="33"/>
      <c r="RQ21" s="33"/>
      <c r="RR21" s="33"/>
      <c r="RS21" s="33"/>
      <c r="RT21" s="33"/>
      <c r="RU21" s="33"/>
      <c r="RV21" s="33"/>
      <c r="RW21" s="33"/>
      <c r="RX21" s="33"/>
      <c r="RY21" s="33"/>
      <c r="RZ21" s="33"/>
      <c r="SA21" s="33"/>
      <c r="SB21" s="33"/>
      <c r="SC21" s="33"/>
      <c r="SD21" s="33"/>
      <c r="SE21" s="33"/>
      <c r="SF21" s="33"/>
      <c r="SG21" s="33"/>
      <c r="SH21" s="33"/>
      <c r="SI21" s="33"/>
      <c r="SJ21" s="33"/>
      <c r="SK21" s="33"/>
      <c r="SL21" s="33"/>
      <c r="SM21" s="33"/>
      <c r="SN21" s="33"/>
      <c r="SO21" s="33"/>
      <c r="SP21" s="33"/>
      <c r="SQ21" s="33"/>
      <c r="SR21" s="33"/>
      <c r="SS21" s="33"/>
      <c r="ST21" s="33"/>
      <c r="SU21" s="33"/>
      <c r="SV21" s="33"/>
      <c r="SW21" s="33"/>
      <c r="SX21" s="33"/>
      <c r="SY21" s="33"/>
      <c r="SZ21" s="33"/>
      <c r="TA21" s="33"/>
      <c r="TB21" s="33"/>
      <c r="TC21" s="33"/>
      <c r="TD21" s="33"/>
      <c r="TE21" s="33"/>
      <c r="TF21" s="33"/>
      <c r="TG21" s="33"/>
      <c r="TH21" s="33"/>
      <c r="TI21" s="33"/>
      <c r="TJ21" s="33"/>
      <c r="TK21" s="33"/>
      <c r="TL21" s="33"/>
      <c r="TM21" s="33"/>
      <c r="TN21" s="33"/>
      <c r="TO21" s="33"/>
      <c r="TP21" s="33"/>
      <c r="TQ21" s="33"/>
      <c r="TR21" s="33"/>
      <c r="TS21" s="33"/>
      <c r="TT21" s="33"/>
      <c r="TU21" s="33"/>
      <c r="TV21" s="33"/>
      <c r="TW21" s="33"/>
      <c r="TX21" s="33"/>
      <c r="TY21" s="33"/>
      <c r="TZ21" s="33"/>
      <c r="UA21" s="33"/>
      <c r="UB21" s="33"/>
      <c r="UC21" s="33"/>
      <c r="UD21" s="33"/>
      <c r="UE21" s="33"/>
      <c r="UF21" s="33"/>
      <c r="UG21" s="33"/>
      <c r="UH21" s="33"/>
      <c r="UI21" s="33"/>
      <c r="UJ21" s="33"/>
      <c r="UK21" s="33"/>
      <c r="UL21" s="33"/>
      <c r="UM21" s="33"/>
      <c r="UN21" s="33"/>
      <c r="UO21" s="33"/>
      <c r="UP21" s="33"/>
      <c r="UQ21" s="33"/>
      <c r="UR21" s="33"/>
      <c r="US21" s="33"/>
      <c r="UT21" s="33"/>
      <c r="UU21" s="33"/>
      <c r="UV21" s="33"/>
      <c r="UW21" s="33"/>
      <c r="UX21" s="33"/>
      <c r="UY21" s="33"/>
      <c r="UZ21" s="33"/>
      <c r="VA21" s="33"/>
      <c r="VB21" s="33"/>
      <c r="VC21" s="33"/>
      <c r="VD21" s="33"/>
      <c r="VE21" s="33"/>
      <c r="VF21" s="33"/>
      <c r="VG21" s="33"/>
      <c r="VH21" s="33"/>
      <c r="VI21" s="33"/>
      <c r="VJ21" s="33"/>
      <c r="VK21" s="33"/>
      <c r="VL21" s="33"/>
      <c r="VM21" s="33"/>
      <c r="VN21" s="33"/>
      <c r="VO21" s="33"/>
      <c r="VP21" s="33"/>
      <c r="VQ21" s="33"/>
      <c r="VR21" s="33"/>
      <c r="VS21" s="33"/>
      <c r="VT21" s="33"/>
      <c r="VU21" s="33"/>
      <c r="VV21" s="33"/>
      <c r="VW21" s="33"/>
      <c r="VX21" s="33"/>
      <c r="VY21" s="33"/>
      <c r="VZ21" s="33"/>
      <c r="WA21" s="33"/>
      <c r="WB21" s="33"/>
      <c r="WC21" s="33"/>
      <c r="WD21" s="33"/>
      <c r="WE21" s="33"/>
      <c r="WF21" s="33"/>
      <c r="WG21" s="33"/>
      <c r="WH21" s="33"/>
      <c r="WI21" s="33"/>
      <c r="WJ21" s="33"/>
      <c r="WK21" s="33"/>
      <c r="WL21" s="33"/>
      <c r="WM21" s="33"/>
      <c r="WN21" s="33"/>
      <c r="WO21" s="33"/>
      <c r="WP21" s="33"/>
      <c r="WQ21" s="33"/>
      <c r="WR21" s="33"/>
      <c r="WS21" s="33"/>
      <c r="WT21" s="33"/>
      <c r="WU21" s="33"/>
      <c r="WV21" s="33"/>
      <c r="WW21" s="33"/>
      <c r="WX21" s="33"/>
      <c r="WY21" s="33"/>
      <c r="WZ21" s="33"/>
      <c r="XA21" s="33"/>
      <c r="XB21" s="33"/>
      <c r="XC21" s="33"/>
      <c r="XD21" s="33"/>
      <c r="XE21" s="33"/>
      <c r="XF21" s="33"/>
      <c r="XG21" s="33"/>
      <c r="XH21" s="33"/>
      <c r="XI21" s="33"/>
      <c r="XJ21" s="33"/>
      <c r="XK21" s="33"/>
      <c r="XL21" s="33"/>
      <c r="XM21" s="33"/>
      <c r="XN21" s="33"/>
      <c r="XO21" s="33"/>
      <c r="XP21" s="33"/>
      <c r="XQ21" s="33"/>
      <c r="XR21" s="33"/>
      <c r="XS21" s="33"/>
      <c r="XT21" s="33"/>
      <c r="XU21" s="33"/>
      <c r="XV21" s="33"/>
      <c r="XW21" s="33"/>
      <c r="XX21" s="33"/>
      <c r="XY21" s="33"/>
      <c r="XZ21" s="33"/>
      <c r="YA21" s="33"/>
      <c r="YB21" s="33"/>
      <c r="YC21" s="33"/>
      <c r="YD21" s="33"/>
      <c r="YE21" s="33"/>
      <c r="YF21" s="33"/>
      <c r="YG21" s="33"/>
      <c r="YH21" s="33"/>
      <c r="YI21" s="33"/>
      <c r="YJ21" s="33"/>
      <c r="YK21" s="33"/>
      <c r="YL21" s="33"/>
      <c r="YM21" s="33"/>
      <c r="YN21" s="33"/>
      <c r="YO21" s="33"/>
      <c r="YP21" s="33"/>
      <c r="YQ21" s="33"/>
      <c r="YR21" s="33"/>
      <c r="YS21" s="33"/>
      <c r="YT21" s="33"/>
      <c r="YU21" s="33"/>
      <c r="YV21" s="33"/>
      <c r="YW21" s="33"/>
      <c r="YX21" s="33"/>
      <c r="YY21" s="33"/>
      <c r="YZ21" s="33"/>
      <c r="ZA21" s="33"/>
      <c r="ZB21" s="33"/>
      <c r="ZC21" s="33"/>
      <c r="ZD21" s="33"/>
      <c r="ZE21" s="33"/>
      <c r="ZF21" s="33"/>
      <c r="ZG21" s="33"/>
      <c r="ZH21" s="33"/>
      <c r="ZI21" s="33"/>
      <c r="ZJ21" s="33"/>
      <c r="ZK21" s="33"/>
      <c r="ZL21" s="33"/>
      <c r="ZM21" s="33"/>
      <c r="ZN21" s="33"/>
      <c r="ZO21" s="33"/>
      <c r="ZP21" s="33"/>
      <c r="ZQ21" s="33"/>
      <c r="ZR21" s="33"/>
      <c r="ZS21" s="33"/>
      <c r="ZT21" s="33"/>
      <c r="ZU21" s="33"/>
      <c r="ZV21" s="33"/>
      <c r="ZW21" s="33"/>
      <c r="ZX21" s="33"/>
      <c r="ZY21" s="33"/>
      <c r="ZZ21" s="33"/>
      <c r="AAA21" s="33"/>
      <c r="AAB21" s="33"/>
      <c r="AAC21" s="33"/>
      <c r="AAD21" s="33"/>
      <c r="AAE21" s="33"/>
      <c r="AAF21" s="33"/>
      <c r="AAG21" s="33"/>
      <c r="AAH21" s="33"/>
      <c r="AAI21" s="33"/>
      <c r="AAJ21" s="33"/>
      <c r="AAK21" s="33"/>
      <c r="AAL21" s="33"/>
      <c r="AAM21" s="33"/>
      <c r="AAN21" s="33"/>
      <c r="AAO21" s="33"/>
      <c r="AAP21" s="33"/>
      <c r="AAQ21" s="33"/>
      <c r="AAR21" s="33"/>
      <c r="AAS21" s="33"/>
      <c r="AAT21" s="33"/>
      <c r="AAU21" s="33"/>
      <c r="AAV21" s="33"/>
      <c r="AAW21" s="33"/>
      <c r="AAX21" s="33"/>
      <c r="AAY21" s="33"/>
      <c r="AAZ21" s="33"/>
      <c r="ABA21" s="33"/>
      <c r="ABB21" s="33"/>
      <c r="ABC21" s="33"/>
      <c r="ABD21" s="33"/>
      <c r="ABE21" s="33"/>
      <c r="ABF21" s="33"/>
      <c r="ABG21" s="33"/>
      <c r="ABH21" s="33"/>
      <c r="ABI21" s="33"/>
      <c r="ABJ21" s="33"/>
      <c r="ABK21" s="33"/>
      <c r="ABL21" s="33"/>
      <c r="ABM21" s="33"/>
      <c r="ABN21" s="33"/>
      <c r="ABO21" s="33"/>
      <c r="ABP21" s="33"/>
      <c r="ABQ21" s="33"/>
      <c r="ABR21" s="33"/>
      <c r="ABS21" s="33"/>
      <c r="ABT21" s="33"/>
      <c r="ABU21" s="33"/>
      <c r="ABV21" s="33"/>
      <c r="ABW21" s="33"/>
      <c r="ABX21" s="33"/>
      <c r="ABY21" s="33"/>
      <c r="ABZ21" s="33"/>
      <c r="ACA21" s="33"/>
      <c r="ACB21" s="33"/>
      <c r="ACC21" s="33"/>
      <c r="ACD21" s="33"/>
      <c r="ACE21" s="33"/>
      <c r="ACF21" s="33"/>
      <c r="ACG21" s="33"/>
      <c r="ACH21" s="33"/>
      <c r="ACI21" s="33"/>
      <c r="ACJ21" s="33"/>
      <c r="ACK21" s="33"/>
      <c r="ACL21" s="33"/>
      <c r="ACM21" s="33"/>
      <c r="ACN21" s="33"/>
      <c r="ACO21" s="33"/>
      <c r="ACP21" s="33"/>
      <c r="ACQ21" s="33"/>
      <c r="ACR21" s="33"/>
      <c r="ACS21" s="33"/>
      <c r="ACT21" s="33"/>
      <c r="ACU21" s="33"/>
      <c r="ACV21" s="33"/>
      <c r="ACW21" s="33"/>
      <c r="ACX21" s="33"/>
      <c r="ACY21" s="33"/>
      <c r="ACZ21" s="33"/>
      <c r="ADA21" s="33"/>
      <c r="ADB21" s="33"/>
      <c r="ADC21" s="33"/>
      <c r="ADD21" s="33"/>
      <c r="ADE21" s="33"/>
      <c r="ADF21" s="33"/>
      <c r="ADG21" s="33"/>
      <c r="ADH21" s="33"/>
      <c r="ADI21" s="33"/>
      <c r="ADJ21" s="33"/>
      <c r="ADK21" s="33"/>
      <c r="ADL21" s="33"/>
      <c r="ADM21" s="33"/>
      <c r="ADN21" s="33"/>
      <c r="ADO21" s="33"/>
      <c r="ADP21" s="33"/>
      <c r="ADQ21" s="33"/>
      <c r="ADR21" s="33"/>
      <c r="ADS21" s="33"/>
      <c r="ADT21" s="33"/>
      <c r="ADU21" s="33"/>
      <c r="ADV21" s="33"/>
      <c r="ADW21" s="33"/>
      <c r="ADX21" s="33"/>
      <c r="ADY21" s="33"/>
      <c r="ADZ21" s="33"/>
      <c r="AEA21" s="33"/>
      <c r="AEB21" s="33"/>
      <c r="AEC21" s="33"/>
      <c r="AED21" s="33"/>
      <c r="AEE21" s="33"/>
      <c r="AEF21" s="33"/>
      <c r="AEG21" s="33"/>
      <c r="AEH21" s="33"/>
      <c r="AEI21" s="33"/>
      <c r="AEJ21" s="33"/>
      <c r="AEK21" s="33"/>
      <c r="AEL21" s="33"/>
      <c r="AEM21" s="33"/>
      <c r="AEN21" s="33"/>
      <c r="AEO21" s="33"/>
      <c r="AEP21" s="33"/>
      <c r="AEQ21" s="33"/>
      <c r="AER21" s="33"/>
      <c r="AES21" s="33"/>
      <c r="AET21" s="33"/>
      <c r="AEU21" s="33"/>
      <c r="AEV21" s="33"/>
      <c r="AEW21" s="33"/>
      <c r="AEX21" s="33"/>
      <c r="AEY21" s="33"/>
      <c r="AEZ21" s="33"/>
      <c r="AFA21" s="33"/>
      <c r="AFB21" s="33"/>
      <c r="AFC21" s="33"/>
      <c r="AFD21" s="33"/>
      <c r="AFE21" s="33"/>
      <c r="AFF21" s="33"/>
      <c r="AFG21" s="33"/>
      <c r="AFH21" s="33"/>
      <c r="AFI21" s="33"/>
      <c r="AFJ21" s="33"/>
      <c r="AFK21" s="33"/>
      <c r="AFL21" s="33"/>
      <c r="AFM21" s="33"/>
      <c r="AFN21" s="33"/>
      <c r="AFO21" s="33"/>
      <c r="AFP21" s="33"/>
      <c r="AFQ21" s="33"/>
      <c r="AFR21" s="33"/>
      <c r="AFS21" s="33"/>
      <c r="AFT21" s="33"/>
      <c r="AFU21" s="33"/>
      <c r="AFV21" s="33"/>
      <c r="AFW21" s="33"/>
      <c r="AFX21" s="33"/>
      <c r="AFY21" s="33"/>
      <c r="AFZ21" s="33"/>
      <c r="AGA21" s="33"/>
      <c r="AGB21" s="33"/>
      <c r="AGC21" s="33"/>
      <c r="AGD21" s="33"/>
      <c r="AGE21" s="33"/>
      <c r="AGF21" s="33"/>
      <c r="AGG21" s="33"/>
      <c r="AGH21" s="33"/>
      <c r="AGI21" s="33"/>
      <c r="AGJ21" s="33"/>
      <c r="AGK21" s="33"/>
      <c r="AGL21" s="33"/>
      <c r="AGM21" s="33"/>
      <c r="AGN21" s="33"/>
      <c r="AGO21" s="33"/>
      <c r="AGP21" s="33"/>
      <c r="AGQ21" s="33"/>
      <c r="AGR21" s="33"/>
      <c r="AGS21" s="33"/>
      <c r="AGT21" s="33"/>
      <c r="AGU21" s="33"/>
      <c r="AGV21" s="33"/>
      <c r="AGW21" s="33"/>
      <c r="AGX21" s="33"/>
      <c r="AGY21" s="33"/>
      <c r="AGZ21" s="33"/>
      <c r="AHA21" s="33"/>
      <c r="AHB21" s="33"/>
      <c r="AHC21" s="33"/>
      <c r="AHD21" s="33"/>
      <c r="AHE21" s="33"/>
      <c r="AHF21" s="33"/>
      <c r="AHG21" s="33"/>
      <c r="AHH21" s="33"/>
      <c r="AHI21" s="33"/>
      <c r="AHJ21" s="33"/>
      <c r="AHK21" s="33"/>
      <c r="AHL21" s="33"/>
      <c r="AHM21" s="33"/>
      <c r="AHN21" s="33"/>
      <c r="AHO21" s="33"/>
      <c r="AHP21" s="33"/>
      <c r="AHQ21" s="33"/>
      <c r="AHR21" s="33"/>
      <c r="AHS21" s="33"/>
      <c r="AHT21" s="33"/>
      <c r="AHU21" s="33"/>
      <c r="AHV21" s="33"/>
      <c r="AHW21" s="33"/>
      <c r="AHX21" s="33"/>
      <c r="AHY21" s="33"/>
      <c r="AHZ21" s="33"/>
      <c r="AIA21" s="33"/>
      <c r="AIB21" s="33"/>
      <c r="AIC21" s="33"/>
      <c r="AID21" s="33"/>
      <c r="AIE21" s="33"/>
      <c r="AIF21" s="33"/>
      <c r="AIG21" s="33"/>
      <c r="AIH21" s="33"/>
      <c r="AII21" s="33"/>
      <c r="AIJ21" s="33"/>
      <c r="AIK21" s="33"/>
      <c r="AIL21" s="33"/>
      <c r="AIM21" s="33"/>
      <c r="AIN21" s="33"/>
      <c r="AIO21" s="33"/>
      <c r="AIP21" s="33"/>
      <c r="AIQ21" s="33"/>
      <c r="AIR21" s="33"/>
      <c r="AIS21" s="33"/>
      <c r="AIT21" s="33"/>
      <c r="AIU21" s="33"/>
      <c r="AIV21" s="33"/>
      <c r="AIW21" s="33"/>
      <c r="AIX21" s="33"/>
      <c r="AIY21" s="33"/>
      <c r="AIZ21" s="33"/>
      <c r="AJA21" s="33"/>
      <c r="AJB21" s="33"/>
      <c r="AJC21" s="33"/>
      <c r="AJD21" s="33"/>
      <c r="AJE21" s="33"/>
      <c r="AJF21" s="33"/>
      <c r="AJG21" s="33"/>
      <c r="AJH21" s="33"/>
      <c r="AJI21" s="33"/>
      <c r="AJJ21" s="33"/>
      <c r="AJK21" s="33"/>
      <c r="AJL21" s="33"/>
      <c r="AJM21" s="33"/>
      <c r="AJN21" s="33"/>
      <c r="AJO21" s="33"/>
      <c r="AJP21" s="33"/>
      <c r="AJQ21" s="33"/>
      <c r="AJR21" s="33"/>
      <c r="AJS21" s="33"/>
      <c r="AJT21" s="33"/>
      <c r="AJU21" s="33"/>
      <c r="AJV21" s="33"/>
      <c r="AJW21" s="33"/>
      <c r="AJX21" s="33"/>
      <c r="AJY21" s="33"/>
      <c r="AJZ21" s="33"/>
      <c r="AKA21" s="33"/>
      <c r="AKB21" s="33"/>
      <c r="AKC21" s="33"/>
      <c r="AKD21" s="33"/>
      <c r="AKE21" s="33"/>
      <c r="AKF21" s="33"/>
      <c r="AKG21" s="33"/>
      <c r="AKH21" s="33"/>
      <c r="AKI21" s="33"/>
      <c r="AKJ21" s="33"/>
      <c r="AKK21" s="33"/>
      <c r="AKL21" s="33"/>
      <c r="AKM21" s="33"/>
      <c r="AKN21" s="33"/>
      <c r="AKO21" s="33"/>
      <c r="AKP21" s="33"/>
      <c r="AKQ21" s="33"/>
      <c r="AKR21" s="33"/>
      <c r="AKS21" s="33"/>
      <c r="AKT21" s="33"/>
      <c r="AKU21" s="33"/>
      <c r="AKV21" s="33"/>
      <c r="AKW21" s="33"/>
      <c r="AKX21" s="33"/>
      <c r="AKY21" s="33"/>
      <c r="AKZ21" s="33"/>
      <c r="ALA21" s="33"/>
      <c r="ALB21" s="33"/>
      <c r="ALC21" s="33"/>
      <c r="ALD21" s="33"/>
      <c r="ALE21" s="33"/>
      <c r="ALF21" s="33"/>
      <c r="ALG21" s="33"/>
      <c r="ALH21" s="33"/>
      <c r="ALI21" s="33"/>
      <c r="ALJ21" s="33"/>
      <c r="ALK21" s="33"/>
      <c r="ALL21" s="33"/>
      <c r="ALM21" s="33"/>
      <c r="ALN21" s="33"/>
      <c r="ALO21" s="33"/>
      <c r="ALP21" s="33"/>
      <c r="ALQ21" s="33"/>
      <c r="ALR21" s="33"/>
      <c r="ALS21" s="33"/>
      <c r="ALT21" s="33"/>
      <c r="ALU21" s="33"/>
      <c r="ALV21" s="33"/>
      <c r="ALW21" s="33"/>
      <c r="ALX21" s="33"/>
      <c r="ALY21" s="33"/>
      <c r="ALZ21" s="33"/>
      <c r="AMA21" s="33"/>
      <c r="AMB21" s="33"/>
      <c r="AMC21" s="33"/>
      <c r="AMD21" s="33"/>
      <c r="AME21" s="33"/>
      <c r="AMF21" s="33"/>
      <c r="AMG21" s="33"/>
      <c r="AMH21" s="33"/>
      <c r="AMI21" s="33"/>
      <c r="AMJ21" s="33"/>
      <c r="AMK21" s="33"/>
      <c r="AML21" s="33"/>
      <c r="AMM21" s="33"/>
      <c r="AMN21" s="33"/>
      <c r="AMO21" s="33"/>
      <c r="AMP21" s="33"/>
      <c r="AMQ21" s="33"/>
      <c r="AMR21" s="33"/>
      <c r="AMS21" s="33"/>
      <c r="AMT21" s="33"/>
      <c r="AMU21" s="33"/>
      <c r="AMV21" s="33"/>
      <c r="AMW21" s="33"/>
      <c r="AMX21" s="33"/>
      <c r="AMY21" s="33"/>
      <c r="AMZ21" s="33"/>
      <c r="ANA21" s="33"/>
      <c r="ANB21" s="33"/>
      <c r="ANC21" s="33"/>
      <c r="AND21" s="33"/>
      <c r="ANE21" s="33"/>
      <c r="ANF21" s="33"/>
      <c r="ANG21" s="33"/>
      <c r="ANH21" s="33"/>
      <c r="ANI21" s="33"/>
      <c r="ANJ21" s="33"/>
      <c r="ANK21" s="33"/>
      <c r="ANL21" s="33"/>
      <c r="ANM21" s="33"/>
      <c r="ANN21" s="33"/>
      <c r="ANO21" s="33"/>
      <c r="ANP21" s="33"/>
      <c r="ANQ21" s="33"/>
      <c r="ANR21" s="33"/>
      <c r="ANS21" s="33"/>
      <c r="ANT21" s="33"/>
      <c r="ANU21" s="33"/>
      <c r="ANV21" s="33"/>
      <c r="ANW21" s="33"/>
      <c r="ANX21" s="33"/>
      <c r="ANY21" s="33"/>
      <c r="ANZ21" s="33"/>
      <c r="AOA21" s="33"/>
      <c r="AOB21" s="33"/>
      <c r="AOC21" s="33"/>
      <c r="AOD21" s="33"/>
      <c r="AOE21" s="33"/>
      <c r="AOF21" s="33"/>
      <c r="AOG21" s="33"/>
      <c r="AOH21" s="33"/>
      <c r="AOI21" s="33"/>
      <c r="AOJ21" s="33"/>
      <c r="AOK21" s="33"/>
      <c r="AOL21" s="33"/>
      <c r="AOM21" s="33"/>
      <c r="AON21" s="33"/>
      <c r="AOO21" s="33"/>
      <c r="AOP21" s="33"/>
      <c r="AOQ21" s="33"/>
      <c r="AOR21" s="33"/>
      <c r="AOS21" s="33"/>
      <c r="AOT21" s="33"/>
      <c r="AOU21" s="33"/>
      <c r="AOV21" s="33"/>
      <c r="AOW21" s="33"/>
      <c r="AOX21" s="33"/>
      <c r="AOY21" s="33"/>
      <c r="AOZ21" s="33"/>
      <c r="APA21" s="33"/>
      <c r="APB21" s="33"/>
      <c r="APC21" s="33"/>
      <c r="APD21" s="33"/>
      <c r="APE21" s="33"/>
      <c r="APF21" s="33"/>
      <c r="APG21" s="33"/>
      <c r="APH21" s="33"/>
      <c r="API21" s="33"/>
      <c r="APJ21" s="33"/>
      <c r="APK21" s="33"/>
      <c r="APL21" s="33"/>
      <c r="APM21" s="33"/>
      <c r="APN21" s="33"/>
      <c r="APO21" s="33"/>
      <c r="APP21" s="33"/>
      <c r="APQ21" s="33"/>
      <c r="APR21" s="33"/>
      <c r="APS21" s="33"/>
      <c r="APT21" s="33"/>
      <c r="APU21" s="33"/>
      <c r="APV21" s="33"/>
      <c r="APW21" s="33"/>
      <c r="APX21" s="33"/>
      <c r="APY21" s="33"/>
      <c r="APZ21" s="33"/>
      <c r="AQA21" s="33"/>
      <c r="AQB21" s="33"/>
      <c r="AQC21" s="33"/>
      <c r="AQD21" s="33"/>
      <c r="AQE21" s="33"/>
      <c r="AQF21" s="33"/>
      <c r="AQG21" s="33"/>
      <c r="AQH21" s="33"/>
      <c r="AQI21" s="33"/>
      <c r="AQJ21" s="33"/>
      <c r="AQK21" s="33"/>
      <c r="AQL21" s="33"/>
      <c r="AQM21" s="33"/>
      <c r="AQN21" s="33"/>
      <c r="AQO21" s="33"/>
      <c r="AQP21" s="33"/>
      <c r="AQQ21" s="33"/>
      <c r="AQR21" s="33"/>
      <c r="AQS21" s="33"/>
      <c r="AQT21" s="33"/>
      <c r="AQU21" s="33"/>
      <c r="AQV21" s="33"/>
      <c r="AQW21" s="33"/>
      <c r="AQX21" s="33"/>
      <c r="AQY21" s="33"/>
      <c r="AQZ21" s="33"/>
      <c r="ARA21" s="33"/>
      <c r="ARB21" s="33"/>
      <c r="ARC21" s="33"/>
      <c r="ARD21" s="33"/>
      <c r="ARE21" s="33"/>
      <c r="ARF21" s="33"/>
      <c r="ARG21" s="33"/>
      <c r="ARH21" s="33"/>
      <c r="ARI21" s="33"/>
      <c r="ARJ21" s="33"/>
      <c r="ARK21" s="33"/>
      <c r="ARL21" s="33"/>
      <c r="ARM21" s="33"/>
      <c r="ARN21" s="33"/>
      <c r="ARO21" s="33"/>
      <c r="ARP21" s="33"/>
      <c r="ARQ21" s="33"/>
      <c r="ARR21" s="33"/>
      <c r="ARS21" s="33"/>
      <c r="ART21" s="33"/>
      <c r="ARU21" s="33"/>
      <c r="ARV21" s="33"/>
      <c r="ARW21" s="33"/>
      <c r="ARX21" s="33"/>
      <c r="ARY21" s="33"/>
      <c r="ARZ21" s="33"/>
      <c r="ASA21" s="33"/>
      <c r="ASB21" s="33"/>
      <c r="ASC21" s="33"/>
      <c r="ASD21" s="33"/>
      <c r="ASE21" s="33"/>
      <c r="ASF21" s="33"/>
      <c r="ASG21" s="33"/>
      <c r="ASH21" s="33"/>
      <c r="ASI21" s="33"/>
      <c r="ASJ21" s="33"/>
      <c r="ASK21" s="33"/>
      <c r="ASL21" s="33"/>
      <c r="ASM21" s="33"/>
      <c r="ASN21" s="33"/>
      <c r="ASO21" s="33"/>
      <c r="ASP21" s="33"/>
      <c r="ASQ21" s="33"/>
      <c r="ASR21" s="33"/>
      <c r="ASS21" s="33"/>
      <c r="AST21" s="33"/>
      <c r="ASU21" s="33"/>
      <c r="ASV21" s="33"/>
      <c r="ASW21" s="33"/>
      <c r="ASX21" s="33"/>
      <c r="ASY21" s="33"/>
      <c r="ASZ21" s="33"/>
      <c r="ATA21" s="33"/>
      <c r="ATB21" s="33"/>
      <c r="ATC21" s="33"/>
      <c r="ATD21" s="33"/>
      <c r="ATE21" s="33"/>
      <c r="ATF21" s="33"/>
      <c r="ATG21" s="33"/>
      <c r="ATH21" s="33"/>
      <c r="ATI21" s="33"/>
      <c r="ATJ21" s="33"/>
      <c r="ATK21" s="33"/>
      <c r="ATL21" s="33"/>
      <c r="ATM21" s="33"/>
      <c r="ATN21" s="33"/>
      <c r="ATO21" s="33"/>
      <c r="ATP21" s="33"/>
      <c r="ATQ21" s="33"/>
      <c r="ATR21" s="33"/>
      <c r="ATS21" s="33"/>
      <c r="ATT21" s="33"/>
      <c r="ATU21" s="33"/>
      <c r="ATV21" s="33"/>
      <c r="ATW21" s="33"/>
      <c r="ATX21" s="33"/>
      <c r="ATY21" s="33"/>
      <c r="ATZ21" s="33"/>
      <c r="AUA21" s="33"/>
      <c r="AUB21" s="33"/>
      <c r="AUC21" s="33"/>
      <c r="AUD21" s="33"/>
      <c r="AUE21" s="33"/>
      <c r="AUF21" s="33"/>
      <c r="AUG21" s="33"/>
      <c r="AUH21" s="33"/>
      <c r="AUI21" s="33"/>
      <c r="AUJ21" s="33"/>
      <c r="AUK21" s="33"/>
      <c r="AUL21" s="33"/>
      <c r="AUM21" s="33"/>
      <c r="AUN21" s="33"/>
      <c r="AUO21" s="33"/>
      <c r="AUP21" s="33"/>
      <c r="AUQ21" s="33"/>
      <c r="AUR21" s="33"/>
      <c r="AUS21" s="33"/>
      <c r="AUT21" s="33"/>
      <c r="AUU21" s="33"/>
      <c r="AUV21" s="33"/>
      <c r="AUW21" s="33"/>
      <c r="AUX21" s="33"/>
      <c r="AUY21" s="33"/>
      <c r="AUZ21" s="33"/>
      <c r="AVA21" s="33"/>
      <c r="AVB21" s="33"/>
      <c r="AVC21" s="33"/>
      <c r="AVD21" s="33"/>
      <c r="AVE21" s="33"/>
      <c r="AVF21" s="33"/>
      <c r="AVG21" s="33"/>
      <c r="AVH21" s="33"/>
      <c r="AVI21" s="33"/>
      <c r="AVJ21" s="33"/>
      <c r="AVK21" s="33"/>
      <c r="AVL21" s="33"/>
      <c r="AVM21" s="33"/>
      <c r="AVN21" s="33"/>
      <c r="AVO21" s="33"/>
      <c r="AVP21" s="33"/>
      <c r="AVQ21" s="33"/>
      <c r="AVR21" s="33"/>
      <c r="AVS21" s="33"/>
      <c r="AVT21" s="33"/>
      <c r="AVU21" s="33"/>
      <c r="AVV21" s="33"/>
      <c r="AVW21" s="33"/>
      <c r="AVX21" s="33"/>
      <c r="AVY21" s="33"/>
      <c r="AVZ21" s="33"/>
      <c r="AWA21" s="33"/>
      <c r="AWB21" s="33"/>
      <c r="AWC21" s="33"/>
      <c r="AWD21" s="33"/>
      <c r="AWE21" s="33"/>
      <c r="AWF21" s="33"/>
      <c r="AWG21" s="33"/>
      <c r="AWH21" s="33"/>
      <c r="AWI21" s="33"/>
      <c r="AWJ21" s="33"/>
      <c r="AWK21" s="33"/>
      <c r="AWL21" s="33"/>
      <c r="AWM21" s="33"/>
      <c r="AWN21" s="33"/>
      <c r="AWO21" s="33"/>
      <c r="AWP21" s="33"/>
      <c r="AWQ21" s="33"/>
      <c r="AWR21" s="33"/>
      <c r="AWS21" s="33"/>
      <c r="AWT21" s="33"/>
      <c r="AWU21" s="33"/>
      <c r="AWV21" s="33"/>
      <c r="AWW21" s="33"/>
      <c r="AWX21" s="33"/>
      <c r="AWY21" s="33"/>
      <c r="AWZ21" s="33"/>
      <c r="AXA21" s="33"/>
      <c r="AXB21" s="33"/>
      <c r="AXC21" s="33"/>
      <c r="AXD21" s="33"/>
      <c r="AXE21" s="33"/>
      <c r="AXF21" s="33"/>
      <c r="AXG21" s="33"/>
      <c r="AXH21" s="33"/>
      <c r="AXI21" s="33"/>
      <c r="AXJ21" s="33"/>
      <c r="AXK21" s="33"/>
      <c r="AXL21" s="33"/>
      <c r="AXM21" s="33"/>
      <c r="AXN21" s="33"/>
      <c r="AXO21" s="33"/>
      <c r="AXP21" s="33"/>
      <c r="AXQ21" s="33"/>
      <c r="AXR21" s="33"/>
      <c r="AXS21" s="33"/>
      <c r="AXT21" s="33"/>
      <c r="AXU21" s="33"/>
      <c r="AXV21" s="33"/>
      <c r="AXW21" s="33"/>
      <c r="AXX21" s="33"/>
      <c r="AXY21" s="33"/>
      <c r="AXZ21" s="33"/>
      <c r="AYA21" s="33"/>
      <c r="AYB21" s="33"/>
      <c r="AYC21" s="33"/>
      <c r="AYD21" s="33"/>
      <c r="AYE21" s="33"/>
      <c r="AYF21" s="33"/>
      <c r="AYG21" s="33"/>
      <c r="AYH21" s="33"/>
      <c r="AYI21" s="33"/>
      <c r="AYJ21" s="33"/>
      <c r="AYK21" s="33"/>
      <c r="AYL21" s="33"/>
      <c r="AYM21" s="33"/>
      <c r="AYN21" s="33"/>
      <c r="AYO21" s="33"/>
      <c r="AYP21" s="33"/>
      <c r="AYQ21" s="33"/>
      <c r="AYR21" s="33"/>
      <c r="AYS21" s="33"/>
      <c r="AYT21" s="33"/>
      <c r="AYU21" s="33"/>
      <c r="AYV21" s="33"/>
      <c r="AYW21" s="33"/>
      <c r="AYX21" s="33"/>
      <c r="AYY21" s="33"/>
      <c r="AYZ21" s="33"/>
      <c r="AZA21" s="33"/>
      <c r="AZB21" s="33"/>
      <c r="AZC21" s="33"/>
      <c r="AZD21" s="33"/>
      <c r="AZE21" s="33"/>
      <c r="AZF21" s="33"/>
      <c r="AZG21" s="33"/>
      <c r="AZH21" s="33"/>
      <c r="AZI21" s="33"/>
      <c r="AZJ21" s="33"/>
      <c r="AZK21" s="33"/>
      <c r="AZL21" s="33"/>
      <c r="AZM21" s="33"/>
      <c r="AZN21" s="33"/>
      <c r="AZO21" s="33"/>
      <c r="AZP21" s="33"/>
      <c r="AZQ21" s="33"/>
      <c r="AZR21" s="33"/>
      <c r="AZS21" s="33"/>
      <c r="AZT21" s="33"/>
      <c r="AZU21" s="33"/>
      <c r="AZV21" s="33"/>
      <c r="AZW21" s="33"/>
      <c r="AZX21" s="33"/>
      <c r="AZY21" s="33"/>
      <c r="AZZ21" s="33"/>
      <c r="BAA21" s="33"/>
      <c r="BAB21" s="33"/>
      <c r="BAC21" s="33"/>
      <c r="BAD21" s="33"/>
      <c r="BAE21" s="33"/>
      <c r="BAF21" s="33"/>
      <c r="BAG21" s="33"/>
      <c r="BAH21" s="33"/>
      <c r="BAI21" s="33"/>
      <c r="BAJ21" s="33"/>
      <c r="BAK21" s="33"/>
      <c r="BAL21" s="33"/>
      <c r="BAM21" s="33"/>
      <c r="BAN21" s="33"/>
      <c r="BAO21" s="33"/>
      <c r="BAP21" s="33"/>
      <c r="BAQ21" s="33"/>
      <c r="BAR21" s="33"/>
      <c r="BAS21" s="33"/>
      <c r="BAT21" s="33"/>
      <c r="BAU21" s="33"/>
      <c r="BAV21" s="33"/>
      <c r="BAW21" s="33"/>
      <c r="BAX21" s="33"/>
      <c r="BAY21" s="33"/>
      <c r="BAZ21" s="33"/>
      <c r="BBA21" s="33"/>
      <c r="BBB21" s="33"/>
      <c r="BBC21" s="33"/>
      <c r="BBD21" s="33"/>
      <c r="BBE21" s="33"/>
      <c r="BBF21" s="33"/>
      <c r="BBG21" s="33"/>
      <c r="BBH21" s="33"/>
      <c r="BBI21" s="33"/>
      <c r="BBJ21" s="33"/>
      <c r="BBK21" s="33"/>
      <c r="BBL21" s="33"/>
      <c r="BBM21" s="33"/>
      <c r="BBN21" s="33"/>
      <c r="BBO21" s="33"/>
      <c r="BBP21" s="33"/>
      <c r="BBQ21" s="33"/>
      <c r="BBR21" s="33"/>
      <c r="BBS21" s="33"/>
      <c r="BBT21" s="33"/>
      <c r="BBU21" s="33"/>
      <c r="BBV21" s="33"/>
      <c r="BBW21" s="33"/>
      <c r="BBX21" s="33"/>
      <c r="BBY21" s="33"/>
      <c r="BBZ21" s="33"/>
      <c r="BCA21" s="33"/>
      <c r="BCB21" s="33"/>
      <c r="BCC21" s="33"/>
      <c r="BCD21" s="33"/>
      <c r="BCE21" s="33"/>
      <c r="BCF21" s="33"/>
      <c r="BCG21" s="33"/>
      <c r="BCH21" s="33"/>
      <c r="BCI21" s="33"/>
      <c r="BCJ21" s="33"/>
      <c r="BCK21" s="33"/>
      <c r="BCL21" s="33"/>
      <c r="BCM21" s="33"/>
      <c r="BCN21" s="33"/>
      <c r="BCO21" s="33"/>
      <c r="BCP21" s="33"/>
      <c r="BCQ21" s="33"/>
      <c r="BCR21" s="33"/>
      <c r="BCS21" s="33"/>
      <c r="BCT21" s="33"/>
      <c r="BCU21" s="33"/>
      <c r="BCV21" s="33"/>
      <c r="BCW21" s="33"/>
      <c r="BCX21" s="33"/>
      <c r="BCY21" s="33"/>
      <c r="BCZ21" s="33"/>
      <c r="BDA21" s="33"/>
      <c r="BDB21" s="33"/>
      <c r="BDC21" s="33"/>
      <c r="BDD21" s="33"/>
      <c r="BDE21" s="33"/>
      <c r="BDF21" s="33"/>
      <c r="BDG21" s="33"/>
      <c r="BDH21" s="33"/>
      <c r="BDI21" s="33"/>
      <c r="BDJ21" s="33"/>
      <c r="BDK21" s="33"/>
      <c r="BDL21" s="33"/>
      <c r="BDM21" s="33"/>
      <c r="BDN21" s="33"/>
      <c r="BDO21" s="33"/>
      <c r="BDP21" s="33"/>
      <c r="BDQ21" s="33"/>
      <c r="BDR21" s="33"/>
      <c r="BDS21" s="33"/>
      <c r="BDT21" s="33"/>
      <c r="BDU21" s="33"/>
      <c r="BDV21" s="33"/>
      <c r="BDW21" s="33"/>
      <c r="BDX21" s="33"/>
      <c r="BDY21" s="33"/>
      <c r="BDZ21" s="33"/>
      <c r="BEA21" s="33"/>
      <c r="BEB21" s="33"/>
      <c r="BEC21" s="33"/>
      <c r="BED21" s="33"/>
      <c r="BEE21" s="33"/>
      <c r="BEF21" s="33"/>
      <c r="BEG21" s="33"/>
      <c r="BEH21" s="33"/>
      <c r="BEI21" s="33"/>
      <c r="BEJ21" s="33"/>
      <c r="BEK21" s="33"/>
      <c r="BEL21" s="33"/>
      <c r="BEM21" s="33"/>
      <c r="BEN21" s="33"/>
      <c r="BEO21" s="33"/>
      <c r="BEP21" s="33"/>
      <c r="BEQ21" s="33"/>
      <c r="BER21" s="33"/>
      <c r="BES21" s="33"/>
      <c r="BET21" s="33"/>
      <c r="BEU21" s="33"/>
      <c r="BEV21" s="33"/>
      <c r="BEW21" s="33"/>
      <c r="BEX21" s="33"/>
      <c r="BEY21" s="33"/>
      <c r="BEZ21" s="33"/>
      <c r="BFA21" s="33"/>
      <c r="BFB21" s="33"/>
      <c r="BFC21" s="33"/>
      <c r="BFD21" s="33"/>
      <c r="BFE21" s="33"/>
      <c r="BFF21" s="33"/>
      <c r="BFG21" s="33"/>
      <c r="BFH21" s="33"/>
      <c r="BFI21" s="33"/>
      <c r="BFJ21" s="33"/>
      <c r="BFK21" s="33"/>
      <c r="BFL21" s="33"/>
      <c r="BFM21" s="33"/>
      <c r="BFN21" s="33"/>
      <c r="BFO21" s="33"/>
      <c r="BFP21" s="33"/>
      <c r="BFQ21" s="33"/>
      <c r="BFR21" s="33"/>
      <c r="BFS21" s="33"/>
      <c r="BFT21" s="33"/>
      <c r="BFU21" s="33"/>
      <c r="BFV21" s="33"/>
      <c r="BFW21" s="33"/>
      <c r="BFX21" s="33"/>
      <c r="BFY21" s="33"/>
      <c r="BFZ21" s="33"/>
      <c r="BGA21" s="33"/>
      <c r="BGB21" s="33"/>
      <c r="BGC21" s="33"/>
      <c r="BGD21" s="33"/>
      <c r="BGE21" s="33"/>
      <c r="BGF21" s="33"/>
      <c r="BGG21" s="33"/>
      <c r="BGH21" s="33"/>
      <c r="BGI21" s="33"/>
      <c r="BGJ21" s="33"/>
      <c r="BGK21" s="33"/>
      <c r="BGL21" s="33"/>
      <c r="BGM21" s="33"/>
      <c r="BGN21" s="33"/>
      <c r="BGO21" s="33"/>
      <c r="BGP21" s="33"/>
      <c r="BGQ21" s="33"/>
      <c r="BGR21" s="33"/>
      <c r="BGS21" s="33"/>
      <c r="BGT21" s="33"/>
      <c r="BGU21" s="33"/>
      <c r="BGV21" s="33"/>
      <c r="BGW21" s="33"/>
      <c r="BGX21" s="33"/>
      <c r="BGY21" s="33"/>
      <c r="BGZ21" s="33"/>
      <c r="BHA21" s="33"/>
      <c r="BHB21" s="33"/>
      <c r="BHC21" s="33"/>
      <c r="BHD21" s="33"/>
      <c r="BHE21" s="33"/>
      <c r="BHF21" s="33"/>
      <c r="BHG21" s="33"/>
      <c r="BHH21" s="33"/>
      <c r="BHI21" s="33"/>
      <c r="BHJ21" s="33"/>
      <c r="BHK21" s="33"/>
      <c r="BHL21" s="33"/>
      <c r="BHM21" s="33"/>
      <c r="BHN21" s="33"/>
      <c r="BHO21" s="33"/>
      <c r="BHP21" s="33"/>
      <c r="BHQ21" s="33"/>
      <c r="BHR21" s="33"/>
      <c r="BHS21" s="33"/>
      <c r="BHT21" s="33"/>
      <c r="BHU21" s="33"/>
      <c r="BHV21" s="33"/>
      <c r="BHW21" s="33"/>
      <c r="BHX21" s="33"/>
      <c r="BHY21" s="33"/>
      <c r="BHZ21" s="33"/>
      <c r="BIA21" s="33"/>
      <c r="BIB21" s="33"/>
      <c r="BIC21" s="33"/>
      <c r="BID21" s="33"/>
      <c r="BIE21" s="33"/>
      <c r="BIF21" s="33"/>
      <c r="BIG21" s="33"/>
      <c r="BIH21" s="33"/>
      <c r="BII21" s="33"/>
      <c r="BIJ21" s="33"/>
      <c r="BIK21" s="33"/>
      <c r="BIL21" s="33"/>
      <c r="BIM21" s="33"/>
      <c r="BIN21" s="33"/>
      <c r="BIO21" s="33"/>
      <c r="BIP21" s="33"/>
      <c r="BIQ21" s="33"/>
      <c r="BIR21" s="33"/>
      <c r="BIS21" s="33"/>
      <c r="BIT21" s="33"/>
      <c r="BIU21" s="33"/>
      <c r="BIV21" s="33"/>
      <c r="BIW21" s="33"/>
      <c r="BIX21" s="33"/>
      <c r="BIY21" s="33"/>
      <c r="BIZ21" s="33"/>
      <c r="BJA21" s="33"/>
      <c r="BJB21" s="33"/>
      <c r="BJC21" s="33"/>
      <c r="BJD21" s="33"/>
      <c r="BJE21" s="33"/>
      <c r="BJF21" s="33"/>
      <c r="BJG21" s="33"/>
      <c r="BJH21" s="33"/>
      <c r="BJI21" s="33"/>
      <c r="BJJ21" s="33"/>
      <c r="BJK21" s="33"/>
      <c r="BJL21" s="33"/>
      <c r="BJM21" s="33"/>
      <c r="BJN21" s="33"/>
      <c r="BJO21" s="33"/>
      <c r="BJP21" s="33"/>
      <c r="BJQ21" s="33"/>
      <c r="BJR21" s="33"/>
      <c r="BJS21" s="33"/>
      <c r="BJT21" s="33"/>
      <c r="BJU21" s="33"/>
      <c r="BJV21" s="33"/>
      <c r="BJW21" s="33"/>
      <c r="BJX21" s="33"/>
      <c r="BJY21" s="33"/>
      <c r="BJZ21" s="33"/>
      <c r="BKA21" s="33"/>
      <c r="BKB21" s="33"/>
      <c r="BKC21" s="33"/>
      <c r="BKD21" s="33"/>
      <c r="BKE21" s="33"/>
      <c r="BKF21" s="33"/>
      <c r="BKG21" s="33"/>
      <c r="BKH21" s="33"/>
      <c r="BKI21" s="33"/>
      <c r="BKJ21" s="33"/>
      <c r="BKK21" s="33"/>
      <c r="BKL21" s="33"/>
      <c r="BKM21" s="33"/>
      <c r="BKN21" s="33"/>
      <c r="BKO21" s="33"/>
      <c r="BKP21" s="33"/>
      <c r="BKQ21" s="33"/>
      <c r="BKR21" s="33"/>
      <c r="BKS21" s="33"/>
      <c r="BKT21" s="33"/>
      <c r="BKU21" s="33"/>
      <c r="BKV21" s="33"/>
      <c r="BKW21" s="33"/>
      <c r="BKX21" s="33"/>
      <c r="BKY21" s="33"/>
      <c r="BKZ21" s="33"/>
      <c r="BLA21" s="33"/>
      <c r="BLB21" s="33"/>
      <c r="BLC21" s="33"/>
      <c r="BLD21" s="33"/>
      <c r="BLE21" s="33"/>
      <c r="BLF21" s="33"/>
      <c r="BLG21" s="33"/>
      <c r="BLH21" s="33"/>
      <c r="BLI21" s="33"/>
      <c r="BLJ21" s="33"/>
      <c r="BLK21" s="33"/>
      <c r="BLL21" s="33"/>
      <c r="BLM21" s="33"/>
      <c r="BLN21" s="33"/>
      <c r="BLO21" s="33"/>
      <c r="BLP21" s="33"/>
      <c r="BLQ21" s="33"/>
      <c r="BLR21" s="33"/>
      <c r="BLS21" s="33"/>
      <c r="BLT21" s="33"/>
      <c r="BLU21" s="33"/>
      <c r="BLV21" s="33"/>
      <c r="BLW21" s="33"/>
      <c r="BLX21" s="33"/>
      <c r="BLY21" s="33"/>
      <c r="BLZ21" s="33"/>
      <c r="BMA21" s="33"/>
      <c r="BMB21" s="33"/>
      <c r="BMC21" s="33"/>
      <c r="BMD21" s="33"/>
      <c r="BME21" s="33"/>
      <c r="BMF21" s="33"/>
      <c r="BMG21" s="33"/>
      <c r="BMH21" s="33"/>
      <c r="BMI21" s="33"/>
      <c r="BMJ21" s="33"/>
      <c r="BMK21" s="33"/>
      <c r="BML21" s="33"/>
      <c r="BMM21" s="33"/>
      <c r="BMN21" s="33"/>
      <c r="BMO21" s="33"/>
      <c r="BMP21" s="33"/>
      <c r="BMQ21" s="33"/>
      <c r="BMR21" s="33"/>
      <c r="BMS21" s="33"/>
      <c r="BMT21" s="33"/>
      <c r="BMU21" s="33"/>
      <c r="BMV21" s="33"/>
      <c r="BMW21" s="33"/>
      <c r="BMX21" s="33"/>
      <c r="BMY21" s="33"/>
      <c r="BMZ21" s="33"/>
      <c r="BNA21" s="33"/>
      <c r="BNB21" s="33"/>
      <c r="BNC21" s="33"/>
      <c r="BND21" s="33"/>
      <c r="BNE21" s="33"/>
      <c r="BNF21" s="33"/>
      <c r="BNG21" s="33"/>
      <c r="BNH21" s="33"/>
      <c r="BNI21" s="33"/>
      <c r="BNJ21" s="33"/>
      <c r="BNK21" s="33"/>
      <c r="BNL21" s="33"/>
      <c r="BNM21" s="33"/>
      <c r="BNN21" s="33"/>
      <c r="BNO21" s="33"/>
      <c r="BNP21" s="33"/>
      <c r="BNQ21" s="33"/>
      <c r="BNR21" s="33"/>
      <c r="BNS21" s="33"/>
      <c r="BNT21" s="33"/>
      <c r="BNU21" s="33"/>
      <c r="BNV21" s="33"/>
      <c r="BNW21" s="33"/>
      <c r="BNX21" s="33"/>
      <c r="BNY21" s="33"/>
      <c r="BNZ21" s="33"/>
      <c r="BOA21" s="33"/>
      <c r="BOB21" s="33"/>
      <c r="BOC21" s="33"/>
      <c r="BOD21" s="33"/>
      <c r="BOE21" s="33"/>
      <c r="BOF21" s="33"/>
      <c r="BOG21" s="33"/>
      <c r="BOH21" s="33"/>
      <c r="BOI21" s="33"/>
      <c r="BOJ21" s="33"/>
      <c r="BOK21" s="33"/>
      <c r="BOL21" s="33"/>
      <c r="BOM21" s="33"/>
      <c r="BON21" s="33"/>
      <c r="BOO21" s="33"/>
      <c r="BOP21" s="33"/>
      <c r="BOQ21" s="33"/>
      <c r="BOR21" s="33"/>
      <c r="BOS21" s="33"/>
      <c r="BOT21" s="33"/>
      <c r="BOU21" s="33"/>
      <c r="BOV21" s="33"/>
      <c r="BOW21" s="33"/>
      <c r="BOX21" s="33"/>
      <c r="BOY21" s="33"/>
      <c r="BOZ21" s="33"/>
      <c r="BPA21" s="33"/>
      <c r="BPB21" s="33"/>
      <c r="BPC21" s="81"/>
    </row>
    <row r="22" s="34" customFormat="1" ht="60" customHeight="1" spans="1:1024 1025:1771">
      <c r="A22" s="78" t="s">
        <v>61</v>
      </c>
      <c r="B22" s="75" t="s">
        <v>62</v>
      </c>
      <c r="C22" s="75" t="s">
        <v>63</v>
      </c>
      <c r="D22" s="75" t="s">
        <v>64</v>
      </c>
      <c r="E22" s="75"/>
      <c r="F22" s="75"/>
      <c r="G22" s="79"/>
      <c r="H22" s="76">
        <f ca="1" t="shared" si="0"/>
        <v>46175</v>
      </c>
      <c r="I22" s="80" t="s">
        <v>7</v>
      </c>
      <c r="J22" s="79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  <c r="AJZ22" s="33"/>
      <c r="AKA22" s="33"/>
      <c r="AKB22" s="33"/>
      <c r="AKC22" s="33"/>
      <c r="AKD22" s="33"/>
      <c r="AKE22" s="33"/>
      <c r="AKF22" s="33"/>
      <c r="AKG22" s="33"/>
      <c r="AKH22" s="33"/>
      <c r="AKI22" s="33"/>
      <c r="AKJ22" s="33"/>
      <c r="AKK22" s="33"/>
      <c r="AKL22" s="33"/>
      <c r="AKM22" s="33"/>
      <c r="AKN22" s="33"/>
      <c r="AKO22" s="33"/>
      <c r="AKP22" s="33"/>
      <c r="AKQ22" s="33"/>
      <c r="AKR22" s="33"/>
      <c r="AKS22" s="33"/>
      <c r="AKT22" s="33"/>
      <c r="AKU22" s="33"/>
      <c r="AKV22" s="33"/>
      <c r="AKW22" s="33"/>
      <c r="AKX22" s="33"/>
      <c r="AKY22" s="33"/>
      <c r="AKZ22" s="33"/>
      <c r="ALA22" s="33"/>
      <c r="ALB22" s="33"/>
      <c r="ALC22" s="33"/>
      <c r="ALD22" s="33"/>
      <c r="ALE22" s="33"/>
      <c r="ALF22" s="33"/>
      <c r="ALG22" s="33"/>
      <c r="ALH22" s="33"/>
      <c r="ALI22" s="33"/>
      <c r="ALJ22" s="33"/>
      <c r="ALK22" s="33"/>
      <c r="ALL22" s="33"/>
      <c r="ALM22" s="33"/>
      <c r="ALN22" s="33"/>
      <c r="ALO22" s="33"/>
      <c r="ALP22" s="33"/>
      <c r="ALQ22" s="33"/>
      <c r="ALR22" s="33"/>
      <c r="ALS22" s="33"/>
      <c r="ALT22" s="33"/>
      <c r="ALU22" s="33"/>
      <c r="ALV22" s="33"/>
      <c r="ALW22" s="33"/>
      <c r="ALX22" s="33"/>
      <c r="ALY22" s="33"/>
      <c r="ALZ22" s="33"/>
      <c r="AMA22" s="33"/>
      <c r="AMB22" s="33"/>
      <c r="AMC22" s="33"/>
      <c r="AMD22" s="33"/>
      <c r="AME22" s="33"/>
      <c r="AMF22" s="33"/>
      <c r="AMG22" s="33"/>
      <c r="AMH22" s="33"/>
      <c r="AMI22" s="33"/>
      <c r="AMJ22" s="33"/>
      <c r="AMK22" s="33"/>
      <c r="AML22" s="33"/>
      <c r="AMM22" s="33"/>
      <c r="AMN22" s="33"/>
      <c r="AMO22" s="33"/>
      <c r="AMP22" s="33"/>
      <c r="AMQ22" s="33"/>
      <c r="AMR22" s="33"/>
      <c r="AMS22" s="33"/>
      <c r="AMT22" s="33"/>
      <c r="AMU22" s="33"/>
      <c r="AMV22" s="33"/>
      <c r="AMW22" s="33"/>
      <c r="AMX22" s="33"/>
      <c r="AMY22" s="33"/>
      <c r="AMZ22" s="33"/>
      <c r="ANA22" s="33"/>
      <c r="ANB22" s="33"/>
      <c r="ANC22" s="33"/>
      <c r="AND22" s="33"/>
      <c r="ANE22" s="33"/>
      <c r="ANF22" s="33"/>
      <c r="ANG22" s="33"/>
      <c r="ANH22" s="33"/>
      <c r="ANI22" s="33"/>
      <c r="ANJ22" s="33"/>
      <c r="ANK22" s="33"/>
      <c r="ANL22" s="33"/>
      <c r="ANM22" s="33"/>
      <c r="ANN22" s="33"/>
      <c r="ANO22" s="33"/>
      <c r="ANP22" s="33"/>
      <c r="ANQ22" s="33"/>
      <c r="ANR22" s="33"/>
      <c r="ANS22" s="33"/>
      <c r="ANT22" s="33"/>
      <c r="ANU22" s="33"/>
      <c r="ANV22" s="33"/>
      <c r="ANW22" s="33"/>
      <c r="ANX22" s="33"/>
      <c r="ANY22" s="33"/>
      <c r="ANZ22" s="33"/>
      <c r="AOA22" s="33"/>
      <c r="AOB22" s="33"/>
      <c r="AOC22" s="33"/>
      <c r="AOD22" s="33"/>
      <c r="AOE22" s="33"/>
      <c r="AOF22" s="33"/>
      <c r="AOG22" s="33"/>
      <c r="AOH22" s="33"/>
      <c r="AOI22" s="33"/>
      <c r="AOJ22" s="33"/>
      <c r="AOK22" s="33"/>
      <c r="AOL22" s="33"/>
      <c r="AOM22" s="33"/>
      <c r="AON22" s="33"/>
      <c r="AOO22" s="33"/>
      <c r="AOP22" s="33"/>
      <c r="AOQ22" s="33"/>
      <c r="AOR22" s="33"/>
      <c r="AOS22" s="33"/>
      <c r="AOT22" s="33"/>
      <c r="AOU22" s="33"/>
      <c r="AOV22" s="33"/>
      <c r="AOW22" s="33"/>
      <c r="AOX22" s="33"/>
      <c r="AOY22" s="33"/>
      <c r="AOZ22" s="33"/>
      <c r="APA22" s="33"/>
      <c r="APB22" s="33"/>
      <c r="APC22" s="33"/>
      <c r="APD22" s="33"/>
      <c r="APE22" s="33"/>
      <c r="APF22" s="33"/>
      <c r="APG22" s="33"/>
      <c r="APH22" s="33"/>
      <c r="API22" s="33"/>
      <c r="APJ22" s="33"/>
      <c r="APK22" s="33"/>
      <c r="APL22" s="33"/>
      <c r="APM22" s="33"/>
      <c r="APN22" s="33"/>
      <c r="APO22" s="33"/>
      <c r="APP22" s="33"/>
      <c r="APQ22" s="33"/>
      <c r="APR22" s="33"/>
      <c r="APS22" s="33"/>
      <c r="APT22" s="33"/>
      <c r="APU22" s="33"/>
      <c r="APV22" s="33"/>
      <c r="APW22" s="33"/>
      <c r="APX22" s="33"/>
      <c r="APY22" s="33"/>
      <c r="APZ22" s="33"/>
      <c r="AQA22" s="33"/>
      <c r="AQB22" s="33"/>
      <c r="AQC22" s="33"/>
      <c r="AQD22" s="33"/>
      <c r="AQE22" s="33"/>
      <c r="AQF22" s="33"/>
      <c r="AQG22" s="33"/>
      <c r="AQH22" s="33"/>
      <c r="AQI22" s="33"/>
      <c r="AQJ22" s="33"/>
      <c r="AQK22" s="33"/>
      <c r="AQL22" s="33"/>
      <c r="AQM22" s="33"/>
      <c r="AQN22" s="33"/>
      <c r="AQO22" s="33"/>
      <c r="AQP22" s="33"/>
      <c r="AQQ22" s="33"/>
      <c r="AQR22" s="33"/>
      <c r="AQS22" s="33"/>
      <c r="AQT22" s="33"/>
      <c r="AQU22" s="33"/>
      <c r="AQV22" s="33"/>
      <c r="AQW22" s="33"/>
      <c r="AQX22" s="33"/>
      <c r="AQY22" s="33"/>
      <c r="AQZ22" s="33"/>
      <c r="ARA22" s="33"/>
      <c r="ARB22" s="33"/>
      <c r="ARC22" s="33"/>
      <c r="ARD22" s="33"/>
      <c r="ARE22" s="33"/>
      <c r="ARF22" s="33"/>
      <c r="ARG22" s="33"/>
      <c r="ARH22" s="33"/>
      <c r="ARI22" s="33"/>
      <c r="ARJ22" s="33"/>
      <c r="ARK22" s="33"/>
      <c r="ARL22" s="33"/>
      <c r="ARM22" s="33"/>
      <c r="ARN22" s="33"/>
      <c r="ARO22" s="33"/>
      <c r="ARP22" s="33"/>
      <c r="ARQ22" s="33"/>
      <c r="ARR22" s="33"/>
      <c r="ARS22" s="33"/>
      <c r="ART22" s="33"/>
      <c r="ARU22" s="33"/>
      <c r="ARV22" s="33"/>
      <c r="ARW22" s="33"/>
      <c r="ARX22" s="33"/>
      <c r="ARY22" s="33"/>
      <c r="ARZ22" s="33"/>
      <c r="ASA22" s="33"/>
      <c r="ASB22" s="33"/>
      <c r="ASC22" s="33"/>
      <c r="ASD22" s="33"/>
      <c r="ASE22" s="33"/>
      <c r="ASF22" s="33"/>
      <c r="ASG22" s="33"/>
      <c r="ASH22" s="33"/>
      <c r="ASI22" s="33"/>
      <c r="ASJ22" s="33"/>
      <c r="ASK22" s="33"/>
      <c r="ASL22" s="33"/>
      <c r="ASM22" s="33"/>
      <c r="ASN22" s="33"/>
      <c r="ASO22" s="33"/>
      <c r="ASP22" s="33"/>
      <c r="ASQ22" s="33"/>
      <c r="ASR22" s="33"/>
      <c r="ASS22" s="33"/>
      <c r="AST22" s="33"/>
      <c r="ASU22" s="33"/>
      <c r="ASV22" s="33"/>
      <c r="ASW22" s="33"/>
      <c r="ASX22" s="33"/>
      <c r="ASY22" s="33"/>
      <c r="ASZ22" s="33"/>
      <c r="ATA22" s="33"/>
      <c r="ATB22" s="33"/>
      <c r="ATC22" s="33"/>
      <c r="ATD22" s="33"/>
      <c r="ATE22" s="33"/>
      <c r="ATF22" s="33"/>
      <c r="ATG22" s="33"/>
      <c r="ATH22" s="33"/>
      <c r="ATI22" s="33"/>
      <c r="ATJ22" s="33"/>
      <c r="ATK22" s="33"/>
      <c r="ATL22" s="33"/>
      <c r="ATM22" s="33"/>
      <c r="ATN22" s="33"/>
      <c r="ATO22" s="33"/>
      <c r="ATP22" s="33"/>
      <c r="ATQ22" s="33"/>
      <c r="ATR22" s="33"/>
      <c r="ATS22" s="33"/>
      <c r="ATT22" s="33"/>
      <c r="ATU22" s="33"/>
      <c r="ATV22" s="33"/>
      <c r="ATW22" s="33"/>
      <c r="ATX22" s="33"/>
      <c r="ATY22" s="33"/>
      <c r="ATZ22" s="33"/>
      <c r="AUA22" s="33"/>
      <c r="AUB22" s="33"/>
      <c r="AUC22" s="33"/>
      <c r="AUD22" s="33"/>
      <c r="AUE22" s="33"/>
      <c r="AUF22" s="33"/>
      <c r="AUG22" s="33"/>
      <c r="AUH22" s="33"/>
      <c r="AUI22" s="33"/>
      <c r="AUJ22" s="33"/>
      <c r="AUK22" s="33"/>
      <c r="AUL22" s="33"/>
      <c r="AUM22" s="33"/>
      <c r="AUN22" s="33"/>
      <c r="AUO22" s="33"/>
      <c r="AUP22" s="33"/>
      <c r="AUQ22" s="33"/>
      <c r="AUR22" s="33"/>
      <c r="AUS22" s="33"/>
      <c r="AUT22" s="33"/>
      <c r="AUU22" s="33"/>
      <c r="AUV22" s="33"/>
      <c r="AUW22" s="33"/>
      <c r="AUX22" s="33"/>
      <c r="AUY22" s="33"/>
      <c r="AUZ22" s="33"/>
      <c r="AVA22" s="33"/>
      <c r="AVB22" s="33"/>
      <c r="AVC22" s="33"/>
      <c r="AVD22" s="33"/>
      <c r="AVE22" s="33"/>
      <c r="AVF22" s="33"/>
      <c r="AVG22" s="33"/>
      <c r="AVH22" s="33"/>
      <c r="AVI22" s="33"/>
      <c r="AVJ22" s="33"/>
      <c r="AVK22" s="33"/>
      <c r="AVL22" s="33"/>
      <c r="AVM22" s="33"/>
      <c r="AVN22" s="33"/>
      <c r="AVO22" s="33"/>
      <c r="AVP22" s="33"/>
      <c r="AVQ22" s="33"/>
      <c r="AVR22" s="33"/>
      <c r="AVS22" s="33"/>
      <c r="AVT22" s="33"/>
      <c r="AVU22" s="33"/>
      <c r="AVV22" s="33"/>
      <c r="AVW22" s="33"/>
      <c r="AVX22" s="33"/>
      <c r="AVY22" s="33"/>
      <c r="AVZ22" s="33"/>
      <c r="AWA22" s="33"/>
      <c r="AWB22" s="33"/>
      <c r="AWC22" s="33"/>
      <c r="AWD22" s="33"/>
      <c r="AWE22" s="33"/>
      <c r="AWF22" s="33"/>
      <c r="AWG22" s="33"/>
      <c r="AWH22" s="33"/>
      <c r="AWI22" s="33"/>
      <c r="AWJ22" s="33"/>
      <c r="AWK22" s="33"/>
      <c r="AWL22" s="33"/>
      <c r="AWM22" s="33"/>
      <c r="AWN22" s="33"/>
      <c r="AWO22" s="33"/>
      <c r="AWP22" s="33"/>
      <c r="AWQ22" s="33"/>
      <c r="AWR22" s="33"/>
      <c r="AWS22" s="33"/>
      <c r="AWT22" s="33"/>
      <c r="AWU22" s="33"/>
      <c r="AWV22" s="33"/>
      <c r="AWW22" s="33"/>
      <c r="AWX22" s="33"/>
      <c r="AWY22" s="33"/>
      <c r="AWZ22" s="33"/>
      <c r="AXA22" s="33"/>
      <c r="AXB22" s="33"/>
      <c r="AXC22" s="33"/>
      <c r="AXD22" s="33"/>
      <c r="AXE22" s="33"/>
      <c r="AXF22" s="33"/>
      <c r="AXG22" s="33"/>
      <c r="AXH22" s="33"/>
      <c r="AXI22" s="33"/>
      <c r="AXJ22" s="33"/>
      <c r="AXK22" s="33"/>
      <c r="AXL22" s="33"/>
      <c r="AXM22" s="33"/>
      <c r="AXN22" s="33"/>
      <c r="AXO22" s="33"/>
      <c r="AXP22" s="33"/>
      <c r="AXQ22" s="33"/>
      <c r="AXR22" s="33"/>
      <c r="AXS22" s="33"/>
      <c r="AXT22" s="33"/>
      <c r="AXU22" s="33"/>
      <c r="AXV22" s="33"/>
      <c r="AXW22" s="33"/>
      <c r="AXX22" s="33"/>
      <c r="AXY22" s="33"/>
      <c r="AXZ22" s="33"/>
      <c r="AYA22" s="33"/>
      <c r="AYB22" s="33"/>
      <c r="AYC22" s="33"/>
      <c r="AYD22" s="33"/>
      <c r="AYE22" s="33"/>
      <c r="AYF22" s="33"/>
      <c r="AYG22" s="33"/>
      <c r="AYH22" s="33"/>
      <c r="AYI22" s="33"/>
      <c r="AYJ22" s="33"/>
      <c r="AYK22" s="33"/>
      <c r="AYL22" s="33"/>
      <c r="AYM22" s="33"/>
      <c r="AYN22" s="33"/>
      <c r="AYO22" s="33"/>
      <c r="AYP22" s="33"/>
      <c r="AYQ22" s="33"/>
      <c r="AYR22" s="33"/>
      <c r="AYS22" s="33"/>
      <c r="AYT22" s="33"/>
      <c r="AYU22" s="33"/>
      <c r="AYV22" s="33"/>
      <c r="AYW22" s="33"/>
      <c r="AYX22" s="33"/>
      <c r="AYY22" s="33"/>
      <c r="AYZ22" s="33"/>
      <c r="AZA22" s="33"/>
      <c r="AZB22" s="33"/>
      <c r="AZC22" s="33"/>
      <c r="AZD22" s="33"/>
      <c r="AZE22" s="33"/>
      <c r="AZF22" s="33"/>
      <c r="AZG22" s="33"/>
      <c r="AZH22" s="33"/>
      <c r="AZI22" s="33"/>
      <c r="AZJ22" s="33"/>
      <c r="AZK22" s="33"/>
      <c r="AZL22" s="33"/>
      <c r="AZM22" s="33"/>
      <c r="AZN22" s="33"/>
      <c r="AZO22" s="33"/>
      <c r="AZP22" s="33"/>
      <c r="AZQ22" s="33"/>
      <c r="AZR22" s="33"/>
      <c r="AZS22" s="33"/>
      <c r="AZT22" s="33"/>
      <c r="AZU22" s="33"/>
      <c r="AZV22" s="33"/>
      <c r="AZW22" s="33"/>
      <c r="AZX22" s="33"/>
      <c r="AZY22" s="33"/>
      <c r="AZZ22" s="33"/>
      <c r="BAA22" s="33"/>
      <c r="BAB22" s="33"/>
      <c r="BAC22" s="33"/>
      <c r="BAD22" s="33"/>
      <c r="BAE22" s="33"/>
      <c r="BAF22" s="33"/>
      <c r="BAG22" s="33"/>
      <c r="BAH22" s="33"/>
      <c r="BAI22" s="33"/>
      <c r="BAJ22" s="33"/>
      <c r="BAK22" s="33"/>
      <c r="BAL22" s="33"/>
      <c r="BAM22" s="33"/>
      <c r="BAN22" s="33"/>
      <c r="BAO22" s="33"/>
      <c r="BAP22" s="33"/>
      <c r="BAQ22" s="33"/>
      <c r="BAR22" s="33"/>
      <c r="BAS22" s="33"/>
      <c r="BAT22" s="33"/>
      <c r="BAU22" s="33"/>
      <c r="BAV22" s="33"/>
      <c r="BAW22" s="33"/>
      <c r="BAX22" s="33"/>
      <c r="BAY22" s="33"/>
      <c r="BAZ22" s="33"/>
      <c r="BBA22" s="33"/>
      <c r="BBB22" s="33"/>
      <c r="BBC22" s="33"/>
      <c r="BBD22" s="33"/>
      <c r="BBE22" s="33"/>
      <c r="BBF22" s="33"/>
      <c r="BBG22" s="33"/>
      <c r="BBH22" s="33"/>
      <c r="BBI22" s="33"/>
      <c r="BBJ22" s="33"/>
      <c r="BBK22" s="33"/>
      <c r="BBL22" s="33"/>
      <c r="BBM22" s="33"/>
      <c r="BBN22" s="33"/>
      <c r="BBO22" s="33"/>
      <c r="BBP22" s="33"/>
      <c r="BBQ22" s="33"/>
      <c r="BBR22" s="33"/>
      <c r="BBS22" s="33"/>
      <c r="BBT22" s="33"/>
      <c r="BBU22" s="33"/>
      <c r="BBV22" s="33"/>
      <c r="BBW22" s="33"/>
      <c r="BBX22" s="33"/>
      <c r="BBY22" s="33"/>
      <c r="BBZ22" s="33"/>
      <c r="BCA22" s="33"/>
      <c r="BCB22" s="33"/>
      <c r="BCC22" s="33"/>
      <c r="BCD22" s="33"/>
      <c r="BCE22" s="33"/>
      <c r="BCF22" s="33"/>
      <c r="BCG22" s="33"/>
      <c r="BCH22" s="33"/>
      <c r="BCI22" s="33"/>
      <c r="BCJ22" s="33"/>
      <c r="BCK22" s="33"/>
      <c r="BCL22" s="33"/>
      <c r="BCM22" s="33"/>
      <c r="BCN22" s="33"/>
      <c r="BCO22" s="33"/>
      <c r="BCP22" s="33"/>
      <c r="BCQ22" s="33"/>
      <c r="BCR22" s="33"/>
      <c r="BCS22" s="33"/>
      <c r="BCT22" s="33"/>
      <c r="BCU22" s="33"/>
      <c r="BCV22" s="33"/>
      <c r="BCW22" s="33"/>
      <c r="BCX22" s="33"/>
      <c r="BCY22" s="33"/>
      <c r="BCZ22" s="33"/>
      <c r="BDA22" s="33"/>
      <c r="BDB22" s="33"/>
      <c r="BDC22" s="33"/>
      <c r="BDD22" s="33"/>
      <c r="BDE22" s="33"/>
      <c r="BDF22" s="33"/>
      <c r="BDG22" s="33"/>
      <c r="BDH22" s="33"/>
      <c r="BDI22" s="33"/>
      <c r="BDJ22" s="33"/>
      <c r="BDK22" s="33"/>
      <c r="BDL22" s="33"/>
      <c r="BDM22" s="33"/>
      <c r="BDN22" s="33"/>
      <c r="BDO22" s="33"/>
      <c r="BDP22" s="33"/>
      <c r="BDQ22" s="33"/>
      <c r="BDR22" s="33"/>
      <c r="BDS22" s="33"/>
      <c r="BDT22" s="33"/>
      <c r="BDU22" s="33"/>
      <c r="BDV22" s="33"/>
      <c r="BDW22" s="33"/>
      <c r="BDX22" s="33"/>
      <c r="BDY22" s="33"/>
      <c r="BDZ22" s="33"/>
      <c r="BEA22" s="33"/>
      <c r="BEB22" s="33"/>
      <c r="BEC22" s="33"/>
      <c r="BED22" s="33"/>
      <c r="BEE22" s="33"/>
      <c r="BEF22" s="33"/>
      <c r="BEG22" s="33"/>
      <c r="BEH22" s="33"/>
      <c r="BEI22" s="33"/>
      <c r="BEJ22" s="33"/>
      <c r="BEK22" s="33"/>
      <c r="BEL22" s="33"/>
      <c r="BEM22" s="33"/>
      <c r="BEN22" s="33"/>
      <c r="BEO22" s="33"/>
      <c r="BEP22" s="33"/>
      <c r="BEQ22" s="33"/>
      <c r="BER22" s="33"/>
      <c r="BES22" s="33"/>
      <c r="BET22" s="33"/>
      <c r="BEU22" s="33"/>
      <c r="BEV22" s="33"/>
      <c r="BEW22" s="33"/>
      <c r="BEX22" s="33"/>
      <c r="BEY22" s="33"/>
      <c r="BEZ22" s="33"/>
      <c r="BFA22" s="33"/>
      <c r="BFB22" s="33"/>
      <c r="BFC22" s="33"/>
      <c r="BFD22" s="33"/>
      <c r="BFE22" s="33"/>
      <c r="BFF22" s="33"/>
      <c r="BFG22" s="33"/>
      <c r="BFH22" s="33"/>
      <c r="BFI22" s="33"/>
      <c r="BFJ22" s="33"/>
      <c r="BFK22" s="33"/>
      <c r="BFL22" s="33"/>
      <c r="BFM22" s="33"/>
      <c r="BFN22" s="33"/>
      <c r="BFO22" s="33"/>
      <c r="BFP22" s="33"/>
      <c r="BFQ22" s="33"/>
      <c r="BFR22" s="33"/>
      <c r="BFS22" s="33"/>
      <c r="BFT22" s="33"/>
      <c r="BFU22" s="33"/>
      <c r="BFV22" s="33"/>
      <c r="BFW22" s="33"/>
      <c r="BFX22" s="33"/>
      <c r="BFY22" s="33"/>
      <c r="BFZ22" s="33"/>
      <c r="BGA22" s="33"/>
      <c r="BGB22" s="33"/>
      <c r="BGC22" s="33"/>
      <c r="BGD22" s="33"/>
      <c r="BGE22" s="33"/>
      <c r="BGF22" s="33"/>
      <c r="BGG22" s="33"/>
      <c r="BGH22" s="33"/>
      <c r="BGI22" s="33"/>
      <c r="BGJ22" s="33"/>
      <c r="BGK22" s="33"/>
      <c r="BGL22" s="33"/>
      <c r="BGM22" s="33"/>
      <c r="BGN22" s="33"/>
      <c r="BGO22" s="33"/>
      <c r="BGP22" s="33"/>
      <c r="BGQ22" s="33"/>
      <c r="BGR22" s="33"/>
      <c r="BGS22" s="33"/>
      <c r="BGT22" s="33"/>
      <c r="BGU22" s="33"/>
      <c r="BGV22" s="33"/>
      <c r="BGW22" s="33"/>
      <c r="BGX22" s="33"/>
      <c r="BGY22" s="33"/>
      <c r="BGZ22" s="33"/>
      <c r="BHA22" s="33"/>
      <c r="BHB22" s="33"/>
      <c r="BHC22" s="33"/>
      <c r="BHD22" s="33"/>
      <c r="BHE22" s="33"/>
      <c r="BHF22" s="33"/>
      <c r="BHG22" s="33"/>
      <c r="BHH22" s="33"/>
      <c r="BHI22" s="33"/>
      <c r="BHJ22" s="33"/>
      <c r="BHK22" s="33"/>
      <c r="BHL22" s="33"/>
      <c r="BHM22" s="33"/>
      <c r="BHN22" s="33"/>
      <c r="BHO22" s="33"/>
      <c r="BHP22" s="33"/>
      <c r="BHQ22" s="33"/>
      <c r="BHR22" s="33"/>
      <c r="BHS22" s="33"/>
      <c r="BHT22" s="33"/>
      <c r="BHU22" s="33"/>
      <c r="BHV22" s="33"/>
      <c r="BHW22" s="33"/>
      <c r="BHX22" s="33"/>
      <c r="BHY22" s="33"/>
      <c r="BHZ22" s="33"/>
      <c r="BIA22" s="33"/>
      <c r="BIB22" s="33"/>
      <c r="BIC22" s="33"/>
      <c r="BID22" s="33"/>
      <c r="BIE22" s="33"/>
      <c r="BIF22" s="33"/>
      <c r="BIG22" s="33"/>
      <c r="BIH22" s="33"/>
      <c r="BII22" s="33"/>
      <c r="BIJ22" s="33"/>
      <c r="BIK22" s="33"/>
      <c r="BIL22" s="33"/>
      <c r="BIM22" s="33"/>
      <c r="BIN22" s="33"/>
      <c r="BIO22" s="33"/>
      <c r="BIP22" s="33"/>
      <c r="BIQ22" s="33"/>
      <c r="BIR22" s="33"/>
      <c r="BIS22" s="33"/>
      <c r="BIT22" s="33"/>
      <c r="BIU22" s="33"/>
      <c r="BIV22" s="33"/>
      <c r="BIW22" s="33"/>
      <c r="BIX22" s="33"/>
      <c r="BIY22" s="33"/>
      <c r="BIZ22" s="33"/>
      <c r="BJA22" s="33"/>
      <c r="BJB22" s="33"/>
      <c r="BJC22" s="33"/>
      <c r="BJD22" s="33"/>
      <c r="BJE22" s="33"/>
      <c r="BJF22" s="33"/>
      <c r="BJG22" s="33"/>
      <c r="BJH22" s="33"/>
      <c r="BJI22" s="33"/>
      <c r="BJJ22" s="33"/>
      <c r="BJK22" s="33"/>
      <c r="BJL22" s="33"/>
      <c r="BJM22" s="33"/>
      <c r="BJN22" s="33"/>
      <c r="BJO22" s="33"/>
      <c r="BJP22" s="33"/>
      <c r="BJQ22" s="33"/>
      <c r="BJR22" s="33"/>
      <c r="BJS22" s="33"/>
      <c r="BJT22" s="33"/>
      <c r="BJU22" s="33"/>
      <c r="BJV22" s="33"/>
      <c r="BJW22" s="33"/>
      <c r="BJX22" s="33"/>
      <c r="BJY22" s="33"/>
      <c r="BJZ22" s="33"/>
      <c r="BKA22" s="33"/>
      <c r="BKB22" s="33"/>
      <c r="BKC22" s="33"/>
      <c r="BKD22" s="33"/>
      <c r="BKE22" s="33"/>
      <c r="BKF22" s="33"/>
      <c r="BKG22" s="33"/>
      <c r="BKH22" s="33"/>
      <c r="BKI22" s="33"/>
      <c r="BKJ22" s="33"/>
      <c r="BKK22" s="33"/>
      <c r="BKL22" s="33"/>
      <c r="BKM22" s="33"/>
      <c r="BKN22" s="33"/>
      <c r="BKO22" s="33"/>
      <c r="BKP22" s="33"/>
      <c r="BKQ22" s="33"/>
      <c r="BKR22" s="33"/>
      <c r="BKS22" s="33"/>
      <c r="BKT22" s="33"/>
      <c r="BKU22" s="33"/>
      <c r="BKV22" s="33"/>
      <c r="BKW22" s="33"/>
      <c r="BKX22" s="33"/>
      <c r="BKY22" s="33"/>
      <c r="BKZ22" s="33"/>
      <c r="BLA22" s="33"/>
      <c r="BLB22" s="33"/>
      <c r="BLC22" s="33"/>
      <c r="BLD22" s="33"/>
      <c r="BLE22" s="33"/>
      <c r="BLF22" s="33"/>
      <c r="BLG22" s="33"/>
      <c r="BLH22" s="33"/>
      <c r="BLI22" s="33"/>
      <c r="BLJ22" s="33"/>
      <c r="BLK22" s="33"/>
      <c r="BLL22" s="33"/>
      <c r="BLM22" s="33"/>
      <c r="BLN22" s="33"/>
      <c r="BLO22" s="33"/>
      <c r="BLP22" s="33"/>
      <c r="BLQ22" s="33"/>
      <c r="BLR22" s="33"/>
      <c r="BLS22" s="33"/>
      <c r="BLT22" s="33"/>
      <c r="BLU22" s="33"/>
      <c r="BLV22" s="33"/>
      <c r="BLW22" s="33"/>
      <c r="BLX22" s="33"/>
      <c r="BLY22" s="33"/>
      <c r="BLZ22" s="33"/>
      <c r="BMA22" s="33"/>
      <c r="BMB22" s="33"/>
      <c r="BMC22" s="33"/>
      <c r="BMD22" s="33"/>
      <c r="BME22" s="33"/>
      <c r="BMF22" s="33"/>
      <c r="BMG22" s="33"/>
      <c r="BMH22" s="33"/>
      <c r="BMI22" s="33"/>
      <c r="BMJ22" s="33"/>
      <c r="BMK22" s="33"/>
      <c r="BML22" s="33"/>
      <c r="BMM22" s="33"/>
      <c r="BMN22" s="33"/>
      <c r="BMO22" s="33"/>
      <c r="BMP22" s="33"/>
      <c r="BMQ22" s="33"/>
      <c r="BMR22" s="33"/>
      <c r="BMS22" s="33"/>
      <c r="BMT22" s="33"/>
      <c r="BMU22" s="33"/>
      <c r="BMV22" s="33"/>
      <c r="BMW22" s="33"/>
      <c r="BMX22" s="33"/>
      <c r="BMY22" s="33"/>
      <c r="BMZ22" s="33"/>
      <c r="BNA22" s="33"/>
      <c r="BNB22" s="33"/>
      <c r="BNC22" s="33"/>
      <c r="BND22" s="33"/>
      <c r="BNE22" s="33"/>
      <c r="BNF22" s="33"/>
      <c r="BNG22" s="33"/>
      <c r="BNH22" s="33"/>
      <c r="BNI22" s="33"/>
      <c r="BNJ22" s="33"/>
      <c r="BNK22" s="33"/>
      <c r="BNL22" s="33"/>
      <c r="BNM22" s="33"/>
      <c r="BNN22" s="33"/>
      <c r="BNO22" s="33"/>
      <c r="BNP22" s="33"/>
      <c r="BNQ22" s="33"/>
      <c r="BNR22" s="33"/>
      <c r="BNS22" s="33"/>
      <c r="BNT22" s="33"/>
      <c r="BNU22" s="33"/>
      <c r="BNV22" s="33"/>
      <c r="BNW22" s="33"/>
      <c r="BNX22" s="33"/>
      <c r="BNY22" s="33"/>
      <c r="BNZ22" s="33"/>
      <c r="BOA22" s="33"/>
      <c r="BOB22" s="33"/>
      <c r="BOC22" s="33"/>
      <c r="BOD22" s="33"/>
      <c r="BOE22" s="33"/>
      <c r="BOF22" s="33"/>
      <c r="BOG22" s="33"/>
      <c r="BOH22" s="33"/>
      <c r="BOI22" s="33"/>
      <c r="BOJ22" s="33"/>
      <c r="BOK22" s="33"/>
      <c r="BOL22" s="33"/>
      <c r="BOM22" s="33"/>
      <c r="BON22" s="33"/>
      <c r="BOO22" s="33"/>
      <c r="BOP22" s="33"/>
      <c r="BOQ22" s="33"/>
      <c r="BOR22" s="33"/>
      <c r="BOS22" s="33"/>
      <c r="BOT22" s="33"/>
      <c r="BOU22" s="33"/>
      <c r="BOV22" s="33"/>
      <c r="BOW22" s="33"/>
      <c r="BOX22" s="33"/>
      <c r="BOY22" s="33"/>
      <c r="BOZ22" s="33"/>
      <c r="BPA22" s="33"/>
      <c r="BPB22" s="33"/>
      <c r="BPC22" s="81"/>
    </row>
    <row r="23" s="34" customFormat="1" ht="60" customHeight="1" spans="1:1024 1025:1771">
      <c r="A23" s="78" t="s">
        <v>65</v>
      </c>
      <c r="B23" s="75" t="s">
        <v>66</v>
      </c>
      <c r="C23" s="75" t="s">
        <v>67</v>
      </c>
      <c r="D23" s="75" t="s">
        <v>68</v>
      </c>
      <c r="E23" s="75"/>
      <c r="F23" s="75"/>
      <c r="G23" s="79"/>
      <c r="H23" s="76">
        <f ca="1" t="shared" si="0"/>
        <v>46175</v>
      </c>
      <c r="I23" s="80" t="s">
        <v>7</v>
      </c>
      <c r="J23" s="79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33"/>
      <c r="MM23" s="33"/>
      <c r="MN23" s="33"/>
      <c r="MO23" s="33"/>
      <c r="MP23" s="33"/>
      <c r="MQ23" s="33"/>
      <c r="MR23" s="33"/>
      <c r="MS23" s="33"/>
      <c r="MT23" s="33"/>
      <c r="MU23" s="33"/>
      <c r="MV23" s="33"/>
      <c r="MW23" s="33"/>
      <c r="MX23" s="33"/>
      <c r="MY23" s="33"/>
      <c r="MZ23" s="33"/>
      <c r="NA23" s="33"/>
      <c r="NB23" s="33"/>
      <c r="NC23" s="33"/>
      <c r="ND23" s="33"/>
      <c r="NE23" s="33"/>
      <c r="NF23" s="33"/>
      <c r="NG23" s="33"/>
      <c r="NH23" s="33"/>
      <c r="NI23" s="33"/>
      <c r="NJ23" s="33"/>
      <c r="NK23" s="33"/>
      <c r="NL23" s="33"/>
      <c r="NM23" s="33"/>
      <c r="NN23" s="33"/>
      <c r="NO23" s="33"/>
      <c r="NP23" s="33"/>
      <c r="NQ23" s="33"/>
      <c r="NR23" s="33"/>
      <c r="NS23" s="33"/>
      <c r="NT23" s="33"/>
      <c r="NU23" s="33"/>
      <c r="NV23" s="33"/>
      <c r="NW23" s="33"/>
      <c r="NX23" s="33"/>
      <c r="NY23" s="33"/>
      <c r="NZ23" s="33"/>
      <c r="OA23" s="33"/>
      <c r="OB23" s="33"/>
      <c r="OC23" s="33"/>
      <c r="OD23" s="33"/>
      <c r="OE23" s="33"/>
      <c r="OF23" s="33"/>
      <c r="OG23" s="33"/>
      <c r="OH23" s="33"/>
      <c r="OI23" s="33"/>
      <c r="OJ23" s="33"/>
      <c r="OK23" s="33"/>
      <c r="OL23" s="33"/>
      <c r="OM23" s="33"/>
      <c r="ON23" s="33"/>
      <c r="OO23" s="33"/>
      <c r="OP23" s="33"/>
      <c r="OQ23" s="33"/>
      <c r="OR23" s="33"/>
      <c r="OS23" s="33"/>
      <c r="OT23" s="33"/>
      <c r="OU23" s="33"/>
      <c r="OV23" s="33"/>
      <c r="OW23" s="33"/>
      <c r="OX23" s="33"/>
      <c r="OY23" s="33"/>
      <c r="OZ23" s="33"/>
      <c r="PA23" s="33"/>
      <c r="PB23" s="33"/>
      <c r="PC23" s="33"/>
      <c r="PD23" s="33"/>
      <c r="PE23" s="33"/>
      <c r="PF23" s="33"/>
      <c r="PG23" s="33"/>
      <c r="PH23" s="33"/>
      <c r="PI23" s="33"/>
      <c r="PJ23" s="33"/>
      <c r="PK23" s="33"/>
      <c r="PL23" s="33"/>
      <c r="PM23" s="33"/>
      <c r="PN23" s="33"/>
      <c r="PO23" s="33"/>
      <c r="PP23" s="33"/>
      <c r="PQ23" s="33"/>
      <c r="PR23" s="33"/>
      <c r="PS23" s="33"/>
      <c r="PT23" s="33"/>
      <c r="PU23" s="33"/>
      <c r="PV23" s="33"/>
      <c r="PW23" s="33"/>
      <c r="PX23" s="33"/>
      <c r="PY23" s="33"/>
      <c r="PZ23" s="33"/>
      <c r="QA23" s="33"/>
      <c r="QB23" s="33"/>
      <c r="QC23" s="33"/>
      <c r="QD23" s="33"/>
      <c r="QE23" s="33"/>
      <c r="QF23" s="33"/>
      <c r="QG23" s="33"/>
      <c r="QH23" s="33"/>
      <c r="QI23" s="33"/>
      <c r="QJ23" s="33"/>
      <c r="QK23" s="33"/>
      <c r="QL23" s="33"/>
      <c r="QM23" s="33"/>
      <c r="QN23" s="33"/>
      <c r="QO23" s="33"/>
      <c r="QP23" s="33"/>
      <c r="QQ23" s="33"/>
      <c r="QR23" s="33"/>
      <c r="QS23" s="33"/>
      <c r="QT23" s="33"/>
      <c r="QU23" s="33"/>
      <c r="QV23" s="33"/>
      <c r="QW23" s="33"/>
      <c r="QX23" s="33"/>
      <c r="QY23" s="33"/>
      <c r="QZ23" s="33"/>
      <c r="RA23" s="33"/>
      <c r="RB23" s="33"/>
      <c r="RC23" s="33"/>
      <c r="RD23" s="33"/>
      <c r="RE23" s="33"/>
      <c r="RF23" s="33"/>
      <c r="RG23" s="33"/>
      <c r="RH23" s="33"/>
      <c r="RI23" s="33"/>
      <c r="RJ23" s="33"/>
      <c r="RK23" s="33"/>
      <c r="RL23" s="33"/>
      <c r="RM23" s="33"/>
      <c r="RN23" s="33"/>
      <c r="RO23" s="33"/>
      <c r="RP23" s="33"/>
      <c r="RQ23" s="33"/>
      <c r="RR23" s="33"/>
      <c r="RS23" s="33"/>
      <c r="RT23" s="33"/>
      <c r="RU23" s="33"/>
      <c r="RV23" s="33"/>
      <c r="RW23" s="33"/>
      <c r="RX23" s="33"/>
      <c r="RY23" s="33"/>
      <c r="RZ23" s="33"/>
      <c r="SA23" s="33"/>
      <c r="SB23" s="33"/>
      <c r="SC23" s="33"/>
      <c r="SD23" s="33"/>
      <c r="SE23" s="33"/>
      <c r="SF23" s="33"/>
      <c r="SG23" s="33"/>
      <c r="SH23" s="33"/>
      <c r="SI23" s="33"/>
      <c r="SJ23" s="33"/>
      <c r="SK23" s="33"/>
      <c r="SL23" s="33"/>
      <c r="SM23" s="33"/>
      <c r="SN23" s="33"/>
      <c r="SO23" s="33"/>
      <c r="SP23" s="33"/>
      <c r="SQ23" s="33"/>
      <c r="SR23" s="33"/>
      <c r="SS23" s="33"/>
      <c r="ST23" s="33"/>
      <c r="SU23" s="33"/>
      <c r="SV23" s="33"/>
      <c r="SW23" s="33"/>
      <c r="SX23" s="33"/>
      <c r="SY23" s="33"/>
      <c r="SZ23" s="33"/>
      <c r="TA23" s="33"/>
      <c r="TB23" s="33"/>
      <c r="TC23" s="33"/>
      <c r="TD23" s="33"/>
      <c r="TE23" s="33"/>
      <c r="TF23" s="33"/>
      <c r="TG23" s="33"/>
      <c r="TH23" s="33"/>
      <c r="TI23" s="33"/>
      <c r="TJ23" s="33"/>
      <c r="TK23" s="33"/>
      <c r="TL23" s="33"/>
      <c r="TM23" s="33"/>
      <c r="TN23" s="33"/>
      <c r="TO23" s="33"/>
      <c r="TP23" s="33"/>
      <c r="TQ23" s="33"/>
      <c r="TR23" s="33"/>
      <c r="TS23" s="33"/>
      <c r="TT23" s="33"/>
      <c r="TU23" s="33"/>
      <c r="TV23" s="33"/>
      <c r="TW23" s="33"/>
      <c r="TX23" s="33"/>
      <c r="TY23" s="33"/>
      <c r="TZ23" s="33"/>
      <c r="UA23" s="33"/>
      <c r="UB23" s="33"/>
      <c r="UC23" s="33"/>
      <c r="UD23" s="33"/>
      <c r="UE23" s="33"/>
      <c r="UF23" s="33"/>
      <c r="UG23" s="33"/>
      <c r="UH23" s="33"/>
      <c r="UI23" s="33"/>
      <c r="UJ23" s="33"/>
      <c r="UK23" s="33"/>
      <c r="UL23" s="33"/>
      <c r="UM23" s="33"/>
      <c r="UN23" s="33"/>
      <c r="UO23" s="33"/>
      <c r="UP23" s="33"/>
      <c r="UQ23" s="33"/>
      <c r="UR23" s="33"/>
      <c r="US23" s="33"/>
      <c r="UT23" s="33"/>
      <c r="UU23" s="33"/>
      <c r="UV23" s="33"/>
      <c r="UW23" s="33"/>
      <c r="UX23" s="33"/>
      <c r="UY23" s="33"/>
      <c r="UZ23" s="33"/>
      <c r="VA23" s="33"/>
      <c r="VB23" s="33"/>
      <c r="VC23" s="33"/>
      <c r="VD23" s="33"/>
      <c r="VE23" s="33"/>
      <c r="VF23" s="33"/>
      <c r="VG23" s="33"/>
      <c r="VH23" s="33"/>
      <c r="VI23" s="33"/>
      <c r="VJ23" s="33"/>
      <c r="VK23" s="33"/>
      <c r="VL23" s="33"/>
      <c r="VM23" s="33"/>
      <c r="VN23" s="33"/>
      <c r="VO23" s="33"/>
      <c r="VP23" s="33"/>
      <c r="VQ23" s="33"/>
      <c r="VR23" s="33"/>
      <c r="VS23" s="33"/>
      <c r="VT23" s="33"/>
      <c r="VU23" s="33"/>
      <c r="VV23" s="33"/>
      <c r="VW23" s="33"/>
      <c r="VX23" s="33"/>
      <c r="VY23" s="33"/>
      <c r="VZ23" s="33"/>
      <c r="WA23" s="33"/>
      <c r="WB23" s="33"/>
      <c r="WC23" s="33"/>
      <c r="WD23" s="33"/>
      <c r="WE23" s="33"/>
      <c r="WF23" s="33"/>
      <c r="WG23" s="33"/>
      <c r="WH23" s="33"/>
      <c r="WI23" s="33"/>
      <c r="WJ23" s="33"/>
      <c r="WK23" s="33"/>
      <c r="WL23" s="33"/>
      <c r="WM23" s="33"/>
      <c r="WN23" s="33"/>
      <c r="WO23" s="33"/>
      <c r="WP23" s="33"/>
      <c r="WQ23" s="33"/>
      <c r="WR23" s="33"/>
      <c r="WS23" s="33"/>
      <c r="WT23" s="33"/>
      <c r="WU23" s="33"/>
      <c r="WV23" s="33"/>
      <c r="WW23" s="33"/>
      <c r="WX23" s="33"/>
      <c r="WY23" s="33"/>
      <c r="WZ23" s="33"/>
      <c r="XA23" s="33"/>
      <c r="XB23" s="33"/>
      <c r="XC23" s="33"/>
      <c r="XD23" s="33"/>
      <c r="XE23" s="33"/>
      <c r="XF23" s="33"/>
      <c r="XG23" s="33"/>
      <c r="XH23" s="33"/>
      <c r="XI23" s="33"/>
      <c r="XJ23" s="33"/>
      <c r="XK23" s="33"/>
      <c r="XL23" s="33"/>
      <c r="XM23" s="33"/>
      <c r="XN23" s="33"/>
      <c r="XO23" s="33"/>
      <c r="XP23" s="33"/>
      <c r="XQ23" s="33"/>
      <c r="XR23" s="33"/>
      <c r="XS23" s="33"/>
      <c r="XT23" s="33"/>
      <c r="XU23" s="33"/>
      <c r="XV23" s="33"/>
      <c r="XW23" s="33"/>
      <c r="XX23" s="33"/>
      <c r="XY23" s="33"/>
      <c r="XZ23" s="33"/>
      <c r="YA23" s="33"/>
      <c r="YB23" s="33"/>
      <c r="YC23" s="33"/>
      <c r="YD23" s="33"/>
      <c r="YE23" s="33"/>
      <c r="YF23" s="33"/>
      <c r="YG23" s="33"/>
      <c r="YH23" s="33"/>
      <c r="YI23" s="33"/>
      <c r="YJ23" s="33"/>
      <c r="YK23" s="33"/>
      <c r="YL23" s="33"/>
      <c r="YM23" s="33"/>
      <c r="YN23" s="33"/>
      <c r="YO23" s="33"/>
      <c r="YP23" s="33"/>
      <c r="YQ23" s="33"/>
      <c r="YR23" s="33"/>
      <c r="YS23" s="33"/>
      <c r="YT23" s="33"/>
      <c r="YU23" s="33"/>
      <c r="YV23" s="33"/>
      <c r="YW23" s="33"/>
      <c r="YX23" s="33"/>
      <c r="YY23" s="33"/>
      <c r="YZ23" s="33"/>
      <c r="ZA23" s="33"/>
      <c r="ZB23" s="33"/>
      <c r="ZC23" s="33"/>
      <c r="ZD23" s="33"/>
      <c r="ZE23" s="33"/>
      <c r="ZF23" s="33"/>
      <c r="ZG23" s="33"/>
      <c r="ZH23" s="33"/>
      <c r="ZI23" s="33"/>
      <c r="ZJ23" s="33"/>
      <c r="ZK23" s="33"/>
      <c r="ZL23" s="33"/>
      <c r="ZM23" s="33"/>
      <c r="ZN23" s="33"/>
      <c r="ZO23" s="33"/>
      <c r="ZP23" s="33"/>
      <c r="ZQ23" s="33"/>
      <c r="ZR23" s="33"/>
      <c r="ZS23" s="33"/>
      <c r="ZT23" s="33"/>
      <c r="ZU23" s="33"/>
      <c r="ZV23" s="33"/>
      <c r="ZW23" s="33"/>
      <c r="ZX23" s="33"/>
      <c r="ZY23" s="33"/>
      <c r="ZZ23" s="33"/>
      <c r="AAA23" s="33"/>
      <c r="AAB23" s="33"/>
      <c r="AAC23" s="33"/>
      <c r="AAD23" s="33"/>
      <c r="AAE23" s="33"/>
      <c r="AAF23" s="33"/>
      <c r="AAG23" s="33"/>
      <c r="AAH23" s="33"/>
      <c r="AAI23" s="33"/>
      <c r="AAJ23" s="33"/>
      <c r="AAK23" s="33"/>
      <c r="AAL23" s="33"/>
      <c r="AAM23" s="33"/>
      <c r="AAN23" s="33"/>
      <c r="AAO23" s="33"/>
      <c r="AAP23" s="33"/>
      <c r="AAQ23" s="33"/>
      <c r="AAR23" s="33"/>
      <c r="AAS23" s="33"/>
      <c r="AAT23" s="33"/>
      <c r="AAU23" s="33"/>
      <c r="AAV23" s="33"/>
      <c r="AAW23" s="33"/>
      <c r="AAX23" s="33"/>
      <c r="AAY23" s="33"/>
      <c r="AAZ23" s="33"/>
      <c r="ABA23" s="33"/>
      <c r="ABB23" s="33"/>
      <c r="ABC23" s="33"/>
      <c r="ABD23" s="33"/>
      <c r="ABE23" s="33"/>
      <c r="ABF23" s="33"/>
      <c r="ABG23" s="33"/>
      <c r="ABH23" s="33"/>
      <c r="ABI23" s="33"/>
      <c r="ABJ23" s="33"/>
      <c r="ABK23" s="33"/>
      <c r="ABL23" s="33"/>
      <c r="ABM23" s="33"/>
      <c r="ABN23" s="33"/>
      <c r="ABO23" s="33"/>
      <c r="ABP23" s="33"/>
      <c r="ABQ23" s="33"/>
      <c r="ABR23" s="33"/>
      <c r="ABS23" s="33"/>
      <c r="ABT23" s="33"/>
      <c r="ABU23" s="33"/>
      <c r="ABV23" s="33"/>
      <c r="ABW23" s="33"/>
      <c r="ABX23" s="33"/>
      <c r="ABY23" s="33"/>
      <c r="ABZ23" s="33"/>
      <c r="ACA23" s="33"/>
      <c r="ACB23" s="33"/>
      <c r="ACC23" s="33"/>
      <c r="ACD23" s="33"/>
      <c r="ACE23" s="33"/>
      <c r="ACF23" s="33"/>
      <c r="ACG23" s="33"/>
      <c r="ACH23" s="33"/>
      <c r="ACI23" s="33"/>
      <c r="ACJ23" s="33"/>
      <c r="ACK23" s="33"/>
      <c r="ACL23" s="33"/>
      <c r="ACM23" s="33"/>
      <c r="ACN23" s="33"/>
      <c r="ACO23" s="33"/>
      <c r="ACP23" s="33"/>
      <c r="ACQ23" s="33"/>
      <c r="ACR23" s="33"/>
      <c r="ACS23" s="33"/>
      <c r="ACT23" s="33"/>
      <c r="ACU23" s="33"/>
      <c r="ACV23" s="33"/>
      <c r="ACW23" s="33"/>
      <c r="ACX23" s="33"/>
      <c r="ACY23" s="33"/>
      <c r="ACZ23" s="33"/>
      <c r="ADA23" s="33"/>
      <c r="ADB23" s="33"/>
      <c r="ADC23" s="33"/>
      <c r="ADD23" s="33"/>
      <c r="ADE23" s="33"/>
      <c r="ADF23" s="33"/>
      <c r="ADG23" s="33"/>
      <c r="ADH23" s="33"/>
      <c r="ADI23" s="33"/>
      <c r="ADJ23" s="33"/>
      <c r="ADK23" s="33"/>
      <c r="ADL23" s="33"/>
      <c r="ADM23" s="33"/>
      <c r="ADN23" s="33"/>
      <c r="ADO23" s="33"/>
      <c r="ADP23" s="33"/>
      <c r="ADQ23" s="33"/>
      <c r="ADR23" s="33"/>
      <c r="ADS23" s="33"/>
      <c r="ADT23" s="33"/>
      <c r="ADU23" s="33"/>
      <c r="ADV23" s="33"/>
      <c r="ADW23" s="33"/>
      <c r="ADX23" s="33"/>
      <c r="ADY23" s="33"/>
      <c r="ADZ23" s="33"/>
      <c r="AEA23" s="33"/>
      <c r="AEB23" s="33"/>
      <c r="AEC23" s="33"/>
      <c r="AED23" s="33"/>
      <c r="AEE23" s="33"/>
      <c r="AEF23" s="33"/>
      <c r="AEG23" s="33"/>
      <c r="AEH23" s="33"/>
      <c r="AEI23" s="33"/>
      <c r="AEJ23" s="33"/>
      <c r="AEK23" s="33"/>
      <c r="AEL23" s="33"/>
      <c r="AEM23" s="33"/>
      <c r="AEN23" s="33"/>
      <c r="AEO23" s="33"/>
      <c r="AEP23" s="33"/>
      <c r="AEQ23" s="33"/>
      <c r="AER23" s="33"/>
      <c r="AES23" s="33"/>
      <c r="AET23" s="33"/>
      <c r="AEU23" s="33"/>
      <c r="AEV23" s="33"/>
      <c r="AEW23" s="33"/>
      <c r="AEX23" s="33"/>
      <c r="AEY23" s="33"/>
      <c r="AEZ23" s="33"/>
      <c r="AFA23" s="33"/>
      <c r="AFB23" s="33"/>
      <c r="AFC23" s="33"/>
      <c r="AFD23" s="33"/>
      <c r="AFE23" s="33"/>
      <c r="AFF23" s="33"/>
      <c r="AFG23" s="33"/>
      <c r="AFH23" s="33"/>
      <c r="AFI23" s="33"/>
      <c r="AFJ23" s="33"/>
      <c r="AFK23" s="33"/>
      <c r="AFL23" s="33"/>
      <c r="AFM23" s="33"/>
      <c r="AFN23" s="33"/>
      <c r="AFO23" s="33"/>
      <c r="AFP23" s="33"/>
      <c r="AFQ23" s="33"/>
      <c r="AFR23" s="33"/>
      <c r="AFS23" s="33"/>
      <c r="AFT23" s="33"/>
      <c r="AFU23" s="33"/>
      <c r="AFV23" s="33"/>
      <c r="AFW23" s="33"/>
      <c r="AFX23" s="33"/>
      <c r="AFY23" s="33"/>
      <c r="AFZ23" s="33"/>
      <c r="AGA23" s="33"/>
      <c r="AGB23" s="33"/>
      <c r="AGC23" s="33"/>
      <c r="AGD23" s="33"/>
      <c r="AGE23" s="33"/>
      <c r="AGF23" s="33"/>
      <c r="AGG23" s="33"/>
      <c r="AGH23" s="33"/>
      <c r="AGI23" s="33"/>
      <c r="AGJ23" s="33"/>
      <c r="AGK23" s="33"/>
      <c r="AGL23" s="33"/>
      <c r="AGM23" s="33"/>
      <c r="AGN23" s="33"/>
      <c r="AGO23" s="33"/>
      <c r="AGP23" s="33"/>
      <c r="AGQ23" s="33"/>
      <c r="AGR23" s="33"/>
      <c r="AGS23" s="33"/>
      <c r="AGT23" s="33"/>
      <c r="AGU23" s="33"/>
      <c r="AGV23" s="33"/>
      <c r="AGW23" s="33"/>
      <c r="AGX23" s="33"/>
      <c r="AGY23" s="33"/>
      <c r="AGZ23" s="33"/>
      <c r="AHA23" s="33"/>
      <c r="AHB23" s="33"/>
      <c r="AHC23" s="33"/>
      <c r="AHD23" s="33"/>
      <c r="AHE23" s="33"/>
      <c r="AHF23" s="33"/>
      <c r="AHG23" s="33"/>
      <c r="AHH23" s="33"/>
      <c r="AHI23" s="33"/>
      <c r="AHJ23" s="33"/>
      <c r="AHK23" s="33"/>
      <c r="AHL23" s="33"/>
      <c r="AHM23" s="33"/>
      <c r="AHN23" s="33"/>
      <c r="AHO23" s="33"/>
      <c r="AHP23" s="33"/>
      <c r="AHQ23" s="33"/>
      <c r="AHR23" s="33"/>
      <c r="AHS23" s="33"/>
      <c r="AHT23" s="33"/>
      <c r="AHU23" s="33"/>
      <c r="AHV23" s="33"/>
      <c r="AHW23" s="33"/>
      <c r="AHX23" s="33"/>
      <c r="AHY23" s="33"/>
      <c r="AHZ23" s="33"/>
      <c r="AIA23" s="33"/>
      <c r="AIB23" s="33"/>
      <c r="AIC23" s="33"/>
      <c r="AID23" s="33"/>
      <c r="AIE23" s="33"/>
      <c r="AIF23" s="33"/>
      <c r="AIG23" s="33"/>
      <c r="AIH23" s="33"/>
      <c r="AII23" s="33"/>
      <c r="AIJ23" s="33"/>
      <c r="AIK23" s="33"/>
      <c r="AIL23" s="33"/>
      <c r="AIM23" s="33"/>
      <c r="AIN23" s="33"/>
      <c r="AIO23" s="33"/>
      <c r="AIP23" s="33"/>
      <c r="AIQ23" s="33"/>
      <c r="AIR23" s="33"/>
      <c r="AIS23" s="33"/>
      <c r="AIT23" s="33"/>
      <c r="AIU23" s="33"/>
      <c r="AIV23" s="33"/>
      <c r="AIW23" s="33"/>
      <c r="AIX23" s="33"/>
      <c r="AIY23" s="33"/>
      <c r="AIZ23" s="33"/>
      <c r="AJA23" s="33"/>
      <c r="AJB23" s="33"/>
      <c r="AJC23" s="33"/>
      <c r="AJD23" s="33"/>
      <c r="AJE23" s="33"/>
      <c r="AJF23" s="33"/>
      <c r="AJG23" s="33"/>
      <c r="AJH23" s="33"/>
      <c r="AJI23" s="33"/>
      <c r="AJJ23" s="33"/>
      <c r="AJK23" s="33"/>
      <c r="AJL23" s="33"/>
      <c r="AJM23" s="33"/>
      <c r="AJN23" s="33"/>
      <c r="AJO23" s="33"/>
      <c r="AJP23" s="33"/>
      <c r="AJQ23" s="33"/>
      <c r="AJR23" s="33"/>
      <c r="AJS23" s="33"/>
      <c r="AJT23" s="33"/>
      <c r="AJU23" s="33"/>
      <c r="AJV23" s="33"/>
      <c r="AJW23" s="33"/>
      <c r="AJX23" s="33"/>
      <c r="AJY23" s="33"/>
      <c r="AJZ23" s="33"/>
      <c r="AKA23" s="33"/>
      <c r="AKB23" s="33"/>
      <c r="AKC23" s="33"/>
      <c r="AKD23" s="33"/>
      <c r="AKE23" s="33"/>
      <c r="AKF23" s="33"/>
      <c r="AKG23" s="33"/>
      <c r="AKH23" s="33"/>
      <c r="AKI23" s="33"/>
      <c r="AKJ23" s="33"/>
      <c r="AKK23" s="33"/>
      <c r="AKL23" s="33"/>
      <c r="AKM23" s="33"/>
      <c r="AKN23" s="33"/>
      <c r="AKO23" s="33"/>
      <c r="AKP23" s="33"/>
      <c r="AKQ23" s="33"/>
      <c r="AKR23" s="33"/>
      <c r="AKS23" s="33"/>
      <c r="AKT23" s="33"/>
      <c r="AKU23" s="33"/>
      <c r="AKV23" s="33"/>
      <c r="AKW23" s="33"/>
      <c r="AKX23" s="33"/>
      <c r="AKY23" s="33"/>
      <c r="AKZ23" s="33"/>
      <c r="ALA23" s="33"/>
      <c r="ALB23" s="33"/>
      <c r="ALC23" s="33"/>
      <c r="ALD23" s="33"/>
      <c r="ALE23" s="33"/>
      <c r="ALF23" s="33"/>
      <c r="ALG23" s="33"/>
      <c r="ALH23" s="33"/>
      <c r="ALI23" s="33"/>
      <c r="ALJ23" s="33"/>
      <c r="ALK23" s="33"/>
      <c r="ALL23" s="33"/>
      <c r="ALM23" s="33"/>
      <c r="ALN23" s="33"/>
      <c r="ALO23" s="33"/>
      <c r="ALP23" s="33"/>
      <c r="ALQ23" s="33"/>
      <c r="ALR23" s="33"/>
      <c r="ALS23" s="33"/>
      <c r="ALT23" s="33"/>
      <c r="ALU23" s="33"/>
      <c r="ALV23" s="33"/>
      <c r="ALW23" s="33"/>
      <c r="ALX23" s="33"/>
      <c r="ALY23" s="33"/>
      <c r="ALZ23" s="33"/>
      <c r="AMA23" s="33"/>
      <c r="AMB23" s="33"/>
      <c r="AMC23" s="33"/>
      <c r="AMD23" s="33"/>
      <c r="AME23" s="33"/>
      <c r="AMF23" s="33"/>
      <c r="AMG23" s="33"/>
      <c r="AMH23" s="33"/>
      <c r="AMI23" s="33"/>
      <c r="AMJ23" s="33"/>
      <c r="AMK23" s="33"/>
      <c r="AML23" s="33"/>
      <c r="AMM23" s="33"/>
      <c r="AMN23" s="33"/>
      <c r="AMO23" s="33"/>
      <c r="AMP23" s="33"/>
      <c r="AMQ23" s="33"/>
      <c r="AMR23" s="33"/>
      <c r="AMS23" s="33"/>
      <c r="AMT23" s="33"/>
      <c r="AMU23" s="33"/>
      <c r="AMV23" s="33"/>
      <c r="AMW23" s="33"/>
      <c r="AMX23" s="33"/>
      <c r="AMY23" s="33"/>
      <c r="AMZ23" s="33"/>
      <c r="ANA23" s="33"/>
      <c r="ANB23" s="33"/>
      <c r="ANC23" s="33"/>
      <c r="AND23" s="33"/>
      <c r="ANE23" s="33"/>
      <c r="ANF23" s="33"/>
      <c r="ANG23" s="33"/>
      <c r="ANH23" s="33"/>
      <c r="ANI23" s="33"/>
      <c r="ANJ23" s="33"/>
      <c r="ANK23" s="33"/>
      <c r="ANL23" s="33"/>
      <c r="ANM23" s="33"/>
      <c r="ANN23" s="33"/>
      <c r="ANO23" s="33"/>
      <c r="ANP23" s="33"/>
      <c r="ANQ23" s="33"/>
      <c r="ANR23" s="33"/>
      <c r="ANS23" s="33"/>
      <c r="ANT23" s="33"/>
      <c r="ANU23" s="33"/>
      <c r="ANV23" s="33"/>
      <c r="ANW23" s="33"/>
      <c r="ANX23" s="33"/>
      <c r="ANY23" s="33"/>
      <c r="ANZ23" s="33"/>
      <c r="AOA23" s="33"/>
      <c r="AOB23" s="33"/>
      <c r="AOC23" s="33"/>
      <c r="AOD23" s="33"/>
      <c r="AOE23" s="33"/>
      <c r="AOF23" s="33"/>
      <c r="AOG23" s="33"/>
      <c r="AOH23" s="33"/>
      <c r="AOI23" s="33"/>
      <c r="AOJ23" s="33"/>
      <c r="AOK23" s="33"/>
      <c r="AOL23" s="33"/>
      <c r="AOM23" s="33"/>
      <c r="AON23" s="33"/>
      <c r="AOO23" s="33"/>
      <c r="AOP23" s="33"/>
      <c r="AOQ23" s="33"/>
      <c r="AOR23" s="33"/>
      <c r="AOS23" s="33"/>
      <c r="AOT23" s="33"/>
      <c r="AOU23" s="33"/>
      <c r="AOV23" s="33"/>
      <c r="AOW23" s="33"/>
      <c r="AOX23" s="33"/>
      <c r="AOY23" s="33"/>
      <c r="AOZ23" s="33"/>
      <c r="APA23" s="33"/>
      <c r="APB23" s="33"/>
      <c r="APC23" s="33"/>
      <c r="APD23" s="33"/>
      <c r="APE23" s="33"/>
      <c r="APF23" s="33"/>
      <c r="APG23" s="33"/>
      <c r="APH23" s="33"/>
      <c r="API23" s="33"/>
      <c r="APJ23" s="33"/>
      <c r="APK23" s="33"/>
      <c r="APL23" s="33"/>
      <c r="APM23" s="33"/>
      <c r="APN23" s="33"/>
      <c r="APO23" s="33"/>
      <c r="APP23" s="33"/>
      <c r="APQ23" s="33"/>
      <c r="APR23" s="33"/>
      <c r="APS23" s="33"/>
      <c r="APT23" s="33"/>
      <c r="APU23" s="33"/>
      <c r="APV23" s="33"/>
      <c r="APW23" s="33"/>
      <c r="APX23" s="33"/>
      <c r="APY23" s="33"/>
      <c r="APZ23" s="33"/>
      <c r="AQA23" s="33"/>
      <c r="AQB23" s="33"/>
      <c r="AQC23" s="33"/>
      <c r="AQD23" s="33"/>
      <c r="AQE23" s="33"/>
      <c r="AQF23" s="33"/>
      <c r="AQG23" s="33"/>
      <c r="AQH23" s="33"/>
      <c r="AQI23" s="33"/>
      <c r="AQJ23" s="33"/>
      <c r="AQK23" s="33"/>
      <c r="AQL23" s="33"/>
      <c r="AQM23" s="33"/>
      <c r="AQN23" s="33"/>
      <c r="AQO23" s="33"/>
      <c r="AQP23" s="33"/>
      <c r="AQQ23" s="33"/>
      <c r="AQR23" s="33"/>
      <c r="AQS23" s="33"/>
      <c r="AQT23" s="33"/>
      <c r="AQU23" s="33"/>
      <c r="AQV23" s="33"/>
      <c r="AQW23" s="33"/>
      <c r="AQX23" s="33"/>
      <c r="AQY23" s="33"/>
      <c r="AQZ23" s="33"/>
      <c r="ARA23" s="33"/>
      <c r="ARB23" s="33"/>
      <c r="ARC23" s="33"/>
      <c r="ARD23" s="33"/>
      <c r="ARE23" s="33"/>
      <c r="ARF23" s="33"/>
      <c r="ARG23" s="33"/>
      <c r="ARH23" s="33"/>
      <c r="ARI23" s="33"/>
      <c r="ARJ23" s="33"/>
      <c r="ARK23" s="33"/>
      <c r="ARL23" s="33"/>
      <c r="ARM23" s="33"/>
      <c r="ARN23" s="33"/>
      <c r="ARO23" s="33"/>
      <c r="ARP23" s="33"/>
      <c r="ARQ23" s="33"/>
      <c r="ARR23" s="33"/>
      <c r="ARS23" s="33"/>
      <c r="ART23" s="33"/>
      <c r="ARU23" s="33"/>
      <c r="ARV23" s="33"/>
      <c r="ARW23" s="33"/>
      <c r="ARX23" s="33"/>
      <c r="ARY23" s="33"/>
      <c r="ARZ23" s="33"/>
      <c r="ASA23" s="33"/>
      <c r="ASB23" s="33"/>
      <c r="ASC23" s="33"/>
      <c r="ASD23" s="33"/>
      <c r="ASE23" s="33"/>
      <c r="ASF23" s="33"/>
      <c r="ASG23" s="33"/>
      <c r="ASH23" s="33"/>
      <c r="ASI23" s="33"/>
      <c r="ASJ23" s="33"/>
      <c r="ASK23" s="33"/>
      <c r="ASL23" s="33"/>
      <c r="ASM23" s="33"/>
      <c r="ASN23" s="33"/>
      <c r="ASO23" s="33"/>
      <c r="ASP23" s="33"/>
      <c r="ASQ23" s="33"/>
      <c r="ASR23" s="33"/>
      <c r="ASS23" s="33"/>
      <c r="AST23" s="33"/>
      <c r="ASU23" s="33"/>
      <c r="ASV23" s="33"/>
      <c r="ASW23" s="33"/>
      <c r="ASX23" s="33"/>
      <c r="ASY23" s="33"/>
      <c r="ASZ23" s="33"/>
      <c r="ATA23" s="33"/>
      <c r="ATB23" s="33"/>
      <c r="ATC23" s="33"/>
      <c r="ATD23" s="33"/>
      <c r="ATE23" s="33"/>
      <c r="ATF23" s="33"/>
      <c r="ATG23" s="33"/>
      <c r="ATH23" s="33"/>
      <c r="ATI23" s="33"/>
      <c r="ATJ23" s="33"/>
      <c r="ATK23" s="33"/>
      <c r="ATL23" s="33"/>
      <c r="ATM23" s="33"/>
      <c r="ATN23" s="33"/>
      <c r="ATO23" s="33"/>
      <c r="ATP23" s="33"/>
      <c r="ATQ23" s="33"/>
      <c r="ATR23" s="33"/>
      <c r="ATS23" s="33"/>
      <c r="ATT23" s="33"/>
      <c r="ATU23" s="33"/>
      <c r="ATV23" s="33"/>
      <c r="ATW23" s="33"/>
      <c r="ATX23" s="33"/>
      <c r="ATY23" s="33"/>
      <c r="ATZ23" s="33"/>
      <c r="AUA23" s="33"/>
      <c r="AUB23" s="33"/>
      <c r="AUC23" s="33"/>
      <c r="AUD23" s="33"/>
      <c r="AUE23" s="33"/>
      <c r="AUF23" s="33"/>
      <c r="AUG23" s="33"/>
      <c r="AUH23" s="33"/>
      <c r="AUI23" s="33"/>
      <c r="AUJ23" s="33"/>
      <c r="AUK23" s="33"/>
      <c r="AUL23" s="33"/>
      <c r="AUM23" s="33"/>
      <c r="AUN23" s="33"/>
      <c r="AUO23" s="33"/>
      <c r="AUP23" s="33"/>
      <c r="AUQ23" s="33"/>
      <c r="AUR23" s="33"/>
      <c r="AUS23" s="33"/>
      <c r="AUT23" s="33"/>
      <c r="AUU23" s="33"/>
      <c r="AUV23" s="33"/>
      <c r="AUW23" s="33"/>
      <c r="AUX23" s="33"/>
      <c r="AUY23" s="33"/>
      <c r="AUZ23" s="33"/>
      <c r="AVA23" s="33"/>
      <c r="AVB23" s="33"/>
      <c r="AVC23" s="33"/>
      <c r="AVD23" s="33"/>
      <c r="AVE23" s="33"/>
      <c r="AVF23" s="33"/>
      <c r="AVG23" s="33"/>
      <c r="AVH23" s="33"/>
      <c r="AVI23" s="33"/>
      <c r="AVJ23" s="33"/>
      <c r="AVK23" s="33"/>
      <c r="AVL23" s="33"/>
      <c r="AVM23" s="33"/>
      <c r="AVN23" s="33"/>
      <c r="AVO23" s="33"/>
      <c r="AVP23" s="33"/>
      <c r="AVQ23" s="33"/>
      <c r="AVR23" s="33"/>
      <c r="AVS23" s="33"/>
      <c r="AVT23" s="33"/>
      <c r="AVU23" s="33"/>
      <c r="AVV23" s="33"/>
      <c r="AVW23" s="33"/>
      <c r="AVX23" s="33"/>
      <c r="AVY23" s="33"/>
      <c r="AVZ23" s="33"/>
      <c r="AWA23" s="33"/>
      <c r="AWB23" s="33"/>
      <c r="AWC23" s="33"/>
      <c r="AWD23" s="33"/>
      <c r="AWE23" s="33"/>
      <c r="AWF23" s="33"/>
      <c r="AWG23" s="33"/>
      <c r="AWH23" s="33"/>
      <c r="AWI23" s="33"/>
      <c r="AWJ23" s="33"/>
      <c r="AWK23" s="33"/>
      <c r="AWL23" s="33"/>
      <c r="AWM23" s="33"/>
      <c r="AWN23" s="33"/>
      <c r="AWO23" s="33"/>
      <c r="AWP23" s="33"/>
      <c r="AWQ23" s="33"/>
      <c r="AWR23" s="33"/>
      <c r="AWS23" s="33"/>
      <c r="AWT23" s="33"/>
      <c r="AWU23" s="33"/>
      <c r="AWV23" s="33"/>
      <c r="AWW23" s="33"/>
      <c r="AWX23" s="33"/>
      <c r="AWY23" s="33"/>
      <c r="AWZ23" s="33"/>
      <c r="AXA23" s="33"/>
      <c r="AXB23" s="33"/>
      <c r="AXC23" s="33"/>
      <c r="AXD23" s="33"/>
      <c r="AXE23" s="33"/>
      <c r="AXF23" s="33"/>
      <c r="AXG23" s="33"/>
      <c r="AXH23" s="33"/>
      <c r="AXI23" s="33"/>
      <c r="AXJ23" s="33"/>
      <c r="AXK23" s="33"/>
      <c r="AXL23" s="33"/>
      <c r="AXM23" s="33"/>
      <c r="AXN23" s="33"/>
      <c r="AXO23" s="33"/>
      <c r="AXP23" s="33"/>
      <c r="AXQ23" s="33"/>
      <c r="AXR23" s="33"/>
      <c r="AXS23" s="33"/>
      <c r="AXT23" s="33"/>
      <c r="AXU23" s="33"/>
      <c r="AXV23" s="33"/>
      <c r="AXW23" s="33"/>
      <c r="AXX23" s="33"/>
      <c r="AXY23" s="33"/>
      <c r="AXZ23" s="33"/>
      <c r="AYA23" s="33"/>
      <c r="AYB23" s="33"/>
      <c r="AYC23" s="33"/>
      <c r="AYD23" s="33"/>
      <c r="AYE23" s="33"/>
      <c r="AYF23" s="33"/>
      <c r="AYG23" s="33"/>
      <c r="AYH23" s="33"/>
      <c r="AYI23" s="33"/>
      <c r="AYJ23" s="33"/>
      <c r="AYK23" s="33"/>
      <c r="AYL23" s="33"/>
      <c r="AYM23" s="33"/>
      <c r="AYN23" s="33"/>
      <c r="AYO23" s="33"/>
      <c r="AYP23" s="33"/>
      <c r="AYQ23" s="33"/>
      <c r="AYR23" s="33"/>
      <c r="AYS23" s="33"/>
      <c r="AYT23" s="33"/>
      <c r="AYU23" s="33"/>
      <c r="AYV23" s="33"/>
      <c r="AYW23" s="33"/>
      <c r="AYX23" s="33"/>
      <c r="AYY23" s="33"/>
      <c r="AYZ23" s="33"/>
      <c r="AZA23" s="33"/>
      <c r="AZB23" s="33"/>
      <c r="AZC23" s="33"/>
      <c r="AZD23" s="33"/>
      <c r="AZE23" s="33"/>
      <c r="AZF23" s="33"/>
      <c r="AZG23" s="33"/>
      <c r="AZH23" s="33"/>
      <c r="AZI23" s="33"/>
      <c r="AZJ23" s="33"/>
      <c r="AZK23" s="33"/>
      <c r="AZL23" s="33"/>
      <c r="AZM23" s="33"/>
      <c r="AZN23" s="33"/>
      <c r="AZO23" s="33"/>
      <c r="AZP23" s="33"/>
      <c r="AZQ23" s="33"/>
      <c r="AZR23" s="33"/>
      <c r="AZS23" s="33"/>
      <c r="AZT23" s="33"/>
      <c r="AZU23" s="33"/>
      <c r="AZV23" s="33"/>
      <c r="AZW23" s="33"/>
      <c r="AZX23" s="33"/>
      <c r="AZY23" s="33"/>
      <c r="AZZ23" s="33"/>
      <c r="BAA23" s="33"/>
      <c r="BAB23" s="33"/>
      <c r="BAC23" s="33"/>
      <c r="BAD23" s="33"/>
      <c r="BAE23" s="33"/>
      <c r="BAF23" s="33"/>
      <c r="BAG23" s="33"/>
      <c r="BAH23" s="33"/>
      <c r="BAI23" s="33"/>
      <c r="BAJ23" s="33"/>
      <c r="BAK23" s="33"/>
      <c r="BAL23" s="33"/>
      <c r="BAM23" s="33"/>
      <c r="BAN23" s="33"/>
      <c r="BAO23" s="33"/>
      <c r="BAP23" s="33"/>
      <c r="BAQ23" s="33"/>
      <c r="BAR23" s="33"/>
      <c r="BAS23" s="33"/>
      <c r="BAT23" s="33"/>
      <c r="BAU23" s="33"/>
      <c r="BAV23" s="33"/>
      <c r="BAW23" s="33"/>
      <c r="BAX23" s="33"/>
      <c r="BAY23" s="33"/>
      <c r="BAZ23" s="33"/>
      <c r="BBA23" s="33"/>
      <c r="BBB23" s="33"/>
      <c r="BBC23" s="33"/>
      <c r="BBD23" s="33"/>
      <c r="BBE23" s="33"/>
      <c r="BBF23" s="33"/>
      <c r="BBG23" s="33"/>
      <c r="BBH23" s="33"/>
      <c r="BBI23" s="33"/>
      <c r="BBJ23" s="33"/>
      <c r="BBK23" s="33"/>
      <c r="BBL23" s="33"/>
      <c r="BBM23" s="33"/>
      <c r="BBN23" s="33"/>
      <c r="BBO23" s="33"/>
      <c r="BBP23" s="33"/>
      <c r="BBQ23" s="33"/>
      <c r="BBR23" s="33"/>
      <c r="BBS23" s="33"/>
      <c r="BBT23" s="33"/>
      <c r="BBU23" s="33"/>
      <c r="BBV23" s="33"/>
      <c r="BBW23" s="33"/>
      <c r="BBX23" s="33"/>
      <c r="BBY23" s="33"/>
      <c r="BBZ23" s="33"/>
      <c r="BCA23" s="33"/>
      <c r="BCB23" s="33"/>
      <c r="BCC23" s="33"/>
      <c r="BCD23" s="33"/>
      <c r="BCE23" s="33"/>
      <c r="BCF23" s="33"/>
      <c r="BCG23" s="33"/>
      <c r="BCH23" s="33"/>
      <c r="BCI23" s="33"/>
      <c r="BCJ23" s="33"/>
      <c r="BCK23" s="33"/>
      <c r="BCL23" s="33"/>
      <c r="BCM23" s="33"/>
      <c r="BCN23" s="33"/>
      <c r="BCO23" s="33"/>
      <c r="BCP23" s="33"/>
      <c r="BCQ23" s="33"/>
      <c r="BCR23" s="33"/>
      <c r="BCS23" s="33"/>
      <c r="BCT23" s="33"/>
      <c r="BCU23" s="33"/>
      <c r="BCV23" s="33"/>
      <c r="BCW23" s="33"/>
      <c r="BCX23" s="33"/>
      <c r="BCY23" s="33"/>
      <c r="BCZ23" s="33"/>
      <c r="BDA23" s="33"/>
      <c r="BDB23" s="33"/>
      <c r="BDC23" s="33"/>
      <c r="BDD23" s="33"/>
      <c r="BDE23" s="33"/>
      <c r="BDF23" s="33"/>
      <c r="BDG23" s="33"/>
      <c r="BDH23" s="33"/>
      <c r="BDI23" s="33"/>
      <c r="BDJ23" s="33"/>
      <c r="BDK23" s="33"/>
      <c r="BDL23" s="33"/>
      <c r="BDM23" s="33"/>
      <c r="BDN23" s="33"/>
      <c r="BDO23" s="33"/>
      <c r="BDP23" s="33"/>
      <c r="BDQ23" s="33"/>
      <c r="BDR23" s="33"/>
      <c r="BDS23" s="33"/>
      <c r="BDT23" s="33"/>
      <c r="BDU23" s="33"/>
      <c r="BDV23" s="33"/>
      <c r="BDW23" s="33"/>
      <c r="BDX23" s="33"/>
      <c r="BDY23" s="33"/>
      <c r="BDZ23" s="33"/>
      <c r="BEA23" s="33"/>
      <c r="BEB23" s="33"/>
      <c r="BEC23" s="33"/>
      <c r="BED23" s="33"/>
      <c r="BEE23" s="33"/>
      <c r="BEF23" s="33"/>
      <c r="BEG23" s="33"/>
      <c r="BEH23" s="33"/>
      <c r="BEI23" s="33"/>
      <c r="BEJ23" s="33"/>
      <c r="BEK23" s="33"/>
      <c r="BEL23" s="33"/>
      <c r="BEM23" s="33"/>
      <c r="BEN23" s="33"/>
      <c r="BEO23" s="33"/>
      <c r="BEP23" s="33"/>
      <c r="BEQ23" s="33"/>
      <c r="BER23" s="33"/>
      <c r="BES23" s="33"/>
      <c r="BET23" s="33"/>
      <c r="BEU23" s="33"/>
      <c r="BEV23" s="33"/>
      <c r="BEW23" s="33"/>
      <c r="BEX23" s="33"/>
      <c r="BEY23" s="33"/>
      <c r="BEZ23" s="33"/>
      <c r="BFA23" s="33"/>
      <c r="BFB23" s="33"/>
      <c r="BFC23" s="33"/>
      <c r="BFD23" s="33"/>
      <c r="BFE23" s="33"/>
      <c r="BFF23" s="33"/>
      <c r="BFG23" s="33"/>
      <c r="BFH23" s="33"/>
      <c r="BFI23" s="33"/>
      <c r="BFJ23" s="33"/>
      <c r="BFK23" s="33"/>
      <c r="BFL23" s="33"/>
      <c r="BFM23" s="33"/>
      <c r="BFN23" s="33"/>
      <c r="BFO23" s="33"/>
      <c r="BFP23" s="33"/>
      <c r="BFQ23" s="33"/>
      <c r="BFR23" s="33"/>
      <c r="BFS23" s="33"/>
      <c r="BFT23" s="33"/>
      <c r="BFU23" s="33"/>
      <c r="BFV23" s="33"/>
      <c r="BFW23" s="33"/>
      <c r="BFX23" s="33"/>
      <c r="BFY23" s="33"/>
      <c r="BFZ23" s="33"/>
      <c r="BGA23" s="33"/>
      <c r="BGB23" s="33"/>
      <c r="BGC23" s="33"/>
      <c r="BGD23" s="33"/>
      <c r="BGE23" s="33"/>
      <c r="BGF23" s="33"/>
      <c r="BGG23" s="33"/>
      <c r="BGH23" s="33"/>
      <c r="BGI23" s="33"/>
      <c r="BGJ23" s="33"/>
      <c r="BGK23" s="33"/>
      <c r="BGL23" s="33"/>
      <c r="BGM23" s="33"/>
      <c r="BGN23" s="33"/>
      <c r="BGO23" s="33"/>
      <c r="BGP23" s="33"/>
      <c r="BGQ23" s="33"/>
      <c r="BGR23" s="33"/>
      <c r="BGS23" s="33"/>
      <c r="BGT23" s="33"/>
      <c r="BGU23" s="33"/>
      <c r="BGV23" s="33"/>
      <c r="BGW23" s="33"/>
      <c r="BGX23" s="33"/>
      <c r="BGY23" s="33"/>
      <c r="BGZ23" s="33"/>
      <c r="BHA23" s="33"/>
      <c r="BHB23" s="33"/>
      <c r="BHC23" s="33"/>
      <c r="BHD23" s="33"/>
      <c r="BHE23" s="33"/>
      <c r="BHF23" s="33"/>
      <c r="BHG23" s="33"/>
      <c r="BHH23" s="33"/>
      <c r="BHI23" s="33"/>
      <c r="BHJ23" s="33"/>
      <c r="BHK23" s="33"/>
      <c r="BHL23" s="33"/>
      <c r="BHM23" s="33"/>
      <c r="BHN23" s="33"/>
      <c r="BHO23" s="33"/>
      <c r="BHP23" s="33"/>
      <c r="BHQ23" s="33"/>
      <c r="BHR23" s="33"/>
      <c r="BHS23" s="33"/>
      <c r="BHT23" s="33"/>
      <c r="BHU23" s="33"/>
      <c r="BHV23" s="33"/>
      <c r="BHW23" s="33"/>
      <c r="BHX23" s="33"/>
      <c r="BHY23" s="33"/>
      <c r="BHZ23" s="33"/>
      <c r="BIA23" s="33"/>
      <c r="BIB23" s="33"/>
      <c r="BIC23" s="33"/>
      <c r="BID23" s="33"/>
      <c r="BIE23" s="33"/>
      <c r="BIF23" s="33"/>
      <c r="BIG23" s="33"/>
      <c r="BIH23" s="33"/>
      <c r="BII23" s="33"/>
      <c r="BIJ23" s="33"/>
      <c r="BIK23" s="33"/>
      <c r="BIL23" s="33"/>
      <c r="BIM23" s="33"/>
      <c r="BIN23" s="33"/>
      <c r="BIO23" s="33"/>
      <c r="BIP23" s="33"/>
      <c r="BIQ23" s="33"/>
      <c r="BIR23" s="33"/>
      <c r="BIS23" s="33"/>
      <c r="BIT23" s="33"/>
      <c r="BIU23" s="33"/>
      <c r="BIV23" s="33"/>
      <c r="BIW23" s="33"/>
      <c r="BIX23" s="33"/>
      <c r="BIY23" s="33"/>
      <c r="BIZ23" s="33"/>
      <c r="BJA23" s="33"/>
      <c r="BJB23" s="33"/>
      <c r="BJC23" s="33"/>
      <c r="BJD23" s="33"/>
      <c r="BJE23" s="33"/>
      <c r="BJF23" s="33"/>
      <c r="BJG23" s="33"/>
      <c r="BJH23" s="33"/>
      <c r="BJI23" s="33"/>
      <c r="BJJ23" s="33"/>
      <c r="BJK23" s="33"/>
      <c r="BJL23" s="33"/>
      <c r="BJM23" s="33"/>
      <c r="BJN23" s="33"/>
      <c r="BJO23" s="33"/>
      <c r="BJP23" s="33"/>
      <c r="BJQ23" s="33"/>
      <c r="BJR23" s="33"/>
      <c r="BJS23" s="33"/>
      <c r="BJT23" s="33"/>
      <c r="BJU23" s="33"/>
      <c r="BJV23" s="33"/>
      <c r="BJW23" s="33"/>
      <c r="BJX23" s="33"/>
      <c r="BJY23" s="33"/>
      <c r="BJZ23" s="33"/>
      <c r="BKA23" s="33"/>
      <c r="BKB23" s="33"/>
      <c r="BKC23" s="33"/>
      <c r="BKD23" s="33"/>
      <c r="BKE23" s="33"/>
      <c r="BKF23" s="33"/>
      <c r="BKG23" s="33"/>
      <c r="BKH23" s="33"/>
      <c r="BKI23" s="33"/>
      <c r="BKJ23" s="33"/>
      <c r="BKK23" s="33"/>
      <c r="BKL23" s="33"/>
      <c r="BKM23" s="33"/>
      <c r="BKN23" s="33"/>
      <c r="BKO23" s="33"/>
      <c r="BKP23" s="33"/>
      <c r="BKQ23" s="33"/>
      <c r="BKR23" s="33"/>
      <c r="BKS23" s="33"/>
      <c r="BKT23" s="33"/>
      <c r="BKU23" s="33"/>
      <c r="BKV23" s="33"/>
      <c r="BKW23" s="33"/>
      <c r="BKX23" s="33"/>
      <c r="BKY23" s="33"/>
      <c r="BKZ23" s="33"/>
      <c r="BLA23" s="33"/>
      <c r="BLB23" s="33"/>
      <c r="BLC23" s="33"/>
      <c r="BLD23" s="33"/>
      <c r="BLE23" s="33"/>
      <c r="BLF23" s="33"/>
      <c r="BLG23" s="33"/>
      <c r="BLH23" s="33"/>
      <c r="BLI23" s="33"/>
      <c r="BLJ23" s="33"/>
      <c r="BLK23" s="33"/>
      <c r="BLL23" s="33"/>
      <c r="BLM23" s="33"/>
      <c r="BLN23" s="33"/>
      <c r="BLO23" s="33"/>
      <c r="BLP23" s="33"/>
      <c r="BLQ23" s="33"/>
      <c r="BLR23" s="33"/>
      <c r="BLS23" s="33"/>
      <c r="BLT23" s="33"/>
      <c r="BLU23" s="33"/>
      <c r="BLV23" s="33"/>
      <c r="BLW23" s="33"/>
      <c r="BLX23" s="33"/>
      <c r="BLY23" s="33"/>
      <c r="BLZ23" s="33"/>
      <c r="BMA23" s="33"/>
      <c r="BMB23" s="33"/>
      <c r="BMC23" s="33"/>
      <c r="BMD23" s="33"/>
      <c r="BME23" s="33"/>
      <c r="BMF23" s="33"/>
      <c r="BMG23" s="33"/>
      <c r="BMH23" s="33"/>
      <c r="BMI23" s="33"/>
      <c r="BMJ23" s="33"/>
      <c r="BMK23" s="33"/>
      <c r="BML23" s="33"/>
      <c r="BMM23" s="33"/>
      <c r="BMN23" s="33"/>
      <c r="BMO23" s="33"/>
      <c r="BMP23" s="33"/>
      <c r="BMQ23" s="33"/>
      <c r="BMR23" s="33"/>
      <c r="BMS23" s="33"/>
      <c r="BMT23" s="33"/>
      <c r="BMU23" s="33"/>
      <c r="BMV23" s="33"/>
      <c r="BMW23" s="33"/>
      <c r="BMX23" s="33"/>
      <c r="BMY23" s="33"/>
      <c r="BMZ23" s="33"/>
      <c r="BNA23" s="33"/>
      <c r="BNB23" s="33"/>
      <c r="BNC23" s="33"/>
      <c r="BND23" s="33"/>
      <c r="BNE23" s="33"/>
      <c r="BNF23" s="33"/>
      <c r="BNG23" s="33"/>
      <c r="BNH23" s="33"/>
      <c r="BNI23" s="33"/>
      <c r="BNJ23" s="33"/>
      <c r="BNK23" s="33"/>
      <c r="BNL23" s="33"/>
      <c r="BNM23" s="33"/>
      <c r="BNN23" s="33"/>
      <c r="BNO23" s="33"/>
      <c r="BNP23" s="33"/>
      <c r="BNQ23" s="33"/>
      <c r="BNR23" s="33"/>
      <c r="BNS23" s="33"/>
      <c r="BNT23" s="33"/>
      <c r="BNU23" s="33"/>
      <c r="BNV23" s="33"/>
      <c r="BNW23" s="33"/>
      <c r="BNX23" s="33"/>
      <c r="BNY23" s="33"/>
      <c r="BNZ23" s="33"/>
      <c r="BOA23" s="33"/>
      <c r="BOB23" s="33"/>
      <c r="BOC23" s="33"/>
      <c r="BOD23" s="33"/>
      <c r="BOE23" s="33"/>
      <c r="BOF23" s="33"/>
      <c r="BOG23" s="33"/>
      <c r="BOH23" s="33"/>
      <c r="BOI23" s="33"/>
      <c r="BOJ23" s="33"/>
      <c r="BOK23" s="33"/>
      <c r="BOL23" s="33"/>
      <c r="BOM23" s="33"/>
      <c r="BON23" s="33"/>
      <c r="BOO23" s="33"/>
      <c r="BOP23" s="33"/>
      <c r="BOQ23" s="33"/>
      <c r="BOR23" s="33"/>
      <c r="BOS23" s="33"/>
      <c r="BOT23" s="33"/>
      <c r="BOU23" s="33"/>
      <c r="BOV23" s="33"/>
      <c r="BOW23" s="33"/>
      <c r="BOX23" s="33"/>
      <c r="BOY23" s="33"/>
      <c r="BOZ23" s="33"/>
      <c r="BPA23" s="33"/>
      <c r="BPB23" s="33"/>
      <c r="BPC23" s="81"/>
    </row>
    <row r="24" s="35" customFormat="1" ht="60" customHeight="1" spans="1:1024 1025:1771">
      <c r="A24" s="74" t="s">
        <v>69</v>
      </c>
      <c r="B24" s="75" t="s">
        <v>70</v>
      </c>
      <c r="C24" s="75" t="s">
        <v>71</v>
      </c>
      <c r="D24" s="75" t="s">
        <v>72</v>
      </c>
      <c r="E24" s="75"/>
      <c r="F24" s="75"/>
      <c r="G24" s="75"/>
      <c r="H24" s="76">
        <f ca="1" t="shared" si="0"/>
        <v>46175</v>
      </c>
      <c r="I24" s="77" t="s">
        <v>7</v>
      </c>
      <c r="J24" s="75"/>
      <c r="K24" s="34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33"/>
      <c r="ML24" s="33"/>
      <c r="MM24" s="33"/>
      <c r="MN24" s="33"/>
      <c r="MO24" s="33"/>
      <c r="MP24" s="33"/>
      <c r="MQ24" s="33"/>
      <c r="MR24" s="33"/>
      <c r="MS24" s="33"/>
      <c r="MT24" s="33"/>
      <c r="MU24" s="33"/>
      <c r="MV24" s="33"/>
      <c r="MW24" s="33"/>
      <c r="MX24" s="33"/>
      <c r="MY24" s="33"/>
      <c r="MZ24" s="33"/>
      <c r="NA24" s="33"/>
      <c r="NB24" s="33"/>
      <c r="NC24" s="33"/>
      <c r="ND24" s="33"/>
      <c r="NE24" s="33"/>
      <c r="NF24" s="33"/>
      <c r="NG24" s="33"/>
      <c r="NH24" s="33"/>
      <c r="NI24" s="33"/>
      <c r="NJ24" s="33"/>
      <c r="NK24" s="33"/>
      <c r="NL24" s="33"/>
      <c r="NM24" s="33"/>
      <c r="NN24" s="33"/>
      <c r="NO24" s="33"/>
      <c r="NP24" s="33"/>
      <c r="NQ24" s="33"/>
      <c r="NR24" s="33"/>
      <c r="NS24" s="33"/>
      <c r="NT24" s="33"/>
      <c r="NU24" s="33"/>
      <c r="NV24" s="33"/>
      <c r="NW24" s="33"/>
      <c r="NX24" s="33"/>
      <c r="NY24" s="33"/>
      <c r="NZ24" s="33"/>
      <c r="OA24" s="33"/>
      <c r="OB24" s="33"/>
      <c r="OC24" s="33"/>
      <c r="OD24" s="33"/>
      <c r="OE24" s="33"/>
      <c r="OF24" s="33"/>
      <c r="OG24" s="33"/>
      <c r="OH24" s="33"/>
      <c r="OI24" s="33"/>
      <c r="OJ24" s="33"/>
      <c r="OK24" s="33"/>
      <c r="OL24" s="33"/>
      <c r="OM24" s="33"/>
      <c r="ON24" s="33"/>
      <c r="OO24" s="33"/>
      <c r="OP24" s="33"/>
      <c r="OQ24" s="33"/>
      <c r="OR24" s="33"/>
      <c r="OS24" s="33"/>
      <c r="OT24" s="33"/>
      <c r="OU24" s="33"/>
      <c r="OV24" s="33"/>
      <c r="OW24" s="33"/>
      <c r="OX24" s="33"/>
      <c r="OY24" s="33"/>
      <c r="OZ24" s="33"/>
      <c r="PA24" s="33"/>
      <c r="PB24" s="33"/>
      <c r="PC24" s="33"/>
      <c r="PD24" s="33"/>
      <c r="PE24" s="33"/>
      <c r="PF24" s="33"/>
      <c r="PG24" s="33"/>
      <c r="PH24" s="33"/>
      <c r="PI24" s="33"/>
      <c r="PJ24" s="33"/>
      <c r="PK24" s="33"/>
      <c r="PL24" s="33"/>
      <c r="PM24" s="33"/>
      <c r="PN24" s="33"/>
      <c r="PO24" s="33"/>
      <c r="PP24" s="33"/>
      <c r="PQ24" s="33"/>
      <c r="PR24" s="33"/>
      <c r="PS24" s="33"/>
      <c r="PT24" s="33"/>
      <c r="PU24" s="33"/>
      <c r="PV24" s="33"/>
      <c r="PW24" s="33"/>
      <c r="PX24" s="33"/>
      <c r="PY24" s="33"/>
      <c r="PZ24" s="33"/>
      <c r="QA24" s="33"/>
      <c r="QB24" s="33"/>
      <c r="QC24" s="33"/>
      <c r="QD24" s="33"/>
      <c r="QE24" s="33"/>
      <c r="QF24" s="33"/>
      <c r="QG24" s="33"/>
      <c r="QH24" s="33"/>
      <c r="QI24" s="33"/>
      <c r="QJ24" s="33"/>
      <c r="QK24" s="33"/>
      <c r="QL24" s="33"/>
      <c r="QM24" s="33"/>
      <c r="QN24" s="33"/>
      <c r="QO24" s="33"/>
      <c r="QP24" s="33"/>
      <c r="QQ24" s="33"/>
      <c r="QR24" s="33"/>
      <c r="QS24" s="33"/>
      <c r="QT24" s="33"/>
      <c r="QU24" s="33"/>
      <c r="QV24" s="33"/>
      <c r="QW24" s="33"/>
      <c r="QX24" s="33"/>
      <c r="QY24" s="33"/>
      <c r="QZ24" s="33"/>
      <c r="RA24" s="33"/>
      <c r="RB24" s="33"/>
      <c r="RC24" s="33"/>
      <c r="RD24" s="33"/>
      <c r="RE24" s="33"/>
      <c r="RF24" s="33"/>
      <c r="RG24" s="33"/>
      <c r="RH24" s="33"/>
      <c r="RI24" s="33"/>
      <c r="RJ24" s="33"/>
      <c r="RK24" s="33"/>
      <c r="RL24" s="33"/>
      <c r="RM24" s="33"/>
      <c r="RN24" s="33"/>
      <c r="RO24" s="33"/>
      <c r="RP24" s="33"/>
      <c r="RQ24" s="33"/>
      <c r="RR24" s="33"/>
      <c r="RS24" s="33"/>
      <c r="RT24" s="33"/>
      <c r="RU24" s="33"/>
      <c r="RV24" s="33"/>
      <c r="RW24" s="33"/>
      <c r="RX24" s="33"/>
      <c r="RY24" s="33"/>
      <c r="RZ24" s="33"/>
      <c r="SA24" s="33"/>
      <c r="SB24" s="33"/>
      <c r="SC24" s="33"/>
      <c r="SD24" s="33"/>
      <c r="SE24" s="33"/>
      <c r="SF24" s="33"/>
      <c r="SG24" s="33"/>
      <c r="SH24" s="33"/>
      <c r="SI24" s="33"/>
      <c r="SJ24" s="33"/>
      <c r="SK24" s="33"/>
      <c r="SL24" s="33"/>
      <c r="SM24" s="33"/>
      <c r="SN24" s="33"/>
      <c r="SO24" s="33"/>
      <c r="SP24" s="33"/>
      <c r="SQ24" s="33"/>
      <c r="SR24" s="33"/>
      <c r="SS24" s="33"/>
      <c r="ST24" s="33"/>
      <c r="SU24" s="33"/>
      <c r="SV24" s="33"/>
      <c r="SW24" s="33"/>
      <c r="SX24" s="33"/>
      <c r="SY24" s="33"/>
      <c r="SZ24" s="33"/>
      <c r="TA24" s="33"/>
      <c r="TB24" s="33"/>
      <c r="TC24" s="33"/>
      <c r="TD24" s="33"/>
      <c r="TE24" s="33"/>
      <c r="TF24" s="33"/>
      <c r="TG24" s="33"/>
      <c r="TH24" s="33"/>
      <c r="TI24" s="33"/>
      <c r="TJ24" s="33"/>
      <c r="TK24" s="33"/>
      <c r="TL24" s="33"/>
      <c r="TM24" s="33"/>
      <c r="TN24" s="33"/>
      <c r="TO24" s="33"/>
      <c r="TP24" s="33"/>
      <c r="TQ24" s="33"/>
      <c r="TR24" s="33"/>
      <c r="TS24" s="33"/>
      <c r="TT24" s="33"/>
      <c r="TU24" s="33"/>
      <c r="TV24" s="33"/>
      <c r="TW24" s="33"/>
      <c r="TX24" s="33"/>
      <c r="TY24" s="33"/>
      <c r="TZ24" s="33"/>
      <c r="UA24" s="33"/>
      <c r="UB24" s="33"/>
      <c r="UC24" s="33"/>
      <c r="UD24" s="33"/>
      <c r="UE24" s="33"/>
      <c r="UF24" s="33"/>
      <c r="UG24" s="33"/>
      <c r="UH24" s="33"/>
      <c r="UI24" s="33"/>
      <c r="UJ24" s="33"/>
      <c r="UK24" s="33"/>
      <c r="UL24" s="33"/>
      <c r="UM24" s="33"/>
      <c r="UN24" s="33"/>
      <c r="UO24" s="33"/>
      <c r="UP24" s="33"/>
      <c r="UQ24" s="33"/>
      <c r="UR24" s="33"/>
      <c r="US24" s="33"/>
      <c r="UT24" s="33"/>
      <c r="UU24" s="33"/>
      <c r="UV24" s="33"/>
      <c r="UW24" s="33"/>
      <c r="UX24" s="33"/>
      <c r="UY24" s="33"/>
      <c r="UZ24" s="33"/>
      <c r="VA24" s="33"/>
      <c r="VB24" s="33"/>
      <c r="VC24" s="33"/>
      <c r="VD24" s="33"/>
      <c r="VE24" s="33"/>
      <c r="VF24" s="33"/>
      <c r="VG24" s="33"/>
      <c r="VH24" s="33"/>
      <c r="VI24" s="33"/>
      <c r="VJ24" s="33"/>
      <c r="VK24" s="33"/>
      <c r="VL24" s="33"/>
      <c r="VM24" s="33"/>
      <c r="VN24" s="33"/>
      <c r="VO24" s="33"/>
      <c r="VP24" s="33"/>
      <c r="VQ24" s="33"/>
      <c r="VR24" s="33"/>
      <c r="VS24" s="33"/>
      <c r="VT24" s="33"/>
      <c r="VU24" s="33"/>
      <c r="VV24" s="33"/>
      <c r="VW24" s="33"/>
      <c r="VX24" s="33"/>
      <c r="VY24" s="33"/>
      <c r="VZ24" s="33"/>
      <c r="WA24" s="33"/>
      <c r="WB24" s="33"/>
      <c r="WC24" s="33"/>
      <c r="WD24" s="33"/>
      <c r="WE24" s="33"/>
      <c r="WF24" s="33"/>
      <c r="WG24" s="33"/>
      <c r="WH24" s="33"/>
      <c r="WI24" s="33"/>
      <c r="WJ24" s="33"/>
      <c r="WK24" s="33"/>
      <c r="WL24" s="33"/>
      <c r="WM24" s="33"/>
      <c r="WN24" s="33"/>
      <c r="WO24" s="33"/>
      <c r="WP24" s="33"/>
      <c r="WQ24" s="33"/>
      <c r="WR24" s="33"/>
      <c r="WS24" s="33"/>
      <c r="WT24" s="33"/>
      <c r="WU24" s="33"/>
      <c r="WV24" s="33"/>
      <c r="WW24" s="33"/>
      <c r="WX24" s="33"/>
      <c r="WY24" s="33"/>
      <c r="WZ24" s="33"/>
      <c r="XA24" s="33"/>
      <c r="XB24" s="33"/>
      <c r="XC24" s="33"/>
      <c r="XD24" s="33"/>
      <c r="XE24" s="33"/>
      <c r="XF24" s="33"/>
      <c r="XG24" s="33"/>
      <c r="XH24" s="33"/>
      <c r="XI24" s="33"/>
      <c r="XJ24" s="33"/>
      <c r="XK24" s="33"/>
      <c r="XL24" s="33"/>
      <c r="XM24" s="33"/>
      <c r="XN24" s="33"/>
      <c r="XO24" s="33"/>
      <c r="XP24" s="33"/>
      <c r="XQ24" s="33"/>
      <c r="XR24" s="33"/>
      <c r="XS24" s="33"/>
      <c r="XT24" s="33"/>
      <c r="XU24" s="33"/>
      <c r="XV24" s="33"/>
      <c r="XW24" s="33"/>
      <c r="XX24" s="33"/>
      <c r="XY24" s="33"/>
      <c r="XZ24" s="33"/>
      <c r="YA24" s="33"/>
      <c r="YB24" s="33"/>
      <c r="YC24" s="33"/>
      <c r="YD24" s="33"/>
      <c r="YE24" s="33"/>
      <c r="YF24" s="33"/>
      <c r="YG24" s="33"/>
      <c r="YH24" s="33"/>
      <c r="YI24" s="33"/>
      <c r="YJ24" s="33"/>
      <c r="YK24" s="33"/>
      <c r="YL24" s="33"/>
      <c r="YM24" s="33"/>
      <c r="YN24" s="33"/>
      <c r="YO24" s="33"/>
      <c r="YP24" s="33"/>
      <c r="YQ24" s="33"/>
      <c r="YR24" s="33"/>
      <c r="YS24" s="33"/>
      <c r="YT24" s="33"/>
      <c r="YU24" s="33"/>
      <c r="YV24" s="33"/>
      <c r="YW24" s="33"/>
      <c r="YX24" s="33"/>
      <c r="YY24" s="33"/>
      <c r="YZ24" s="33"/>
      <c r="ZA24" s="33"/>
      <c r="ZB24" s="33"/>
      <c r="ZC24" s="33"/>
      <c r="ZD24" s="33"/>
      <c r="ZE24" s="33"/>
      <c r="ZF24" s="33"/>
      <c r="ZG24" s="33"/>
      <c r="ZH24" s="33"/>
      <c r="ZI24" s="33"/>
      <c r="ZJ24" s="33"/>
      <c r="ZK24" s="33"/>
      <c r="ZL24" s="33"/>
      <c r="ZM24" s="33"/>
      <c r="ZN24" s="33"/>
      <c r="ZO24" s="33"/>
      <c r="ZP24" s="33"/>
      <c r="ZQ24" s="33"/>
      <c r="ZR24" s="33"/>
      <c r="ZS24" s="33"/>
      <c r="ZT24" s="33"/>
      <c r="ZU24" s="33"/>
      <c r="ZV24" s="33"/>
      <c r="ZW24" s="33"/>
      <c r="ZX24" s="33"/>
      <c r="ZY24" s="33"/>
      <c r="ZZ24" s="33"/>
      <c r="AAA24" s="33"/>
      <c r="AAB24" s="33"/>
      <c r="AAC24" s="33"/>
      <c r="AAD24" s="33"/>
      <c r="AAE24" s="33"/>
      <c r="AAF24" s="33"/>
      <c r="AAG24" s="33"/>
      <c r="AAH24" s="33"/>
      <c r="AAI24" s="33"/>
      <c r="AAJ24" s="33"/>
      <c r="AAK24" s="33"/>
      <c r="AAL24" s="33"/>
      <c r="AAM24" s="33"/>
      <c r="AAN24" s="33"/>
      <c r="AAO24" s="33"/>
      <c r="AAP24" s="33"/>
      <c r="AAQ24" s="33"/>
      <c r="AAR24" s="33"/>
      <c r="AAS24" s="33"/>
      <c r="AAT24" s="33"/>
      <c r="AAU24" s="33"/>
      <c r="AAV24" s="33"/>
      <c r="AAW24" s="33"/>
      <c r="AAX24" s="33"/>
      <c r="AAY24" s="33"/>
      <c r="AAZ24" s="33"/>
      <c r="ABA24" s="33"/>
      <c r="ABB24" s="33"/>
      <c r="ABC24" s="33"/>
      <c r="ABD24" s="33"/>
      <c r="ABE24" s="33"/>
      <c r="ABF24" s="33"/>
      <c r="ABG24" s="33"/>
      <c r="ABH24" s="33"/>
      <c r="ABI24" s="33"/>
      <c r="ABJ24" s="33"/>
      <c r="ABK24" s="33"/>
      <c r="ABL24" s="33"/>
      <c r="ABM24" s="33"/>
      <c r="ABN24" s="33"/>
      <c r="ABO24" s="33"/>
      <c r="ABP24" s="33"/>
      <c r="ABQ24" s="33"/>
      <c r="ABR24" s="33"/>
      <c r="ABS24" s="33"/>
      <c r="ABT24" s="33"/>
      <c r="ABU24" s="33"/>
      <c r="ABV24" s="33"/>
      <c r="ABW24" s="33"/>
      <c r="ABX24" s="33"/>
      <c r="ABY24" s="33"/>
      <c r="ABZ24" s="33"/>
      <c r="ACA24" s="33"/>
      <c r="ACB24" s="33"/>
      <c r="ACC24" s="33"/>
      <c r="ACD24" s="33"/>
      <c r="ACE24" s="33"/>
      <c r="ACF24" s="33"/>
      <c r="ACG24" s="33"/>
      <c r="ACH24" s="33"/>
      <c r="ACI24" s="33"/>
      <c r="ACJ24" s="33"/>
      <c r="ACK24" s="33"/>
      <c r="ACL24" s="33"/>
      <c r="ACM24" s="33"/>
      <c r="ACN24" s="33"/>
      <c r="ACO24" s="33"/>
      <c r="ACP24" s="33"/>
      <c r="ACQ24" s="33"/>
      <c r="ACR24" s="33"/>
      <c r="ACS24" s="33"/>
      <c r="ACT24" s="33"/>
      <c r="ACU24" s="33"/>
      <c r="ACV24" s="33"/>
      <c r="ACW24" s="33"/>
      <c r="ACX24" s="33"/>
      <c r="ACY24" s="33"/>
      <c r="ACZ24" s="33"/>
      <c r="ADA24" s="33"/>
      <c r="ADB24" s="33"/>
      <c r="ADC24" s="33"/>
      <c r="ADD24" s="33"/>
      <c r="ADE24" s="33"/>
      <c r="ADF24" s="33"/>
      <c r="ADG24" s="33"/>
      <c r="ADH24" s="33"/>
      <c r="ADI24" s="33"/>
      <c r="ADJ24" s="33"/>
      <c r="ADK24" s="33"/>
      <c r="ADL24" s="33"/>
      <c r="ADM24" s="33"/>
      <c r="ADN24" s="33"/>
      <c r="ADO24" s="33"/>
      <c r="ADP24" s="33"/>
      <c r="ADQ24" s="33"/>
      <c r="ADR24" s="33"/>
      <c r="ADS24" s="33"/>
      <c r="ADT24" s="33"/>
      <c r="ADU24" s="33"/>
      <c r="ADV24" s="33"/>
      <c r="ADW24" s="33"/>
      <c r="ADX24" s="33"/>
      <c r="ADY24" s="33"/>
      <c r="ADZ24" s="33"/>
      <c r="AEA24" s="33"/>
      <c r="AEB24" s="33"/>
      <c r="AEC24" s="33"/>
      <c r="AED24" s="33"/>
      <c r="AEE24" s="33"/>
      <c r="AEF24" s="33"/>
      <c r="AEG24" s="33"/>
      <c r="AEH24" s="33"/>
      <c r="AEI24" s="33"/>
      <c r="AEJ24" s="33"/>
      <c r="AEK24" s="33"/>
      <c r="AEL24" s="33"/>
      <c r="AEM24" s="33"/>
      <c r="AEN24" s="33"/>
      <c r="AEO24" s="33"/>
      <c r="AEP24" s="33"/>
      <c r="AEQ24" s="33"/>
      <c r="AER24" s="33"/>
      <c r="AES24" s="33"/>
      <c r="AET24" s="33"/>
      <c r="AEU24" s="33"/>
      <c r="AEV24" s="33"/>
      <c r="AEW24" s="33"/>
      <c r="AEX24" s="33"/>
      <c r="AEY24" s="33"/>
      <c r="AEZ24" s="33"/>
      <c r="AFA24" s="33"/>
      <c r="AFB24" s="33"/>
      <c r="AFC24" s="33"/>
      <c r="AFD24" s="33"/>
      <c r="AFE24" s="33"/>
      <c r="AFF24" s="33"/>
      <c r="AFG24" s="33"/>
      <c r="AFH24" s="33"/>
      <c r="AFI24" s="33"/>
      <c r="AFJ24" s="33"/>
      <c r="AFK24" s="33"/>
      <c r="AFL24" s="33"/>
      <c r="AFM24" s="33"/>
      <c r="AFN24" s="33"/>
      <c r="AFO24" s="33"/>
      <c r="AFP24" s="33"/>
      <c r="AFQ24" s="33"/>
      <c r="AFR24" s="33"/>
      <c r="AFS24" s="33"/>
      <c r="AFT24" s="33"/>
      <c r="AFU24" s="33"/>
      <c r="AFV24" s="33"/>
      <c r="AFW24" s="33"/>
      <c r="AFX24" s="33"/>
      <c r="AFY24" s="33"/>
      <c r="AFZ24" s="33"/>
      <c r="AGA24" s="33"/>
      <c r="AGB24" s="33"/>
      <c r="AGC24" s="33"/>
      <c r="AGD24" s="33"/>
      <c r="AGE24" s="33"/>
      <c r="AGF24" s="33"/>
      <c r="AGG24" s="33"/>
      <c r="AGH24" s="33"/>
      <c r="AGI24" s="33"/>
      <c r="AGJ24" s="33"/>
      <c r="AGK24" s="33"/>
      <c r="AGL24" s="33"/>
      <c r="AGM24" s="33"/>
      <c r="AGN24" s="33"/>
      <c r="AGO24" s="33"/>
      <c r="AGP24" s="33"/>
      <c r="AGQ24" s="33"/>
      <c r="AGR24" s="33"/>
      <c r="AGS24" s="33"/>
      <c r="AGT24" s="33"/>
      <c r="AGU24" s="33"/>
      <c r="AGV24" s="33"/>
      <c r="AGW24" s="33"/>
      <c r="AGX24" s="33"/>
      <c r="AGY24" s="33"/>
      <c r="AGZ24" s="33"/>
      <c r="AHA24" s="33"/>
      <c r="AHB24" s="33"/>
      <c r="AHC24" s="33"/>
      <c r="AHD24" s="33"/>
      <c r="AHE24" s="33"/>
      <c r="AHF24" s="33"/>
      <c r="AHG24" s="33"/>
      <c r="AHH24" s="33"/>
      <c r="AHI24" s="33"/>
      <c r="AHJ24" s="33"/>
      <c r="AHK24" s="33"/>
      <c r="AHL24" s="33"/>
      <c r="AHM24" s="33"/>
      <c r="AHN24" s="33"/>
      <c r="AHO24" s="33"/>
      <c r="AHP24" s="33"/>
      <c r="AHQ24" s="33"/>
      <c r="AHR24" s="33"/>
      <c r="AHS24" s="33"/>
      <c r="AHT24" s="33"/>
      <c r="AHU24" s="33"/>
      <c r="AHV24" s="33"/>
      <c r="AHW24" s="33"/>
      <c r="AHX24" s="33"/>
      <c r="AHY24" s="33"/>
      <c r="AHZ24" s="33"/>
      <c r="AIA24" s="33"/>
      <c r="AIB24" s="33"/>
      <c r="AIC24" s="33"/>
      <c r="AID24" s="33"/>
      <c r="AIE24" s="33"/>
      <c r="AIF24" s="33"/>
      <c r="AIG24" s="33"/>
      <c r="AIH24" s="33"/>
      <c r="AII24" s="33"/>
      <c r="AIJ24" s="33"/>
      <c r="AIK24" s="33"/>
      <c r="AIL24" s="33"/>
      <c r="AIM24" s="33"/>
      <c r="AIN24" s="33"/>
      <c r="AIO24" s="33"/>
      <c r="AIP24" s="33"/>
      <c r="AIQ24" s="33"/>
      <c r="AIR24" s="33"/>
      <c r="AIS24" s="33"/>
      <c r="AIT24" s="33"/>
      <c r="AIU24" s="33"/>
      <c r="AIV24" s="33"/>
      <c r="AIW24" s="33"/>
      <c r="AIX24" s="33"/>
      <c r="AIY24" s="33"/>
      <c r="AIZ24" s="33"/>
      <c r="AJA24" s="33"/>
      <c r="AJB24" s="33"/>
      <c r="AJC24" s="33"/>
      <c r="AJD24" s="33"/>
      <c r="AJE24" s="33"/>
      <c r="AJF24" s="33"/>
      <c r="AJG24" s="33"/>
      <c r="AJH24" s="33"/>
      <c r="AJI24" s="33"/>
      <c r="AJJ24" s="33"/>
      <c r="AJK24" s="33"/>
      <c r="AJL24" s="33"/>
      <c r="AJM24" s="33"/>
      <c r="AJN24" s="33"/>
      <c r="AJO24" s="33"/>
      <c r="AJP24" s="33"/>
      <c r="AJQ24" s="33"/>
      <c r="AJR24" s="33"/>
      <c r="AJS24" s="33"/>
      <c r="AJT24" s="33"/>
      <c r="AJU24" s="33"/>
      <c r="AJV24" s="33"/>
      <c r="AJW24" s="33"/>
      <c r="AJX24" s="33"/>
      <c r="AJY24" s="33"/>
      <c r="AJZ24" s="33"/>
      <c r="AKA24" s="33"/>
      <c r="AKB24" s="33"/>
      <c r="AKC24" s="33"/>
      <c r="AKD24" s="33"/>
      <c r="AKE24" s="33"/>
      <c r="AKF24" s="33"/>
      <c r="AKG24" s="33"/>
      <c r="AKH24" s="33"/>
      <c r="AKI24" s="33"/>
      <c r="AKJ24" s="33"/>
      <c r="AKK24" s="33"/>
      <c r="AKL24" s="33"/>
      <c r="AKM24" s="33"/>
      <c r="AKN24" s="33"/>
      <c r="AKO24" s="33"/>
      <c r="AKP24" s="33"/>
      <c r="AKQ24" s="33"/>
      <c r="AKR24" s="33"/>
      <c r="AKS24" s="33"/>
      <c r="AKT24" s="33"/>
      <c r="AKU24" s="33"/>
      <c r="AKV24" s="33"/>
      <c r="AKW24" s="33"/>
      <c r="AKX24" s="33"/>
      <c r="AKY24" s="33"/>
      <c r="AKZ24" s="33"/>
      <c r="ALA24" s="33"/>
      <c r="ALB24" s="33"/>
      <c r="ALC24" s="33"/>
      <c r="ALD24" s="33"/>
      <c r="ALE24" s="33"/>
      <c r="ALF24" s="33"/>
      <c r="ALG24" s="33"/>
      <c r="ALH24" s="33"/>
      <c r="ALI24" s="33"/>
      <c r="ALJ24" s="33"/>
      <c r="ALK24" s="33"/>
      <c r="ALL24" s="33"/>
      <c r="ALM24" s="33"/>
      <c r="ALN24" s="33"/>
      <c r="ALO24" s="33"/>
      <c r="ALP24" s="33"/>
      <c r="ALQ24" s="33"/>
      <c r="ALR24" s="33"/>
      <c r="ALS24" s="33"/>
      <c r="ALT24" s="33"/>
      <c r="ALU24" s="33"/>
      <c r="ALV24" s="33"/>
      <c r="ALW24" s="33"/>
      <c r="ALX24" s="33"/>
      <c r="ALY24" s="33"/>
      <c r="ALZ24" s="33"/>
      <c r="AMA24" s="33"/>
      <c r="AMB24" s="33"/>
      <c r="AMC24" s="33"/>
      <c r="AMD24" s="33"/>
      <c r="AME24" s="33"/>
      <c r="AMF24" s="33"/>
      <c r="AMG24" s="33"/>
      <c r="AMH24" s="33"/>
      <c r="AMI24" s="33"/>
      <c r="AMJ24" s="33"/>
      <c r="AMK24" s="33"/>
      <c r="AML24" s="33"/>
      <c r="AMM24" s="33"/>
      <c r="AMN24" s="33"/>
      <c r="AMO24" s="33"/>
      <c r="AMP24" s="33"/>
      <c r="AMQ24" s="33"/>
      <c r="AMR24" s="33"/>
      <c r="AMS24" s="33"/>
      <c r="AMT24" s="33"/>
      <c r="AMU24" s="33"/>
      <c r="AMV24" s="33"/>
      <c r="AMW24" s="33"/>
      <c r="AMX24" s="33"/>
      <c r="AMY24" s="33"/>
      <c r="AMZ24" s="33"/>
      <c r="ANA24" s="33"/>
      <c r="ANB24" s="33"/>
      <c r="ANC24" s="33"/>
      <c r="AND24" s="33"/>
      <c r="ANE24" s="33"/>
      <c r="ANF24" s="33"/>
      <c r="ANG24" s="33"/>
      <c r="ANH24" s="33"/>
      <c r="ANI24" s="33"/>
      <c r="ANJ24" s="33"/>
      <c r="ANK24" s="33"/>
      <c r="ANL24" s="33"/>
      <c r="ANM24" s="33"/>
      <c r="ANN24" s="33"/>
      <c r="ANO24" s="33"/>
      <c r="ANP24" s="33"/>
      <c r="ANQ24" s="33"/>
      <c r="ANR24" s="33"/>
      <c r="ANS24" s="33"/>
      <c r="ANT24" s="33"/>
      <c r="ANU24" s="33"/>
      <c r="ANV24" s="33"/>
      <c r="ANW24" s="33"/>
      <c r="ANX24" s="33"/>
      <c r="ANY24" s="33"/>
      <c r="ANZ24" s="33"/>
      <c r="AOA24" s="33"/>
      <c r="AOB24" s="33"/>
      <c r="AOC24" s="33"/>
      <c r="AOD24" s="33"/>
      <c r="AOE24" s="33"/>
      <c r="AOF24" s="33"/>
      <c r="AOG24" s="33"/>
      <c r="AOH24" s="33"/>
      <c r="AOI24" s="33"/>
      <c r="AOJ24" s="33"/>
      <c r="AOK24" s="33"/>
      <c r="AOL24" s="33"/>
      <c r="AOM24" s="33"/>
      <c r="AON24" s="33"/>
      <c r="AOO24" s="33"/>
      <c r="AOP24" s="33"/>
      <c r="AOQ24" s="33"/>
      <c r="AOR24" s="33"/>
      <c r="AOS24" s="33"/>
      <c r="AOT24" s="33"/>
      <c r="AOU24" s="33"/>
      <c r="AOV24" s="33"/>
      <c r="AOW24" s="33"/>
      <c r="AOX24" s="33"/>
      <c r="AOY24" s="33"/>
      <c r="AOZ24" s="33"/>
      <c r="APA24" s="33"/>
      <c r="APB24" s="33"/>
      <c r="APC24" s="33"/>
      <c r="APD24" s="33"/>
      <c r="APE24" s="33"/>
      <c r="APF24" s="33"/>
      <c r="APG24" s="33"/>
      <c r="APH24" s="33"/>
      <c r="API24" s="33"/>
      <c r="APJ24" s="33"/>
      <c r="APK24" s="33"/>
      <c r="APL24" s="33"/>
      <c r="APM24" s="33"/>
      <c r="APN24" s="33"/>
      <c r="APO24" s="33"/>
      <c r="APP24" s="33"/>
      <c r="APQ24" s="33"/>
      <c r="APR24" s="33"/>
      <c r="APS24" s="33"/>
      <c r="APT24" s="33"/>
      <c r="APU24" s="33"/>
      <c r="APV24" s="33"/>
      <c r="APW24" s="33"/>
      <c r="APX24" s="33"/>
      <c r="APY24" s="33"/>
      <c r="APZ24" s="33"/>
      <c r="AQA24" s="33"/>
      <c r="AQB24" s="33"/>
      <c r="AQC24" s="33"/>
      <c r="AQD24" s="33"/>
      <c r="AQE24" s="33"/>
      <c r="AQF24" s="33"/>
      <c r="AQG24" s="33"/>
      <c r="AQH24" s="33"/>
      <c r="AQI24" s="33"/>
      <c r="AQJ24" s="33"/>
      <c r="AQK24" s="33"/>
      <c r="AQL24" s="33"/>
      <c r="AQM24" s="33"/>
      <c r="AQN24" s="33"/>
      <c r="AQO24" s="33"/>
      <c r="AQP24" s="33"/>
      <c r="AQQ24" s="33"/>
      <c r="AQR24" s="33"/>
      <c r="AQS24" s="33"/>
      <c r="AQT24" s="33"/>
      <c r="AQU24" s="33"/>
      <c r="AQV24" s="33"/>
      <c r="AQW24" s="33"/>
      <c r="AQX24" s="33"/>
      <c r="AQY24" s="33"/>
      <c r="AQZ24" s="33"/>
      <c r="ARA24" s="33"/>
      <c r="ARB24" s="33"/>
      <c r="ARC24" s="33"/>
      <c r="ARD24" s="33"/>
      <c r="ARE24" s="33"/>
      <c r="ARF24" s="33"/>
      <c r="ARG24" s="33"/>
      <c r="ARH24" s="33"/>
      <c r="ARI24" s="33"/>
      <c r="ARJ24" s="33"/>
      <c r="ARK24" s="33"/>
      <c r="ARL24" s="33"/>
      <c r="ARM24" s="33"/>
      <c r="ARN24" s="33"/>
      <c r="ARO24" s="33"/>
      <c r="ARP24" s="33"/>
      <c r="ARQ24" s="33"/>
      <c r="ARR24" s="33"/>
      <c r="ARS24" s="33"/>
      <c r="ART24" s="33"/>
      <c r="ARU24" s="33"/>
      <c r="ARV24" s="33"/>
      <c r="ARW24" s="33"/>
      <c r="ARX24" s="33"/>
      <c r="ARY24" s="33"/>
      <c r="ARZ24" s="33"/>
      <c r="ASA24" s="33"/>
      <c r="ASB24" s="33"/>
      <c r="ASC24" s="33"/>
      <c r="ASD24" s="33"/>
      <c r="ASE24" s="33"/>
      <c r="ASF24" s="33"/>
      <c r="ASG24" s="33"/>
      <c r="ASH24" s="33"/>
      <c r="ASI24" s="33"/>
      <c r="ASJ24" s="33"/>
      <c r="ASK24" s="33"/>
      <c r="ASL24" s="33"/>
      <c r="ASM24" s="33"/>
      <c r="ASN24" s="33"/>
      <c r="ASO24" s="33"/>
      <c r="ASP24" s="33"/>
      <c r="ASQ24" s="33"/>
      <c r="ASR24" s="33"/>
      <c r="ASS24" s="33"/>
      <c r="AST24" s="33"/>
      <c r="ASU24" s="33"/>
      <c r="ASV24" s="33"/>
      <c r="ASW24" s="33"/>
      <c r="ASX24" s="33"/>
      <c r="ASY24" s="33"/>
      <c r="ASZ24" s="33"/>
      <c r="ATA24" s="33"/>
      <c r="ATB24" s="33"/>
      <c r="ATC24" s="33"/>
      <c r="ATD24" s="33"/>
      <c r="ATE24" s="33"/>
      <c r="ATF24" s="33"/>
      <c r="ATG24" s="33"/>
      <c r="ATH24" s="33"/>
      <c r="ATI24" s="33"/>
      <c r="ATJ24" s="33"/>
      <c r="ATK24" s="33"/>
      <c r="ATL24" s="33"/>
      <c r="ATM24" s="33"/>
      <c r="ATN24" s="33"/>
      <c r="ATO24" s="33"/>
      <c r="ATP24" s="33"/>
      <c r="ATQ24" s="33"/>
      <c r="ATR24" s="33"/>
      <c r="ATS24" s="33"/>
      <c r="ATT24" s="33"/>
      <c r="ATU24" s="33"/>
      <c r="ATV24" s="33"/>
      <c r="ATW24" s="33"/>
      <c r="ATX24" s="33"/>
      <c r="ATY24" s="33"/>
      <c r="ATZ24" s="33"/>
      <c r="AUA24" s="33"/>
      <c r="AUB24" s="33"/>
      <c r="AUC24" s="33"/>
      <c r="AUD24" s="33"/>
      <c r="AUE24" s="33"/>
      <c r="AUF24" s="33"/>
      <c r="AUG24" s="33"/>
      <c r="AUH24" s="33"/>
      <c r="AUI24" s="33"/>
      <c r="AUJ24" s="33"/>
      <c r="AUK24" s="33"/>
      <c r="AUL24" s="33"/>
      <c r="AUM24" s="33"/>
      <c r="AUN24" s="33"/>
      <c r="AUO24" s="33"/>
      <c r="AUP24" s="33"/>
      <c r="AUQ24" s="33"/>
      <c r="AUR24" s="33"/>
      <c r="AUS24" s="33"/>
      <c r="AUT24" s="33"/>
      <c r="AUU24" s="33"/>
      <c r="AUV24" s="33"/>
      <c r="AUW24" s="33"/>
      <c r="AUX24" s="33"/>
      <c r="AUY24" s="33"/>
      <c r="AUZ24" s="33"/>
      <c r="AVA24" s="33"/>
      <c r="AVB24" s="33"/>
      <c r="AVC24" s="33"/>
      <c r="AVD24" s="33"/>
      <c r="AVE24" s="33"/>
      <c r="AVF24" s="33"/>
      <c r="AVG24" s="33"/>
      <c r="AVH24" s="33"/>
      <c r="AVI24" s="33"/>
      <c r="AVJ24" s="33"/>
      <c r="AVK24" s="33"/>
      <c r="AVL24" s="33"/>
      <c r="AVM24" s="33"/>
      <c r="AVN24" s="33"/>
      <c r="AVO24" s="33"/>
      <c r="AVP24" s="33"/>
      <c r="AVQ24" s="33"/>
      <c r="AVR24" s="33"/>
      <c r="AVS24" s="33"/>
      <c r="AVT24" s="33"/>
      <c r="AVU24" s="33"/>
      <c r="AVV24" s="33"/>
      <c r="AVW24" s="33"/>
      <c r="AVX24" s="33"/>
      <c r="AVY24" s="33"/>
      <c r="AVZ24" s="33"/>
      <c r="AWA24" s="33"/>
      <c r="AWB24" s="33"/>
      <c r="AWC24" s="33"/>
      <c r="AWD24" s="33"/>
      <c r="AWE24" s="33"/>
      <c r="AWF24" s="33"/>
      <c r="AWG24" s="33"/>
      <c r="AWH24" s="33"/>
      <c r="AWI24" s="33"/>
      <c r="AWJ24" s="33"/>
      <c r="AWK24" s="33"/>
      <c r="AWL24" s="33"/>
      <c r="AWM24" s="33"/>
      <c r="AWN24" s="33"/>
      <c r="AWO24" s="33"/>
      <c r="AWP24" s="33"/>
      <c r="AWQ24" s="33"/>
      <c r="AWR24" s="33"/>
      <c r="AWS24" s="33"/>
      <c r="AWT24" s="33"/>
      <c r="AWU24" s="33"/>
      <c r="AWV24" s="33"/>
      <c r="AWW24" s="33"/>
      <c r="AWX24" s="33"/>
      <c r="AWY24" s="33"/>
      <c r="AWZ24" s="33"/>
      <c r="AXA24" s="33"/>
      <c r="AXB24" s="33"/>
      <c r="AXC24" s="33"/>
      <c r="AXD24" s="33"/>
      <c r="AXE24" s="33"/>
      <c r="AXF24" s="33"/>
      <c r="AXG24" s="33"/>
      <c r="AXH24" s="33"/>
      <c r="AXI24" s="33"/>
      <c r="AXJ24" s="33"/>
      <c r="AXK24" s="33"/>
      <c r="AXL24" s="33"/>
      <c r="AXM24" s="33"/>
      <c r="AXN24" s="33"/>
      <c r="AXO24" s="33"/>
      <c r="AXP24" s="33"/>
      <c r="AXQ24" s="33"/>
      <c r="AXR24" s="33"/>
      <c r="AXS24" s="33"/>
      <c r="AXT24" s="33"/>
      <c r="AXU24" s="33"/>
      <c r="AXV24" s="33"/>
      <c r="AXW24" s="33"/>
      <c r="AXX24" s="33"/>
      <c r="AXY24" s="33"/>
      <c r="AXZ24" s="33"/>
      <c r="AYA24" s="33"/>
      <c r="AYB24" s="33"/>
      <c r="AYC24" s="33"/>
      <c r="AYD24" s="33"/>
      <c r="AYE24" s="33"/>
      <c r="AYF24" s="33"/>
      <c r="AYG24" s="33"/>
      <c r="AYH24" s="33"/>
      <c r="AYI24" s="33"/>
      <c r="AYJ24" s="33"/>
      <c r="AYK24" s="33"/>
      <c r="AYL24" s="33"/>
      <c r="AYM24" s="33"/>
      <c r="AYN24" s="33"/>
      <c r="AYO24" s="33"/>
      <c r="AYP24" s="33"/>
      <c r="AYQ24" s="33"/>
      <c r="AYR24" s="33"/>
      <c r="AYS24" s="33"/>
      <c r="AYT24" s="33"/>
      <c r="AYU24" s="33"/>
      <c r="AYV24" s="33"/>
      <c r="AYW24" s="33"/>
      <c r="AYX24" s="33"/>
      <c r="AYY24" s="33"/>
      <c r="AYZ24" s="33"/>
      <c r="AZA24" s="33"/>
      <c r="AZB24" s="33"/>
      <c r="AZC24" s="33"/>
      <c r="AZD24" s="33"/>
      <c r="AZE24" s="33"/>
      <c r="AZF24" s="33"/>
      <c r="AZG24" s="33"/>
      <c r="AZH24" s="33"/>
      <c r="AZI24" s="33"/>
      <c r="AZJ24" s="33"/>
      <c r="AZK24" s="33"/>
      <c r="AZL24" s="33"/>
      <c r="AZM24" s="33"/>
      <c r="AZN24" s="33"/>
      <c r="AZO24" s="33"/>
      <c r="AZP24" s="33"/>
      <c r="AZQ24" s="33"/>
      <c r="AZR24" s="33"/>
      <c r="AZS24" s="33"/>
      <c r="AZT24" s="33"/>
      <c r="AZU24" s="33"/>
      <c r="AZV24" s="33"/>
      <c r="AZW24" s="33"/>
      <c r="AZX24" s="33"/>
      <c r="AZY24" s="33"/>
      <c r="AZZ24" s="33"/>
      <c r="BAA24" s="33"/>
      <c r="BAB24" s="33"/>
      <c r="BAC24" s="33"/>
      <c r="BAD24" s="33"/>
      <c r="BAE24" s="33"/>
      <c r="BAF24" s="33"/>
      <c r="BAG24" s="33"/>
      <c r="BAH24" s="33"/>
      <c r="BAI24" s="33"/>
      <c r="BAJ24" s="33"/>
      <c r="BAK24" s="33"/>
      <c r="BAL24" s="33"/>
      <c r="BAM24" s="33"/>
      <c r="BAN24" s="33"/>
      <c r="BAO24" s="33"/>
      <c r="BAP24" s="33"/>
      <c r="BAQ24" s="33"/>
      <c r="BAR24" s="33"/>
      <c r="BAS24" s="33"/>
      <c r="BAT24" s="33"/>
      <c r="BAU24" s="33"/>
      <c r="BAV24" s="33"/>
      <c r="BAW24" s="33"/>
      <c r="BAX24" s="33"/>
      <c r="BAY24" s="33"/>
      <c r="BAZ24" s="33"/>
      <c r="BBA24" s="33"/>
      <c r="BBB24" s="33"/>
      <c r="BBC24" s="33"/>
      <c r="BBD24" s="33"/>
      <c r="BBE24" s="33"/>
      <c r="BBF24" s="33"/>
      <c r="BBG24" s="33"/>
      <c r="BBH24" s="33"/>
      <c r="BBI24" s="33"/>
      <c r="BBJ24" s="33"/>
      <c r="BBK24" s="33"/>
      <c r="BBL24" s="33"/>
      <c r="BBM24" s="33"/>
      <c r="BBN24" s="33"/>
      <c r="BBO24" s="33"/>
      <c r="BBP24" s="33"/>
      <c r="BBQ24" s="33"/>
      <c r="BBR24" s="33"/>
      <c r="BBS24" s="33"/>
      <c r="BBT24" s="33"/>
      <c r="BBU24" s="33"/>
      <c r="BBV24" s="33"/>
      <c r="BBW24" s="33"/>
      <c r="BBX24" s="33"/>
      <c r="BBY24" s="33"/>
      <c r="BBZ24" s="33"/>
      <c r="BCA24" s="33"/>
      <c r="BCB24" s="33"/>
      <c r="BCC24" s="33"/>
      <c r="BCD24" s="33"/>
      <c r="BCE24" s="33"/>
      <c r="BCF24" s="33"/>
      <c r="BCG24" s="33"/>
      <c r="BCH24" s="33"/>
      <c r="BCI24" s="33"/>
      <c r="BCJ24" s="33"/>
      <c r="BCK24" s="33"/>
      <c r="BCL24" s="33"/>
      <c r="BCM24" s="33"/>
      <c r="BCN24" s="33"/>
      <c r="BCO24" s="33"/>
      <c r="BCP24" s="33"/>
      <c r="BCQ24" s="33"/>
      <c r="BCR24" s="33"/>
      <c r="BCS24" s="33"/>
      <c r="BCT24" s="33"/>
      <c r="BCU24" s="33"/>
      <c r="BCV24" s="33"/>
      <c r="BCW24" s="33"/>
      <c r="BCX24" s="33"/>
      <c r="BCY24" s="33"/>
      <c r="BCZ24" s="33"/>
      <c r="BDA24" s="33"/>
      <c r="BDB24" s="33"/>
      <c r="BDC24" s="33"/>
      <c r="BDD24" s="33"/>
      <c r="BDE24" s="33"/>
      <c r="BDF24" s="33"/>
      <c r="BDG24" s="33"/>
      <c r="BDH24" s="33"/>
      <c r="BDI24" s="33"/>
      <c r="BDJ24" s="33"/>
      <c r="BDK24" s="33"/>
      <c r="BDL24" s="33"/>
      <c r="BDM24" s="33"/>
      <c r="BDN24" s="33"/>
      <c r="BDO24" s="33"/>
      <c r="BDP24" s="33"/>
      <c r="BDQ24" s="33"/>
      <c r="BDR24" s="33"/>
      <c r="BDS24" s="33"/>
      <c r="BDT24" s="33"/>
      <c r="BDU24" s="33"/>
      <c r="BDV24" s="33"/>
      <c r="BDW24" s="33"/>
      <c r="BDX24" s="33"/>
      <c r="BDY24" s="33"/>
      <c r="BDZ24" s="33"/>
      <c r="BEA24" s="33"/>
      <c r="BEB24" s="33"/>
      <c r="BEC24" s="33"/>
      <c r="BED24" s="33"/>
      <c r="BEE24" s="33"/>
      <c r="BEF24" s="33"/>
      <c r="BEG24" s="33"/>
      <c r="BEH24" s="33"/>
      <c r="BEI24" s="33"/>
      <c r="BEJ24" s="33"/>
      <c r="BEK24" s="33"/>
      <c r="BEL24" s="33"/>
      <c r="BEM24" s="33"/>
      <c r="BEN24" s="33"/>
      <c r="BEO24" s="33"/>
      <c r="BEP24" s="33"/>
      <c r="BEQ24" s="33"/>
      <c r="BER24" s="33"/>
      <c r="BES24" s="33"/>
      <c r="BET24" s="33"/>
      <c r="BEU24" s="33"/>
      <c r="BEV24" s="33"/>
      <c r="BEW24" s="33"/>
      <c r="BEX24" s="33"/>
      <c r="BEY24" s="33"/>
      <c r="BEZ24" s="33"/>
      <c r="BFA24" s="33"/>
      <c r="BFB24" s="33"/>
      <c r="BFC24" s="33"/>
      <c r="BFD24" s="33"/>
      <c r="BFE24" s="33"/>
      <c r="BFF24" s="33"/>
      <c r="BFG24" s="33"/>
      <c r="BFH24" s="33"/>
      <c r="BFI24" s="33"/>
      <c r="BFJ24" s="33"/>
      <c r="BFK24" s="33"/>
      <c r="BFL24" s="33"/>
      <c r="BFM24" s="33"/>
      <c r="BFN24" s="33"/>
      <c r="BFO24" s="33"/>
      <c r="BFP24" s="33"/>
      <c r="BFQ24" s="33"/>
      <c r="BFR24" s="33"/>
      <c r="BFS24" s="33"/>
      <c r="BFT24" s="33"/>
      <c r="BFU24" s="33"/>
      <c r="BFV24" s="33"/>
      <c r="BFW24" s="33"/>
      <c r="BFX24" s="33"/>
      <c r="BFY24" s="33"/>
      <c r="BFZ24" s="33"/>
      <c r="BGA24" s="33"/>
      <c r="BGB24" s="33"/>
      <c r="BGC24" s="33"/>
      <c r="BGD24" s="33"/>
      <c r="BGE24" s="33"/>
      <c r="BGF24" s="33"/>
      <c r="BGG24" s="33"/>
      <c r="BGH24" s="33"/>
      <c r="BGI24" s="33"/>
      <c r="BGJ24" s="33"/>
      <c r="BGK24" s="33"/>
      <c r="BGL24" s="33"/>
      <c r="BGM24" s="33"/>
      <c r="BGN24" s="33"/>
      <c r="BGO24" s="33"/>
      <c r="BGP24" s="33"/>
      <c r="BGQ24" s="33"/>
      <c r="BGR24" s="33"/>
      <c r="BGS24" s="33"/>
      <c r="BGT24" s="33"/>
      <c r="BGU24" s="33"/>
      <c r="BGV24" s="33"/>
      <c r="BGW24" s="33"/>
      <c r="BGX24" s="33"/>
      <c r="BGY24" s="33"/>
      <c r="BGZ24" s="33"/>
      <c r="BHA24" s="33"/>
      <c r="BHB24" s="33"/>
      <c r="BHC24" s="33"/>
      <c r="BHD24" s="33"/>
      <c r="BHE24" s="33"/>
      <c r="BHF24" s="33"/>
      <c r="BHG24" s="33"/>
      <c r="BHH24" s="33"/>
      <c r="BHI24" s="33"/>
      <c r="BHJ24" s="33"/>
      <c r="BHK24" s="33"/>
      <c r="BHL24" s="33"/>
      <c r="BHM24" s="33"/>
      <c r="BHN24" s="33"/>
      <c r="BHO24" s="33"/>
      <c r="BHP24" s="33"/>
      <c r="BHQ24" s="33"/>
      <c r="BHR24" s="33"/>
      <c r="BHS24" s="33"/>
      <c r="BHT24" s="33"/>
      <c r="BHU24" s="33"/>
      <c r="BHV24" s="33"/>
      <c r="BHW24" s="33"/>
      <c r="BHX24" s="33"/>
      <c r="BHY24" s="33"/>
      <c r="BHZ24" s="33"/>
      <c r="BIA24" s="33"/>
      <c r="BIB24" s="33"/>
      <c r="BIC24" s="33"/>
      <c r="BID24" s="33"/>
      <c r="BIE24" s="33"/>
      <c r="BIF24" s="33"/>
      <c r="BIG24" s="33"/>
      <c r="BIH24" s="33"/>
      <c r="BII24" s="33"/>
      <c r="BIJ24" s="33"/>
      <c r="BIK24" s="33"/>
      <c r="BIL24" s="33"/>
      <c r="BIM24" s="33"/>
      <c r="BIN24" s="33"/>
      <c r="BIO24" s="33"/>
      <c r="BIP24" s="33"/>
      <c r="BIQ24" s="33"/>
      <c r="BIR24" s="33"/>
      <c r="BIS24" s="33"/>
      <c r="BIT24" s="33"/>
      <c r="BIU24" s="33"/>
      <c r="BIV24" s="33"/>
      <c r="BIW24" s="33"/>
      <c r="BIX24" s="33"/>
      <c r="BIY24" s="33"/>
      <c r="BIZ24" s="33"/>
      <c r="BJA24" s="33"/>
      <c r="BJB24" s="33"/>
      <c r="BJC24" s="33"/>
      <c r="BJD24" s="33"/>
      <c r="BJE24" s="33"/>
      <c r="BJF24" s="33"/>
      <c r="BJG24" s="33"/>
      <c r="BJH24" s="33"/>
      <c r="BJI24" s="33"/>
      <c r="BJJ24" s="33"/>
      <c r="BJK24" s="33"/>
      <c r="BJL24" s="33"/>
      <c r="BJM24" s="33"/>
      <c r="BJN24" s="33"/>
      <c r="BJO24" s="33"/>
      <c r="BJP24" s="33"/>
      <c r="BJQ24" s="33"/>
      <c r="BJR24" s="33"/>
      <c r="BJS24" s="33"/>
      <c r="BJT24" s="33"/>
      <c r="BJU24" s="33"/>
      <c r="BJV24" s="33"/>
      <c r="BJW24" s="33"/>
      <c r="BJX24" s="33"/>
      <c r="BJY24" s="33"/>
      <c r="BJZ24" s="33"/>
      <c r="BKA24" s="33"/>
      <c r="BKB24" s="33"/>
      <c r="BKC24" s="33"/>
      <c r="BKD24" s="33"/>
      <c r="BKE24" s="33"/>
      <c r="BKF24" s="33"/>
      <c r="BKG24" s="33"/>
      <c r="BKH24" s="33"/>
      <c r="BKI24" s="33"/>
      <c r="BKJ24" s="33"/>
      <c r="BKK24" s="33"/>
      <c r="BKL24" s="33"/>
      <c r="BKM24" s="33"/>
      <c r="BKN24" s="33"/>
      <c r="BKO24" s="33"/>
      <c r="BKP24" s="33"/>
      <c r="BKQ24" s="33"/>
      <c r="BKR24" s="33"/>
      <c r="BKS24" s="33"/>
      <c r="BKT24" s="33"/>
      <c r="BKU24" s="33"/>
      <c r="BKV24" s="33"/>
      <c r="BKW24" s="33"/>
      <c r="BKX24" s="33"/>
      <c r="BKY24" s="33"/>
      <c r="BKZ24" s="33"/>
      <c r="BLA24" s="33"/>
      <c r="BLB24" s="33"/>
      <c r="BLC24" s="33"/>
      <c r="BLD24" s="33"/>
      <c r="BLE24" s="33"/>
      <c r="BLF24" s="33"/>
      <c r="BLG24" s="33"/>
      <c r="BLH24" s="33"/>
      <c r="BLI24" s="33"/>
      <c r="BLJ24" s="33"/>
      <c r="BLK24" s="33"/>
      <c r="BLL24" s="33"/>
      <c r="BLM24" s="33"/>
      <c r="BLN24" s="33"/>
      <c r="BLO24" s="33"/>
      <c r="BLP24" s="33"/>
      <c r="BLQ24" s="33"/>
      <c r="BLR24" s="33"/>
      <c r="BLS24" s="33"/>
      <c r="BLT24" s="33"/>
      <c r="BLU24" s="33"/>
      <c r="BLV24" s="33"/>
      <c r="BLW24" s="33"/>
      <c r="BLX24" s="33"/>
      <c r="BLY24" s="33"/>
      <c r="BLZ24" s="33"/>
      <c r="BMA24" s="33"/>
      <c r="BMB24" s="33"/>
      <c r="BMC24" s="33"/>
      <c r="BMD24" s="33"/>
      <c r="BME24" s="33"/>
      <c r="BMF24" s="33"/>
      <c r="BMG24" s="33"/>
      <c r="BMH24" s="33"/>
      <c r="BMI24" s="33"/>
      <c r="BMJ24" s="33"/>
      <c r="BMK24" s="33"/>
      <c r="BML24" s="33"/>
      <c r="BMM24" s="33"/>
      <c r="BMN24" s="33"/>
      <c r="BMO24" s="33"/>
      <c r="BMP24" s="33"/>
      <c r="BMQ24" s="33"/>
      <c r="BMR24" s="33"/>
      <c r="BMS24" s="33"/>
      <c r="BMT24" s="33"/>
      <c r="BMU24" s="33"/>
      <c r="BMV24" s="33"/>
      <c r="BMW24" s="33"/>
      <c r="BMX24" s="33"/>
      <c r="BMY24" s="33"/>
      <c r="BMZ24" s="33"/>
      <c r="BNA24" s="33"/>
      <c r="BNB24" s="33"/>
      <c r="BNC24" s="33"/>
      <c r="BND24" s="33"/>
      <c r="BNE24" s="33"/>
      <c r="BNF24" s="33"/>
      <c r="BNG24" s="33"/>
      <c r="BNH24" s="33"/>
      <c r="BNI24" s="33"/>
      <c r="BNJ24" s="33"/>
      <c r="BNK24" s="33"/>
      <c r="BNL24" s="33"/>
      <c r="BNM24" s="33"/>
      <c r="BNN24" s="33"/>
      <c r="BNO24" s="33"/>
      <c r="BNP24" s="33"/>
      <c r="BNQ24" s="33"/>
      <c r="BNR24" s="33"/>
      <c r="BNS24" s="33"/>
      <c r="BNT24" s="33"/>
      <c r="BNU24" s="33"/>
      <c r="BNV24" s="33"/>
      <c r="BNW24" s="33"/>
      <c r="BNX24" s="33"/>
      <c r="BNY24" s="33"/>
      <c r="BNZ24" s="33"/>
      <c r="BOA24" s="33"/>
      <c r="BOB24" s="33"/>
      <c r="BOC24" s="33"/>
      <c r="BOD24" s="33"/>
      <c r="BOE24" s="33"/>
      <c r="BOF24" s="33"/>
      <c r="BOG24" s="33"/>
      <c r="BOH24" s="33"/>
      <c r="BOI24" s="33"/>
      <c r="BOJ24" s="33"/>
      <c r="BOK24" s="33"/>
      <c r="BOL24" s="33"/>
      <c r="BOM24" s="33"/>
      <c r="BON24" s="33"/>
      <c r="BOO24" s="33"/>
      <c r="BOP24" s="33"/>
      <c r="BOQ24" s="33"/>
      <c r="BOR24" s="33"/>
      <c r="BOS24" s="33"/>
      <c r="BOT24" s="33"/>
      <c r="BOU24" s="33"/>
      <c r="BOV24" s="33"/>
      <c r="BOW24" s="33"/>
      <c r="BOX24" s="33"/>
      <c r="BOY24" s="33"/>
      <c r="BOZ24" s="33"/>
      <c r="BPA24" s="33"/>
      <c r="BPB24" s="33"/>
      <c r="BPC24" s="82"/>
    </row>
    <row r="25" s="35" customFormat="1" ht="60" customHeight="1" spans="1:1024 1025:1771">
      <c r="A25" s="78" t="s">
        <v>73</v>
      </c>
      <c r="B25" s="75" t="s">
        <v>74</v>
      </c>
      <c r="C25" s="75" t="s">
        <v>75</v>
      </c>
      <c r="D25" s="75" t="s">
        <v>76</v>
      </c>
      <c r="E25" s="75"/>
      <c r="F25" s="75"/>
      <c r="G25" s="79"/>
      <c r="H25" s="76">
        <f ca="1" t="shared" si="0"/>
        <v>46175</v>
      </c>
      <c r="I25" s="80" t="s">
        <v>7</v>
      </c>
      <c r="J25" s="79"/>
      <c r="K25" s="34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33"/>
      <c r="ML25" s="33"/>
      <c r="MM25" s="33"/>
      <c r="MN25" s="33"/>
      <c r="MO25" s="33"/>
      <c r="MP25" s="33"/>
      <c r="MQ25" s="33"/>
      <c r="MR25" s="33"/>
      <c r="MS25" s="33"/>
      <c r="MT25" s="33"/>
      <c r="MU25" s="33"/>
      <c r="MV25" s="33"/>
      <c r="MW25" s="33"/>
      <c r="MX25" s="33"/>
      <c r="MY25" s="33"/>
      <c r="MZ25" s="33"/>
      <c r="NA25" s="33"/>
      <c r="NB25" s="33"/>
      <c r="NC25" s="33"/>
      <c r="ND25" s="33"/>
      <c r="NE25" s="33"/>
      <c r="NF25" s="33"/>
      <c r="NG25" s="33"/>
      <c r="NH25" s="33"/>
      <c r="NI25" s="33"/>
      <c r="NJ25" s="33"/>
      <c r="NK25" s="33"/>
      <c r="NL25" s="33"/>
      <c r="NM25" s="33"/>
      <c r="NN25" s="33"/>
      <c r="NO25" s="33"/>
      <c r="NP25" s="33"/>
      <c r="NQ25" s="33"/>
      <c r="NR25" s="33"/>
      <c r="NS25" s="33"/>
      <c r="NT25" s="33"/>
      <c r="NU25" s="33"/>
      <c r="NV25" s="33"/>
      <c r="NW25" s="33"/>
      <c r="NX25" s="33"/>
      <c r="NY25" s="33"/>
      <c r="NZ25" s="33"/>
      <c r="OA25" s="33"/>
      <c r="OB25" s="33"/>
      <c r="OC25" s="33"/>
      <c r="OD25" s="33"/>
      <c r="OE25" s="33"/>
      <c r="OF25" s="33"/>
      <c r="OG25" s="33"/>
      <c r="OH25" s="33"/>
      <c r="OI25" s="33"/>
      <c r="OJ25" s="33"/>
      <c r="OK25" s="33"/>
      <c r="OL25" s="33"/>
      <c r="OM25" s="33"/>
      <c r="ON25" s="33"/>
      <c r="OO25" s="33"/>
      <c r="OP25" s="33"/>
      <c r="OQ25" s="33"/>
      <c r="OR25" s="33"/>
      <c r="OS25" s="33"/>
      <c r="OT25" s="33"/>
      <c r="OU25" s="33"/>
      <c r="OV25" s="33"/>
      <c r="OW25" s="33"/>
      <c r="OX25" s="33"/>
      <c r="OY25" s="33"/>
      <c r="OZ25" s="33"/>
      <c r="PA25" s="33"/>
      <c r="PB25" s="33"/>
      <c r="PC25" s="33"/>
      <c r="PD25" s="33"/>
      <c r="PE25" s="33"/>
      <c r="PF25" s="33"/>
      <c r="PG25" s="33"/>
      <c r="PH25" s="33"/>
      <c r="PI25" s="33"/>
      <c r="PJ25" s="33"/>
      <c r="PK25" s="33"/>
      <c r="PL25" s="33"/>
      <c r="PM25" s="33"/>
      <c r="PN25" s="33"/>
      <c r="PO25" s="33"/>
      <c r="PP25" s="33"/>
      <c r="PQ25" s="33"/>
      <c r="PR25" s="33"/>
      <c r="PS25" s="33"/>
      <c r="PT25" s="33"/>
      <c r="PU25" s="33"/>
      <c r="PV25" s="33"/>
      <c r="PW25" s="33"/>
      <c r="PX25" s="33"/>
      <c r="PY25" s="33"/>
      <c r="PZ25" s="33"/>
      <c r="QA25" s="33"/>
      <c r="QB25" s="33"/>
      <c r="QC25" s="33"/>
      <c r="QD25" s="33"/>
      <c r="QE25" s="33"/>
      <c r="QF25" s="33"/>
      <c r="QG25" s="33"/>
      <c r="QH25" s="33"/>
      <c r="QI25" s="33"/>
      <c r="QJ25" s="33"/>
      <c r="QK25" s="33"/>
      <c r="QL25" s="33"/>
      <c r="QM25" s="33"/>
      <c r="QN25" s="33"/>
      <c r="QO25" s="33"/>
      <c r="QP25" s="33"/>
      <c r="QQ25" s="33"/>
      <c r="QR25" s="33"/>
      <c r="QS25" s="33"/>
      <c r="QT25" s="33"/>
      <c r="QU25" s="33"/>
      <c r="QV25" s="33"/>
      <c r="QW25" s="33"/>
      <c r="QX25" s="33"/>
      <c r="QY25" s="33"/>
      <c r="QZ25" s="33"/>
      <c r="RA25" s="33"/>
      <c r="RB25" s="33"/>
      <c r="RC25" s="33"/>
      <c r="RD25" s="33"/>
      <c r="RE25" s="33"/>
      <c r="RF25" s="33"/>
      <c r="RG25" s="33"/>
      <c r="RH25" s="33"/>
      <c r="RI25" s="33"/>
      <c r="RJ25" s="33"/>
      <c r="RK25" s="33"/>
      <c r="RL25" s="33"/>
      <c r="RM25" s="33"/>
      <c r="RN25" s="33"/>
      <c r="RO25" s="33"/>
      <c r="RP25" s="33"/>
      <c r="RQ25" s="33"/>
      <c r="RR25" s="33"/>
      <c r="RS25" s="33"/>
      <c r="RT25" s="33"/>
      <c r="RU25" s="33"/>
      <c r="RV25" s="33"/>
      <c r="RW25" s="33"/>
      <c r="RX25" s="33"/>
      <c r="RY25" s="33"/>
      <c r="RZ25" s="33"/>
      <c r="SA25" s="33"/>
      <c r="SB25" s="33"/>
      <c r="SC25" s="33"/>
      <c r="SD25" s="33"/>
      <c r="SE25" s="33"/>
      <c r="SF25" s="33"/>
      <c r="SG25" s="33"/>
      <c r="SH25" s="33"/>
      <c r="SI25" s="33"/>
      <c r="SJ25" s="33"/>
      <c r="SK25" s="33"/>
      <c r="SL25" s="33"/>
      <c r="SM25" s="33"/>
      <c r="SN25" s="33"/>
      <c r="SO25" s="33"/>
      <c r="SP25" s="33"/>
      <c r="SQ25" s="33"/>
      <c r="SR25" s="33"/>
      <c r="SS25" s="33"/>
      <c r="ST25" s="33"/>
      <c r="SU25" s="33"/>
      <c r="SV25" s="33"/>
      <c r="SW25" s="33"/>
      <c r="SX25" s="33"/>
      <c r="SY25" s="33"/>
      <c r="SZ25" s="33"/>
      <c r="TA25" s="33"/>
      <c r="TB25" s="33"/>
      <c r="TC25" s="33"/>
      <c r="TD25" s="33"/>
      <c r="TE25" s="33"/>
      <c r="TF25" s="33"/>
      <c r="TG25" s="33"/>
      <c r="TH25" s="33"/>
      <c r="TI25" s="33"/>
      <c r="TJ25" s="33"/>
      <c r="TK25" s="33"/>
      <c r="TL25" s="33"/>
      <c r="TM25" s="33"/>
      <c r="TN25" s="33"/>
      <c r="TO25" s="33"/>
      <c r="TP25" s="33"/>
      <c r="TQ25" s="33"/>
      <c r="TR25" s="33"/>
      <c r="TS25" s="33"/>
      <c r="TT25" s="33"/>
      <c r="TU25" s="33"/>
      <c r="TV25" s="33"/>
      <c r="TW25" s="33"/>
      <c r="TX25" s="33"/>
      <c r="TY25" s="33"/>
      <c r="TZ25" s="33"/>
      <c r="UA25" s="33"/>
      <c r="UB25" s="33"/>
      <c r="UC25" s="33"/>
      <c r="UD25" s="33"/>
      <c r="UE25" s="33"/>
      <c r="UF25" s="33"/>
      <c r="UG25" s="33"/>
      <c r="UH25" s="33"/>
      <c r="UI25" s="33"/>
      <c r="UJ25" s="33"/>
      <c r="UK25" s="33"/>
      <c r="UL25" s="33"/>
      <c r="UM25" s="33"/>
      <c r="UN25" s="33"/>
      <c r="UO25" s="33"/>
      <c r="UP25" s="33"/>
      <c r="UQ25" s="33"/>
      <c r="UR25" s="33"/>
      <c r="US25" s="33"/>
      <c r="UT25" s="33"/>
      <c r="UU25" s="33"/>
      <c r="UV25" s="33"/>
      <c r="UW25" s="33"/>
      <c r="UX25" s="33"/>
      <c r="UY25" s="33"/>
      <c r="UZ25" s="33"/>
      <c r="VA25" s="33"/>
      <c r="VB25" s="33"/>
      <c r="VC25" s="33"/>
      <c r="VD25" s="33"/>
      <c r="VE25" s="33"/>
      <c r="VF25" s="33"/>
      <c r="VG25" s="33"/>
      <c r="VH25" s="33"/>
      <c r="VI25" s="33"/>
      <c r="VJ25" s="33"/>
      <c r="VK25" s="33"/>
      <c r="VL25" s="33"/>
      <c r="VM25" s="33"/>
      <c r="VN25" s="33"/>
      <c r="VO25" s="33"/>
      <c r="VP25" s="33"/>
      <c r="VQ25" s="33"/>
      <c r="VR25" s="33"/>
      <c r="VS25" s="33"/>
      <c r="VT25" s="33"/>
      <c r="VU25" s="33"/>
      <c r="VV25" s="33"/>
      <c r="VW25" s="33"/>
      <c r="VX25" s="33"/>
      <c r="VY25" s="33"/>
      <c r="VZ25" s="33"/>
      <c r="WA25" s="33"/>
      <c r="WB25" s="33"/>
      <c r="WC25" s="33"/>
      <c r="WD25" s="33"/>
      <c r="WE25" s="33"/>
      <c r="WF25" s="33"/>
      <c r="WG25" s="33"/>
      <c r="WH25" s="33"/>
      <c r="WI25" s="33"/>
      <c r="WJ25" s="33"/>
      <c r="WK25" s="33"/>
      <c r="WL25" s="33"/>
      <c r="WM25" s="33"/>
      <c r="WN25" s="33"/>
      <c r="WO25" s="33"/>
      <c r="WP25" s="33"/>
      <c r="WQ25" s="33"/>
      <c r="WR25" s="33"/>
      <c r="WS25" s="33"/>
      <c r="WT25" s="33"/>
      <c r="WU25" s="33"/>
      <c r="WV25" s="33"/>
      <c r="WW25" s="33"/>
      <c r="WX25" s="33"/>
      <c r="WY25" s="33"/>
      <c r="WZ25" s="33"/>
      <c r="XA25" s="33"/>
      <c r="XB25" s="33"/>
      <c r="XC25" s="33"/>
      <c r="XD25" s="33"/>
      <c r="XE25" s="33"/>
      <c r="XF25" s="33"/>
      <c r="XG25" s="33"/>
      <c r="XH25" s="33"/>
      <c r="XI25" s="33"/>
      <c r="XJ25" s="33"/>
      <c r="XK25" s="33"/>
      <c r="XL25" s="33"/>
      <c r="XM25" s="33"/>
      <c r="XN25" s="33"/>
      <c r="XO25" s="33"/>
      <c r="XP25" s="33"/>
      <c r="XQ25" s="33"/>
      <c r="XR25" s="33"/>
      <c r="XS25" s="33"/>
      <c r="XT25" s="33"/>
      <c r="XU25" s="33"/>
      <c r="XV25" s="33"/>
      <c r="XW25" s="33"/>
      <c r="XX25" s="33"/>
      <c r="XY25" s="33"/>
      <c r="XZ25" s="33"/>
      <c r="YA25" s="33"/>
      <c r="YB25" s="33"/>
      <c r="YC25" s="33"/>
      <c r="YD25" s="33"/>
      <c r="YE25" s="33"/>
      <c r="YF25" s="33"/>
      <c r="YG25" s="33"/>
      <c r="YH25" s="33"/>
      <c r="YI25" s="33"/>
      <c r="YJ25" s="33"/>
      <c r="YK25" s="33"/>
      <c r="YL25" s="33"/>
      <c r="YM25" s="33"/>
      <c r="YN25" s="33"/>
      <c r="YO25" s="33"/>
      <c r="YP25" s="33"/>
      <c r="YQ25" s="33"/>
      <c r="YR25" s="33"/>
      <c r="YS25" s="33"/>
      <c r="YT25" s="33"/>
      <c r="YU25" s="33"/>
      <c r="YV25" s="33"/>
      <c r="YW25" s="33"/>
      <c r="YX25" s="33"/>
      <c r="YY25" s="33"/>
      <c r="YZ25" s="33"/>
      <c r="ZA25" s="33"/>
      <c r="ZB25" s="33"/>
      <c r="ZC25" s="33"/>
      <c r="ZD25" s="33"/>
      <c r="ZE25" s="33"/>
      <c r="ZF25" s="33"/>
      <c r="ZG25" s="33"/>
      <c r="ZH25" s="33"/>
      <c r="ZI25" s="33"/>
      <c r="ZJ25" s="33"/>
      <c r="ZK25" s="33"/>
      <c r="ZL25" s="33"/>
      <c r="ZM25" s="33"/>
      <c r="ZN25" s="33"/>
      <c r="ZO25" s="33"/>
      <c r="ZP25" s="33"/>
      <c r="ZQ25" s="33"/>
      <c r="ZR25" s="33"/>
      <c r="ZS25" s="33"/>
      <c r="ZT25" s="33"/>
      <c r="ZU25" s="33"/>
      <c r="ZV25" s="33"/>
      <c r="ZW25" s="33"/>
      <c r="ZX25" s="33"/>
      <c r="ZY25" s="33"/>
      <c r="ZZ25" s="33"/>
      <c r="AAA25" s="33"/>
      <c r="AAB25" s="33"/>
      <c r="AAC25" s="33"/>
      <c r="AAD25" s="33"/>
      <c r="AAE25" s="33"/>
      <c r="AAF25" s="33"/>
      <c r="AAG25" s="33"/>
      <c r="AAH25" s="33"/>
      <c r="AAI25" s="33"/>
      <c r="AAJ25" s="33"/>
      <c r="AAK25" s="33"/>
      <c r="AAL25" s="33"/>
      <c r="AAM25" s="33"/>
      <c r="AAN25" s="33"/>
      <c r="AAO25" s="33"/>
      <c r="AAP25" s="33"/>
      <c r="AAQ25" s="33"/>
      <c r="AAR25" s="33"/>
      <c r="AAS25" s="33"/>
      <c r="AAT25" s="33"/>
      <c r="AAU25" s="33"/>
      <c r="AAV25" s="33"/>
      <c r="AAW25" s="33"/>
      <c r="AAX25" s="33"/>
      <c r="AAY25" s="33"/>
      <c r="AAZ25" s="33"/>
      <c r="ABA25" s="33"/>
      <c r="ABB25" s="33"/>
      <c r="ABC25" s="33"/>
      <c r="ABD25" s="33"/>
      <c r="ABE25" s="33"/>
      <c r="ABF25" s="33"/>
      <c r="ABG25" s="33"/>
      <c r="ABH25" s="33"/>
      <c r="ABI25" s="33"/>
      <c r="ABJ25" s="33"/>
      <c r="ABK25" s="33"/>
      <c r="ABL25" s="33"/>
      <c r="ABM25" s="33"/>
      <c r="ABN25" s="33"/>
      <c r="ABO25" s="33"/>
      <c r="ABP25" s="33"/>
      <c r="ABQ25" s="33"/>
      <c r="ABR25" s="33"/>
      <c r="ABS25" s="33"/>
      <c r="ABT25" s="33"/>
      <c r="ABU25" s="33"/>
      <c r="ABV25" s="33"/>
      <c r="ABW25" s="33"/>
      <c r="ABX25" s="33"/>
      <c r="ABY25" s="33"/>
      <c r="ABZ25" s="33"/>
      <c r="ACA25" s="33"/>
      <c r="ACB25" s="33"/>
      <c r="ACC25" s="33"/>
      <c r="ACD25" s="33"/>
      <c r="ACE25" s="33"/>
      <c r="ACF25" s="33"/>
      <c r="ACG25" s="33"/>
      <c r="ACH25" s="33"/>
      <c r="ACI25" s="33"/>
      <c r="ACJ25" s="33"/>
      <c r="ACK25" s="33"/>
      <c r="ACL25" s="33"/>
      <c r="ACM25" s="33"/>
      <c r="ACN25" s="33"/>
      <c r="ACO25" s="33"/>
      <c r="ACP25" s="33"/>
      <c r="ACQ25" s="33"/>
      <c r="ACR25" s="33"/>
      <c r="ACS25" s="33"/>
      <c r="ACT25" s="33"/>
      <c r="ACU25" s="33"/>
      <c r="ACV25" s="33"/>
      <c r="ACW25" s="33"/>
      <c r="ACX25" s="33"/>
      <c r="ACY25" s="33"/>
      <c r="ACZ25" s="33"/>
      <c r="ADA25" s="33"/>
      <c r="ADB25" s="33"/>
      <c r="ADC25" s="33"/>
      <c r="ADD25" s="33"/>
      <c r="ADE25" s="33"/>
      <c r="ADF25" s="33"/>
      <c r="ADG25" s="33"/>
      <c r="ADH25" s="33"/>
      <c r="ADI25" s="33"/>
      <c r="ADJ25" s="33"/>
      <c r="ADK25" s="33"/>
      <c r="ADL25" s="33"/>
      <c r="ADM25" s="33"/>
      <c r="ADN25" s="33"/>
      <c r="ADO25" s="33"/>
      <c r="ADP25" s="33"/>
      <c r="ADQ25" s="33"/>
      <c r="ADR25" s="33"/>
      <c r="ADS25" s="33"/>
      <c r="ADT25" s="33"/>
      <c r="ADU25" s="33"/>
      <c r="ADV25" s="33"/>
      <c r="ADW25" s="33"/>
      <c r="ADX25" s="33"/>
      <c r="ADY25" s="33"/>
      <c r="ADZ25" s="33"/>
      <c r="AEA25" s="33"/>
      <c r="AEB25" s="33"/>
      <c r="AEC25" s="33"/>
      <c r="AED25" s="33"/>
      <c r="AEE25" s="33"/>
      <c r="AEF25" s="33"/>
      <c r="AEG25" s="33"/>
      <c r="AEH25" s="33"/>
      <c r="AEI25" s="33"/>
      <c r="AEJ25" s="33"/>
      <c r="AEK25" s="33"/>
      <c r="AEL25" s="33"/>
      <c r="AEM25" s="33"/>
      <c r="AEN25" s="33"/>
      <c r="AEO25" s="33"/>
      <c r="AEP25" s="33"/>
      <c r="AEQ25" s="33"/>
      <c r="AER25" s="33"/>
      <c r="AES25" s="33"/>
      <c r="AET25" s="33"/>
      <c r="AEU25" s="33"/>
      <c r="AEV25" s="33"/>
      <c r="AEW25" s="33"/>
      <c r="AEX25" s="33"/>
      <c r="AEY25" s="33"/>
      <c r="AEZ25" s="33"/>
      <c r="AFA25" s="33"/>
      <c r="AFB25" s="33"/>
      <c r="AFC25" s="33"/>
      <c r="AFD25" s="33"/>
      <c r="AFE25" s="33"/>
      <c r="AFF25" s="33"/>
      <c r="AFG25" s="33"/>
      <c r="AFH25" s="33"/>
      <c r="AFI25" s="33"/>
      <c r="AFJ25" s="33"/>
      <c r="AFK25" s="33"/>
      <c r="AFL25" s="33"/>
      <c r="AFM25" s="33"/>
      <c r="AFN25" s="33"/>
      <c r="AFO25" s="33"/>
      <c r="AFP25" s="33"/>
      <c r="AFQ25" s="33"/>
      <c r="AFR25" s="33"/>
      <c r="AFS25" s="33"/>
      <c r="AFT25" s="33"/>
      <c r="AFU25" s="33"/>
      <c r="AFV25" s="33"/>
      <c r="AFW25" s="33"/>
      <c r="AFX25" s="33"/>
      <c r="AFY25" s="33"/>
      <c r="AFZ25" s="33"/>
      <c r="AGA25" s="33"/>
      <c r="AGB25" s="33"/>
      <c r="AGC25" s="33"/>
      <c r="AGD25" s="33"/>
      <c r="AGE25" s="33"/>
      <c r="AGF25" s="33"/>
      <c r="AGG25" s="33"/>
      <c r="AGH25" s="33"/>
      <c r="AGI25" s="33"/>
      <c r="AGJ25" s="33"/>
      <c r="AGK25" s="33"/>
      <c r="AGL25" s="33"/>
      <c r="AGM25" s="33"/>
      <c r="AGN25" s="33"/>
      <c r="AGO25" s="33"/>
      <c r="AGP25" s="33"/>
      <c r="AGQ25" s="33"/>
      <c r="AGR25" s="33"/>
      <c r="AGS25" s="33"/>
      <c r="AGT25" s="33"/>
      <c r="AGU25" s="33"/>
      <c r="AGV25" s="33"/>
      <c r="AGW25" s="33"/>
      <c r="AGX25" s="33"/>
      <c r="AGY25" s="33"/>
      <c r="AGZ25" s="33"/>
      <c r="AHA25" s="33"/>
      <c r="AHB25" s="33"/>
      <c r="AHC25" s="33"/>
      <c r="AHD25" s="33"/>
      <c r="AHE25" s="33"/>
      <c r="AHF25" s="33"/>
      <c r="AHG25" s="33"/>
      <c r="AHH25" s="33"/>
      <c r="AHI25" s="33"/>
      <c r="AHJ25" s="33"/>
      <c r="AHK25" s="33"/>
      <c r="AHL25" s="33"/>
      <c r="AHM25" s="33"/>
      <c r="AHN25" s="33"/>
      <c r="AHO25" s="33"/>
      <c r="AHP25" s="33"/>
      <c r="AHQ25" s="33"/>
      <c r="AHR25" s="33"/>
      <c r="AHS25" s="33"/>
      <c r="AHT25" s="33"/>
      <c r="AHU25" s="33"/>
      <c r="AHV25" s="33"/>
      <c r="AHW25" s="33"/>
      <c r="AHX25" s="33"/>
      <c r="AHY25" s="33"/>
      <c r="AHZ25" s="33"/>
      <c r="AIA25" s="33"/>
      <c r="AIB25" s="33"/>
      <c r="AIC25" s="33"/>
      <c r="AID25" s="33"/>
      <c r="AIE25" s="33"/>
      <c r="AIF25" s="33"/>
      <c r="AIG25" s="33"/>
      <c r="AIH25" s="33"/>
      <c r="AII25" s="33"/>
      <c r="AIJ25" s="33"/>
      <c r="AIK25" s="33"/>
      <c r="AIL25" s="33"/>
      <c r="AIM25" s="33"/>
      <c r="AIN25" s="33"/>
      <c r="AIO25" s="33"/>
      <c r="AIP25" s="33"/>
      <c r="AIQ25" s="33"/>
      <c r="AIR25" s="33"/>
      <c r="AIS25" s="33"/>
      <c r="AIT25" s="33"/>
      <c r="AIU25" s="33"/>
      <c r="AIV25" s="33"/>
      <c r="AIW25" s="33"/>
      <c r="AIX25" s="33"/>
      <c r="AIY25" s="33"/>
      <c r="AIZ25" s="33"/>
      <c r="AJA25" s="33"/>
      <c r="AJB25" s="33"/>
      <c r="AJC25" s="33"/>
      <c r="AJD25" s="33"/>
      <c r="AJE25" s="33"/>
      <c r="AJF25" s="33"/>
      <c r="AJG25" s="33"/>
      <c r="AJH25" s="33"/>
      <c r="AJI25" s="33"/>
      <c r="AJJ25" s="33"/>
      <c r="AJK25" s="33"/>
      <c r="AJL25" s="33"/>
      <c r="AJM25" s="33"/>
      <c r="AJN25" s="33"/>
      <c r="AJO25" s="33"/>
      <c r="AJP25" s="33"/>
      <c r="AJQ25" s="33"/>
      <c r="AJR25" s="33"/>
      <c r="AJS25" s="33"/>
      <c r="AJT25" s="33"/>
      <c r="AJU25" s="33"/>
      <c r="AJV25" s="33"/>
      <c r="AJW25" s="33"/>
      <c r="AJX25" s="33"/>
      <c r="AJY25" s="33"/>
      <c r="AJZ25" s="33"/>
      <c r="AKA25" s="33"/>
      <c r="AKB25" s="33"/>
      <c r="AKC25" s="33"/>
      <c r="AKD25" s="33"/>
      <c r="AKE25" s="33"/>
      <c r="AKF25" s="33"/>
      <c r="AKG25" s="33"/>
      <c r="AKH25" s="33"/>
      <c r="AKI25" s="33"/>
      <c r="AKJ25" s="33"/>
      <c r="AKK25" s="33"/>
      <c r="AKL25" s="33"/>
      <c r="AKM25" s="33"/>
      <c r="AKN25" s="33"/>
      <c r="AKO25" s="33"/>
      <c r="AKP25" s="33"/>
      <c r="AKQ25" s="33"/>
      <c r="AKR25" s="33"/>
      <c r="AKS25" s="33"/>
      <c r="AKT25" s="33"/>
      <c r="AKU25" s="33"/>
      <c r="AKV25" s="33"/>
      <c r="AKW25" s="33"/>
      <c r="AKX25" s="33"/>
      <c r="AKY25" s="33"/>
      <c r="AKZ25" s="33"/>
      <c r="ALA25" s="33"/>
      <c r="ALB25" s="33"/>
      <c r="ALC25" s="33"/>
      <c r="ALD25" s="33"/>
      <c r="ALE25" s="33"/>
      <c r="ALF25" s="33"/>
      <c r="ALG25" s="33"/>
      <c r="ALH25" s="33"/>
      <c r="ALI25" s="33"/>
      <c r="ALJ25" s="33"/>
      <c r="ALK25" s="33"/>
      <c r="ALL25" s="33"/>
      <c r="ALM25" s="33"/>
      <c r="ALN25" s="33"/>
      <c r="ALO25" s="33"/>
      <c r="ALP25" s="33"/>
      <c r="ALQ25" s="33"/>
      <c r="ALR25" s="33"/>
      <c r="ALS25" s="33"/>
      <c r="ALT25" s="33"/>
      <c r="ALU25" s="33"/>
      <c r="ALV25" s="33"/>
      <c r="ALW25" s="33"/>
      <c r="ALX25" s="33"/>
      <c r="ALY25" s="33"/>
      <c r="ALZ25" s="33"/>
      <c r="AMA25" s="33"/>
      <c r="AMB25" s="33"/>
      <c r="AMC25" s="33"/>
      <c r="AMD25" s="33"/>
      <c r="AME25" s="33"/>
      <c r="AMF25" s="33"/>
      <c r="AMG25" s="33"/>
      <c r="AMH25" s="33"/>
      <c r="AMI25" s="33"/>
      <c r="AMJ25" s="33"/>
      <c r="AMK25" s="33"/>
      <c r="AML25" s="33"/>
      <c r="AMM25" s="33"/>
      <c r="AMN25" s="33"/>
      <c r="AMO25" s="33"/>
      <c r="AMP25" s="33"/>
      <c r="AMQ25" s="33"/>
      <c r="AMR25" s="33"/>
      <c r="AMS25" s="33"/>
      <c r="AMT25" s="33"/>
      <c r="AMU25" s="33"/>
      <c r="AMV25" s="33"/>
      <c r="AMW25" s="33"/>
      <c r="AMX25" s="33"/>
      <c r="AMY25" s="33"/>
      <c r="AMZ25" s="33"/>
      <c r="ANA25" s="33"/>
      <c r="ANB25" s="33"/>
      <c r="ANC25" s="33"/>
      <c r="AND25" s="33"/>
      <c r="ANE25" s="33"/>
      <c r="ANF25" s="33"/>
      <c r="ANG25" s="33"/>
      <c r="ANH25" s="33"/>
      <c r="ANI25" s="33"/>
      <c r="ANJ25" s="33"/>
      <c r="ANK25" s="33"/>
      <c r="ANL25" s="33"/>
      <c r="ANM25" s="33"/>
      <c r="ANN25" s="33"/>
      <c r="ANO25" s="33"/>
      <c r="ANP25" s="33"/>
      <c r="ANQ25" s="33"/>
      <c r="ANR25" s="33"/>
      <c r="ANS25" s="33"/>
      <c r="ANT25" s="33"/>
      <c r="ANU25" s="33"/>
      <c r="ANV25" s="33"/>
      <c r="ANW25" s="33"/>
      <c r="ANX25" s="33"/>
      <c r="ANY25" s="33"/>
      <c r="ANZ25" s="33"/>
      <c r="AOA25" s="33"/>
      <c r="AOB25" s="33"/>
      <c r="AOC25" s="33"/>
      <c r="AOD25" s="33"/>
      <c r="AOE25" s="33"/>
      <c r="AOF25" s="33"/>
      <c r="AOG25" s="33"/>
      <c r="AOH25" s="33"/>
      <c r="AOI25" s="33"/>
      <c r="AOJ25" s="33"/>
      <c r="AOK25" s="33"/>
      <c r="AOL25" s="33"/>
      <c r="AOM25" s="33"/>
      <c r="AON25" s="33"/>
      <c r="AOO25" s="33"/>
      <c r="AOP25" s="33"/>
      <c r="AOQ25" s="33"/>
      <c r="AOR25" s="33"/>
      <c r="AOS25" s="33"/>
      <c r="AOT25" s="33"/>
      <c r="AOU25" s="33"/>
      <c r="AOV25" s="33"/>
      <c r="AOW25" s="33"/>
      <c r="AOX25" s="33"/>
      <c r="AOY25" s="33"/>
      <c r="AOZ25" s="33"/>
      <c r="APA25" s="33"/>
      <c r="APB25" s="33"/>
      <c r="APC25" s="33"/>
      <c r="APD25" s="33"/>
      <c r="APE25" s="33"/>
      <c r="APF25" s="33"/>
      <c r="APG25" s="33"/>
      <c r="APH25" s="33"/>
      <c r="API25" s="33"/>
      <c r="APJ25" s="33"/>
      <c r="APK25" s="33"/>
      <c r="APL25" s="33"/>
      <c r="APM25" s="33"/>
      <c r="APN25" s="33"/>
      <c r="APO25" s="33"/>
      <c r="APP25" s="33"/>
      <c r="APQ25" s="33"/>
      <c r="APR25" s="33"/>
      <c r="APS25" s="33"/>
      <c r="APT25" s="33"/>
      <c r="APU25" s="33"/>
      <c r="APV25" s="33"/>
      <c r="APW25" s="33"/>
      <c r="APX25" s="33"/>
      <c r="APY25" s="33"/>
      <c r="APZ25" s="33"/>
      <c r="AQA25" s="33"/>
      <c r="AQB25" s="33"/>
      <c r="AQC25" s="33"/>
      <c r="AQD25" s="33"/>
      <c r="AQE25" s="33"/>
      <c r="AQF25" s="33"/>
      <c r="AQG25" s="33"/>
      <c r="AQH25" s="33"/>
      <c r="AQI25" s="33"/>
      <c r="AQJ25" s="33"/>
      <c r="AQK25" s="33"/>
      <c r="AQL25" s="33"/>
      <c r="AQM25" s="33"/>
      <c r="AQN25" s="33"/>
      <c r="AQO25" s="33"/>
      <c r="AQP25" s="33"/>
      <c r="AQQ25" s="33"/>
      <c r="AQR25" s="33"/>
      <c r="AQS25" s="33"/>
      <c r="AQT25" s="33"/>
      <c r="AQU25" s="33"/>
      <c r="AQV25" s="33"/>
      <c r="AQW25" s="33"/>
      <c r="AQX25" s="33"/>
      <c r="AQY25" s="33"/>
      <c r="AQZ25" s="33"/>
      <c r="ARA25" s="33"/>
      <c r="ARB25" s="33"/>
      <c r="ARC25" s="33"/>
      <c r="ARD25" s="33"/>
      <c r="ARE25" s="33"/>
      <c r="ARF25" s="33"/>
      <c r="ARG25" s="33"/>
      <c r="ARH25" s="33"/>
      <c r="ARI25" s="33"/>
      <c r="ARJ25" s="33"/>
      <c r="ARK25" s="33"/>
      <c r="ARL25" s="33"/>
      <c r="ARM25" s="33"/>
      <c r="ARN25" s="33"/>
      <c r="ARO25" s="33"/>
      <c r="ARP25" s="33"/>
      <c r="ARQ25" s="33"/>
      <c r="ARR25" s="33"/>
      <c r="ARS25" s="33"/>
      <c r="ART25" s="33"/>
      <c r="ARU25" s="33"/>
      <c r="ARV25" s="33"/>
      <c r="ARW25" s="33"/>
      <c r="ARX25" s="33"/>
      <c r="ARY25" s="33"/>
      <c r="ARZ25" s="33"/>
      <c r="ASA25" s="33"/>
      <c r="ASB25" s="33"/>
      <c r="ASC25" s="33"/>
      <c r="ASD25" s="33"/>
      <c r="ASE25" s="33"/>
      <c r="ASF25" s="33"/>
      <c r="ASG25" s="33"/>
      <c r="ASH25" s="33"/>
      <c r="ASI25" s="33"/>
      <c r="ASJ25" s="33"/>
      <c r="ASK25" s="33"/>
      <c r="ASL25" s="33"/>
      <c r="ASM25" s="33"/>
      <c r="ASN25" s="33"/>
      <c r="ASO25" s="33"/>
      <c r="ASP25" s="33"/>
      <c r="ASQ25" s="33"/>
      <c r="ASR25" s="33"/>
      <c r="ASS25" s="33"/>
      <c r="AST25" s="33"/>
      <c r="ASU25" s="33"/>
      <c r="ASV25" s="33"/>
      <c r="ASW25" s="33"/>
      <c r="ASX25" s="33"/>
      <c r="ASY25" s="33"/>
      <c r="ASZ25" s="33"/>
      <c r="ATA25" s="33"/>
      <c r="ATB25" s="33"/>
      <c r="ATC25" s="33"/>
      <c r="ATD25" s="33"/>
      <c r="ATE25" s="33"/>
      <c r="ATF25" s="33"/>
      <c r="ATG25" s="33"/>
      <c r="ATH25" s="33"/>
      <c r="ATI25" s="33"/>
      <c r="ATJ25" s="33"/>
      <c r="ATK25" s="33"/>
      <c r="ATL25" s="33"/>
      <c r="ATM25" s="33"/>
      <c r="ATN25" s="33"/>
      <c r="ATO25" s="33"/>
      <c r="ATP25" s="33"/>
      <c r="ATQ25" s="33"/>
      <c r="ATR25" s="33"/>
      <c r="ATS25" s="33"/>
      <c r="ATT25" s="33"/>
      <c r="ATU25" s="33"/>
      <c r="ATV25" s="33"/>
      <c r="ATW25" s="33"/>
      <c r="ATX25" s="33"/>
      <c r="ATY25" s="33"/>
      <c r="ATZ25" s="33"/>
      <c r="AUA25" s="33"/>
      <c r="AUB25" s="33"/>
      <c r="AUC25" s="33"/>
      <c r="AUD25" s="33"/>
      <c r="AUE25" s="33"/>
      <c r="AUF25" s="33"/>
      <c r="AUG25" s="33"/>
      <c r="AUH25" s="33"/>
      <c r="AUI25" s="33"/>
      <c r="AUJ25" s="33"/>
      <c r="AUK25" s="33"/>
      <c r="AUL25" s="33"/>
      <c r="AUM25" s="33"/>
      <c r="AUN25" s="33"/>
      <c r="AUO25" s="33"/>
      <c r="AUP25" s="33"/>
      <c r="AUQ25" s="33"/>
      <c r="AUR25" s="33"/>
      <c r="AUS25" s="33"/>
      <c r="AUT25" s="33"/>
      <c r="AUU25" s="33"/>
      <c r="AUV25" s="33"/>
      <c r="AUW25" s="33"/>
      <c r="AUX25" s="33"/>
      <c r="AUY25" s="33"/>
      <c r="AUZ25" s="33"/>
      <c r="AVA25" s="33"/>
      <c r="AVB25" s="33"/>
      <c r="AVC25" s="33"/>
      <c r="AVD25" s="33"/>
      <c r="AVE25" s="33"/>
      <c r="AVF25" s="33"/>
      <c r="AVG25" s="33"/>
      <c r="AVH25" s="33"/>
      <c r="AVI25" s="33"/>
      <c r="AVJ25" s="33"/>
      <c r="AVK25" s="33"/>
      <c r="AVL25" s="33"/>
      <c r="AVM25" s="33"/>
      <c r="AVN25" s="33"/>
      <c r="AVO25" s="33"/>
      <c r="AVP25" s="33"/>
      <c r="AVQ25" s="33"/>
      <c r="AVR25" s="33"/>
      <c r="AVS25" s="33"/>
      <c r="AVT25" s="33"/>
      <c r="AVU25" s="33"/>
      <c r="AVV25" s="33"/>
      <c r="AVW25" s="33"/>
      <c r="AVX25" s="33"/>
      <c r="AVY25" s="33"/>
      <c r="AVZ25" s="33"/>
      <c r="AWA25" s="33"/>
      <c r="AWB25" s="33"/>
      <c r="AWC25" s="33"/>
      <c r="AWD25" s="33"/>
      <c r="AWE25" s="33"/>
      <c r="AWF25" s="33"/>
      <c r="AWG25" s="33"/>
      <c r="AWH25" s="33"/>
      <c r="AWI25" s="33"/>
      <c r="AWJ25" s="33"/>
      <c r="AWK25" s="33"/>
      <c r="AWL25" s="33"/>
      <c r="AWM25" s="33"/>
      <c r="AWN25" s="33"/>
      <c r="AWO25" s="33"/>
      <c r="AWP25" s="33"/>
      <c r="AWQ25" s="33"/>
      <c r="AWR25" s="33"/>
      <c r="AWS25" s="33"/>
      <c r="AWT25" s="33"/>
      <c r="AWU25" s="33"/>
      <c r="AWV25" s="33"/>
      <c r="AWW25" s="33"/>
      <c r="AWX25" s="33"/>
      <c r="AWY25" s="33"/>
      <c r="AWZ25" s="33"/>
      <c r="AXA25" s="33"/>
      <c r="AXB25" s="33"/>
      <c r="AXC25" s="33"/>
      <c r="AXD25" s="33"/>
      <c r="AXE25" s="33"/>
      <c r="AXF25" s="33"/>
      <c r="AXG25" s="33"/>
      <c r="AXH25" s="33"/>
      <c r="AXI25" s="33"/>
      <c r="AXJ25" s="33"/>
      <c r="AXK25" s="33"/>
      <c r="AXL25" s="33"/>
      <c r="AXM25" s="33"/>
      <c r="AXN25" s="33"/>
      <c r="AXO25" s="33"/>
      <c r="AXP25" s="33"/>
      <c r="AXQ25" s="33"/>
      <c r="AXR25" s="33"/>
      <c r="AXS25" s="33"/>
      <c r="AXT25" s="33"/>
      <c r="AXU25" s="33"/>
      <c r="AXV25" s="33"/>
      <c r="AXW25" s="33"/>
      <c r="AXX25" s="33"/>
      <c r="AXY25" s="33"/>
      <c r="AXZ25" s="33"/>
      <c r="AYA25" s="33"/>
      <c r="AYB25" s="33"/>
      <c r="AYC25" s="33"/>
      <c r="AYD25" s="33"/>
      <c r="AYE25" s="33"/>
      <c r="AYF25" s="33"/>
      <c r="AYG25" s="33"/>
      <c r="AYH25" s="33"/>
      <c r="AYI25" s="33"/>
      <c r="AYJ25" s="33"/>
      <c r="AYK25" s="33"/>
      <c r="AYL25" s="33"/>
      <c r="AYM25" s="33"/>
      <c r="AYN25" s="33"/>
      <c r="AYO25" s="33"/>
      <c r="AYP25" s="33"/>
      <c r="AYQ25" s="33"/>
      <c r="AYR25" s="33"/>
      <c r="AYS25" s="33"/>
      <c r="AYT25" s="33"/>
      <c r="AYU25" s="33"/>
      <c r="AYV25" s="33"/>
      <c r="AYW25" s="33"/>
      <c r="AYX25" s="33"/>
      <c r="AYY25" s="33"/>
      <c r="AYZ25" s="33"/>
      <c r="AZA25" s="33"/>
      <c r="AZB25" s="33"/>
      <c r="AZC25" s="33"/>
      <c r="AZD25" s="33"/>
      <c r="AZE25" s="33"/>
      <c r="AZF25" s="33"/>
      <c r="AZG25" s="33"/>
      <c r="AZH25" s="33"/>
      <c r="AZI25" s="33"/>
      <c r="AZJ25" s="33"/>
      <c r="AZK25" s="33"/>
      <c r="AZL25" s="33"/>
      <c r="AZM25" s="33"/>
      <c r="AZN25" s="33"/>
      <c r="AZO25" s="33"/>
      <c r="AZP25" s="33"/>
      <c r="AZQ25" s="33"/>
      <c r="AZR25" s="33"/>
      <c r="AZS25" s="33"/>
      <c r="AZT25" s="33"/>
      <c r="AZU25" s="33"/>
      <c r="AZV25" s="33"/>
      <c r="AZW25" s="33"/>
      <c r="AZX25" s="33"/>
      <c r="AZY25" s="33"/>
      <c r="AZZ25" s="33"/>
      <c r="BAA25" s="33"/>
      <c r="BAB25" s="33"/>
      <c r="BAC25" s="33"/>
      <c r="BAD25" s="33"/>
      <c r="BAE25" s="33"/>
      <c r="BAF25" s="33"/>
      <c r="BAG25" s="33"/>
      <c r="BAH25" s="33"/>
      <c r="BAI25" s="33"/>
      <c r="BAJ25" s="33"/>
      <c r="BAK25" s="33"/>
      <c r="BAL25" s="33"/>
      <c r="BAM25" s="33"/>
      <c r="BAN25" s="33"/>
      <c r="BAO25" s="33"/>
      <c r="BAP25" s="33"/>
      <c r="BAQ25" s="33"/>
      <c r="BAR25" s="33"/>
      <c r="BAS25" s="33"/>
      <c r="BAT25" s="33"/>
      <c r="BAU25" s="33"/>
      <c r="BAV25" s="33"/>
      <c r="BAW25" s="33"/>
      <c r="BAX25" s="33"/>
      <c r="BAY25" s="33"/>
      <c r="BAZ25" s="33"/>
      <c r="BBA25" s="33"/>
      <c r="BBB25" s="33"/>
      <c r="BBC25" s="33"/>
      <c r="BBD25" s="33"/>
      <c r="BBE25" s="33"/>
      <c r="BBF25" s="33"/>
      <c r="BBG25" s="33"/>
      <c r="BBH25" s="33"/>
      <c r="BBI25" s="33"/>
      <c r="BBJ25" s="33"/>
      <c r="BBK25" s="33"/>
      <c r="BBL25" s="33"/>
      <c r="BBM25" s="33"/>
      <c r="BBN25" s="33"/>
      <c r="BBO25" s="33"/>
      <c r="BBP25" s="33"/>
      <c r="BBQ25" s="33"/>
      <c r="BBR25" s="33"/>
      <c r="BBS25" s="33"/>
      <c r="BBT25" s="33"/>
      <c r="BBU25" s="33"/>
      <c r="BBV25" s="33"/>
      <c r="BBW25" s="33"/>
      <c r="BBX25" s="33"/>
      <c r="BBY25" s="33"/>
      <c r="BBZ25" s="33"/>
      <c r="BCA25" s="33"/>
      <c r="BCB25" s="33"/>
      <c r="BCC25" s="33"/>
      <c r="BCD25" s="33"/>
      <c r="BCE25" s="33"/>
      <c r="BCF25" s="33"/>
      <c r="BCG25" s="33"/>
      <c r="BCH25" s="33"/>
      <c r="BCI25" s="33"/>
      <c r="BCJ25" s="33"/>
      <c r="BCK25" s="33"/>
      <c r="BCL25" s="33"/>
      <c r="BCM25" s="33"/>
      <c r="BCN25" s="33"/>
      <c r="BCO25" s="33"/>
      <c r="BCP25" s="33"/>
      <c r="BCQ25" s="33"/>
      <c r="BCR25" s="33"/>
      <c r="BCS25" s="33"/>
      <c r="BCT25" s="33"/>
      <c r="BCU25" s="33"/>
      <c r="BCV25" s="33"/>
      <c r="BCW25" s="33"/>
      <c r="BCX25" s="33"/>
      <c r="BCY25" s="33"/>
      <c r="BCZ25" s="33"/>
      <c r="BDA25" s="33"/>
      <c r="BDB25" s="33"/>
      <c r="BDC25" s="33"/>
      <c r="BDD25" s="33"/>
      <c r="BDE25" s="33"/>
      <c r="BDF25" s="33"/>
      <c r="BDG25" s="33"/>
      <c r="BDH25" s="33"/>
      <c r="BDI25" s="33"/>
      <c r="BDJ25" s="33"/>
      <c r="BDK25" s="33"/>
      <c r="BDL25" s="33"/>
      <c r="BDM25" s="33"/>
      <c r="BDN25" s="33"/>
      <c r="BDO25" s="33"/>
      <c r="BDP25" s="33"/>
      <c r="BDQ25" s="33"/>
      <c r="BDR25" s="33"/>
      <c r="BDS25" s="33"/>
      <c r="BDT25" s="33"/>
      <c r="BDU25" s="33"/>
      <c r="BDV25" s="33"/>
      <c r="BDW25" s="33"/>
      <c r="BDX25" s="33"/>
      <c r="BDY25" s="33"/>
      <c r="BDZ25" s="33"/>
      <c r="BEA25" s="33"/>
      <c r="BEB25" s="33"/>
      <c r="BEC25" s="33"/>
      <c r="BED25" s="33"/>
      <c r="BEE25" s="33"/>
      <c r="BEF25" s="33"/>
      <c r="BEG25" s="33"/>
      <c r="BEH25" s="33"/>
      <c r="BEI25" s="33"/>
      <c r="BEJ25" s="33"/>
      <c r="BEK25" s="33"/>
      <c r="BEL25" s="33"/>
      <c r="BEM25" s="33"/>
      <c r="BEN25" s="33"/>
      <c r="BEO25" s="33"/>
      <c r="BEP25" s="33"/>
      <c r="BEQ25" s="33"/>
      <c r="BER25" s="33"/>
      <c r="BES25" s="33"/>
      <c r="BET25" s="33"/>
      <c r="BEU25" s="33"/>
      <c r="BEV25" s="33"/>
      <c r="BEW25" s="33"/>
      <c r="BEX25" s="33"/>
      <c r="BEY25" s="33"/>
      <c r="BEZ25" s="33"/>
      <c r="BFA25" s="33"/>
      <c r="BFB25" s="33"/>
      <c r="BFC25" s="33"/>
      <c r="BFD25" s="33"/>
      <c r="BFE25" s="33"/>
      <c r="BFF25" s="33"/>
      <c r="BFG25" s="33"/>
      <c r="BFH25" s="33"/>
      <c r="BFI25" s="33"/>
      <c r="BFJ25" s="33"/>
      <c r="BFK25" s="33"/>
      <c r="BFL25" s="33"/>
      <c r="BFM25" s="33"/>
      <c r="BFN25" s="33"/>
      <c r="BFO25" s="33"/>
      <c r="BFP25" s="33"/>
      <c r="BFQ25" s="33"/>
      <c r="BFR25" s="33"/>
      <c r="BFS25" s="33"/>
      <c r="BFT25" s="33"/>
      <c r="BFU25" s="33"/>
      <c r="BFV25" s="33"/>
      <c r="BFW25" s="33"/>
      <c r="BFX25" s="33"/>
      <c r="BFY25" s="33"/>
      <c r="BFZ25" s="33"/>
      <c r="BGA25" s="33"/>
      <c r="BGB25" s="33"/>
      <c r="BGC25" s="33"/>
      <c r="BGD25" s="33"/>
      <c r="BGE25" s="33"/>
      <c r="BGF25" s="33"/>
      <c r="BGG25" s="33"/>
      <c r="BGH25" s="33"/>
      <c r="BGI25" s="33"/>
      <c r="BGJ25" s="33"/>
      <c r="BGK25" s="33"/>
      <c r="BGL25" s="33"/>
      <c r="BGM25" s="33"/>
      <c r="BGN25" s="33"/>
      <c r="BGO25" s="33"/>
      <c r="BGP25" s="33"/>
      <c r="BGQ25" s="33"/>
      <c r="BGR25" s="33"/>
      <c r="BGS25" s="33"/>
      <c r="BGT25" s="33"/>
      <c r="BGU25" s="33"/>
      <c r="BGV25" s="33"/>
      <c r="BGW25" s="33"/>
      <c r="BGX25" s="33"/>
      <c r="BGY25" s="33"/>
      <c r="BGZ25" s="33"/>
      <c r="BHA25" s="33"/>
      <c r="BHB25" s="33"/>
      <c r="BHC25" s="33"/>
      <c r="BHD25" s="33"/>
      <c r="BHE25" s="33"/>
      <c r="BHF25" s="33"/>
      <c r="BHG25" s="33"/>
      <c r="BHH25" s="33"/>
      <c r="BHI25" s="33"/>
      <c r="BHJ25" s="33"/>
      <c r="BHK25" s="33"/>
      <c r="BHL25" s="33"/>
      <c r="BHM25" s="33"/>
      <c r="BHN25" s="33"/>
      <c r="BHO25" s="33"/>
      <c r="BHP25" s="33"/>
      <c r="BHQ25" s="33"/>
      <c r="BHR25" s="33"/>
      <c r="BHS25" s="33"/>
      <c r="BHT25" s="33"/>
      <c r="BHU25" s="33"/>
      <c r="BHV25" s="33"/>
      <c r="BHW25" s="33"/>
      <c r="BHX25" s="33"/>
      <c r="BHY25" s="33"/>
      <c r="BHZ25" s="33"/>
      <c r="BIA25" s="33"/>
      <c r="BIB25" s="33"/>
      <c r="BIC25" s="33"/>
      <c r="BID25" s="33"/>
      <c r="BIE25" s="33"/>
      <c r="BIF25" s="33"/>
      <c r="BIG25" s="33"/>
      <c r="BIH25" s="33"/>
      <c r="BII25" s="33"/>
      <c r="BIJ25" s="33"/>
      <c r="BIK25" s="33"/>
      <c r="BIL25" s="33"/>
      <c r="BIM25" s="33"/>
      <c r="BIN25" s="33"/>
      <c r="BIO25" s="33"/>
      <c r="BIP25" s="33"/>
      <c r="BIQ25" s="33"/>
      <c r="BIR25" s="33"/>
      <c r="BIS25" s="33"/>
      <c r="BIT25" s="33"/>
      <c r="BIU25" s="33"/>
      <c r="BIV25" s="33"/>
      <c r="BIW25" s="33"/>
      <c r="BIX25" s="33"/>
      <c r="BIY25" s="33"/>
      <c r="BIZ25" s="33"/>
      <c r="BJA25" s="33"/>
      <c r="BJB25" s="33"/>
      <c r="BJC25" s="33"/>
      <c r="BJD25" s="33"/>
      <c r="BJE25" s="33"/>
      <c r="BJF25" s="33"/>
      <c r="BJG25" s="33"/>
      <c r="BJH25" s="33"/>
      <c r="BJI25" s="33"/>
      <c r="BJJ25" s="33"/>
      <c r="BJK25" s="33"/>
      <c r="BJL25" s="33"/>
      <c r="BJM25" s="33"/>
      <c r="BJN25" s="33"/>
      <c r="BJO25" s="33"/>
      <c r="BJP25" s="33"/>
      <c r="BJQ25" s="33"/>
      <c r="BJR25" s="33"/>
      <c r="BJS25" s="33"/>
      <c r="BJT25" s="33"/>
      <c r="BJU25" s="33"/>
      <c r="BJV25" s="33"/>
      <c r="BJW25" s="33"/>
      <c r="BJX25" s="33"/>
      <c r="BJY25" s="33"/>
      <c r="BJZ25" s="33"/>
      <c r="BKA25" s="33"/>
      <c r="BKB25" s="33"/>
      <c r="BKC25" s="33"/>
      <c r="BKD25" s="33"/>
      <c r="BKE25" s="33"/>
      <c r="BKF25" s="33"/>
      <c r="BKG25" s="33"/>
      <c r="BKH25" s="33"/>
      <c r="BKI25" s="33"/>
      <c r="BKJ25" s="33"/>
      <c r="BKK25" s="33"/>
      <c r="BKL25" s="33"/>
      <c r="BKM25" s="33"/>
      <c r="BKN25" s="33"/>
      <c r="BKO25" s="33"/>
      <c r="BKP25" s="33"/>
      <c r="BKQ25" s="33"/>
      <c r="BKR25" s="33"/>
      <c r="BKS25" s="33"/>
      <c r="BKT25" s="33"/>
      <c r="BKU25" s="33"/>
      <c r="BKV25" s="33"/>
      <c r="BKW25" s="33"/>
      <c r="BKX25" s="33"/>
      <c r="BKY25" s="33"/>
      <c r="BKZ25" s="33"/>
      <c r="BLA25" s="33"/>
      <c r="BLB25" s="33"/>
      <c r="BLC25" s="33"/>
      <c r="BLD25" s="33"/>
      <c r="BLE25" s="33"/>
      <c r="BLF25" s="33"/>
      <c r="BLG25" s="33"/>
      <c r="BLH25" s="33"/>
      <c r="BLI25" s="33"/>
      <c r="BLJ25" s="33"/>
      <c r="BLK25" s="33"/>
      <c r="BLL25" s="33"/>
      <c r="BLM25" s="33"/>
      <c r="BLN25" s="33"/>
      <c r="BLO25" s="33"/>
      <c r="BLP25" s="33"/>
      <c r="BLQ25" s="33"/>
      <c r="BLR25" s="33"/>
      <c r="BLS25" s="33"/>
      <c r="BLT25" s="33"/>
      <c r="BLU25" s="33"/>
      <c r="BLV25" s="33"/>
      <c r="BLW25" s="33"/>
      <c r="BLX25" s="33"/>
      <c r="BLY25" s="33"/>
      <c r="BLZ25" s="33"/>
      <c r="BMA25" s="33"/>
      <c r="BMB25" s="33"/>
      <c r="BMC25" s="33"/>
      <c r="BMD25" s="33"/>
      <c r="BME25" s="33"/>
      <c r="BMF25" s="33"/>
      <c r="BMG25" s="33"/>
      <c r="BMH25" s="33"/>
      <c r="BMI25" s="33"/>
      <c r="BMJ25" s="33"/>
      <c r="BMK25" s="33"/>
      <c r="BML25" s="33"/>
      <c r="BMM25" s="33"/>
      <c r="BMN25" s="33"/>
      <c r="BMO25" s="33"/>
      <c r="BMP25" s="33"/>
      <c r="BMQ25" s="33"/>
      <c r="BMR25" s="33"/>
      <c r="BMS25" s="33"/>
      <c r="BMT25" s="33"/>
      <c r="BMU25" s="33"/>
      <c r="BMV25" s="33"/>
      <c r="BMW25" s="33"/>
      <c r="BMX25" s="33"/>
      <c r="BMY25" s="33"/>
      <c r="BMZ25" s="33"/>
      <c r="BNA25" s="33"/>
      <c r="BNB25" s="33"/>
      <c r="BNC25" s="33"/>
      <c r="BND25" s="33"/>
      <c r="BNE25" s="33"/>
      <c r="BNF25" s="33"/>
      <c r="BNG25" s="33"/>
      <c r="BNH25" s="33"/>
      <c r="BNI25" s="33"/>
      <c r="BNJ25" s="33"/>
      <c r="BNK25" s="33"/>
      <c r="BNL25" s="33"/>
      <c r="BNM25" s="33"/>
      <c r="BNN25" s="33"/>
      <c r="BNO25" s="33"/>
      <c r="BNP25" s="33"/>
      <c r="BNQ25" s="33"/>
      <c r="BNR25" s="33"/>
      <c r="BNS25" s="33"/>
      <c r="BNT25" s="33"/>
      <c r="BNU25" s="33"/>
      <c r="BNV25" s="33"/>
      <c r="BNW25" s="33"/>
      <c r="BNX25" s="33"/>
      <c r="BNY25" s="33"/>
      <c r="BNZ25" s="33"/>
      <c r="BOA25" s="33"/>
      <c r="BOB25" s="33"/>
      <c r="BOC25" s="33"/>
      <c r="BOD25" s="33"/>
      <c r="BOE25" s="33"/>
      <c r="BOF25" s="33"/>
      <c r="BOG25" s="33"/>
      <c r="BOH25" s="33"/>
      <c r="BOI25" s="33"/>
      <c r="BOJ25" s="33"/>
      <c r="BOK25" s="33"/>
      <c r="BOL25" s="33"/>
      <c r="BOM25" s="33"/>
      <c r="BON25" s="33"/>
      <c r="BOO25" s="33"/>
      <c r="BOP25" s="33"/>
      <c r="BOQ25" s="33"/>
      <c r="BOR25" s="33"/>
      <c r="BOS25" s="33"/>
      <c r="BOT25" s="33"/>
      <c r="BOU25" s="33"/>
      <c r="BOV25" s="33"/>
      <c r="BOW25" s="33"/>
      <c r="BOX25" s="33"/>
      <c r="BOY25" s="33"/>
      <c r="BOZ25" s="33"/>
      <c r="BPA25" s="33"/>
      <c r="BPB25" s="33"/>
      <c r="BPC25" s="82"/>
    </row>
    <row r="26" s="35" customFormat="1" ht="60" customHeight="1" spans="1:1024 1025:1771">
      <c r="A26" s="78" t="s">
        <v>77</v>
      </c>
      <c r="B26" s="75" t="s">
        <v>78</v>
      </c>
      <c r="C26" s="75" t="s">
        <v>79</v>
      </c>
      <c r="D26" s="75" t="s">
        <v>80</v>
      </c>
      <c r="E26" s="75"/>
      <c r="F26" s="75"/>
      <c r="G26" s="79"/>
      <c r="H26" s="76">
        <f ca="1" t="shared" si="0"/>
        <v>46175</v>
      </c>
      <c r="I26" s="80" t="s">
        <v>7</v>
      </c>
      <c r="J26" s="79"/>
      <c r="K26" s="34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33"/>
      <c r="ML26" s="33"/>
      <c r="MM26" s="33"/>
      <c r="MN26" s="33"/>
      <c r="MO26" s="33"/>
      <c r="MP26" s="33"/>
      <c r="MQ26" s="33"/>
      <c r="MR26" s="33"/>
      <c r="MS26" s="33"/>
      <c r="MT26" s="33"/>
      <c r="MU26" s="33"/>
      <c r="MV26" s="33"/>
      <c r="MW26" s="33"/>
      <c r="MX26" s="33"/>
      <c r="MY26" s="33"/>
      <c r="MZ26" s="33"/>
      <c r="NA26" s="33"/>
      <c r="NB26" s="33"/>
      <c r="NC26" s="33"/>
      <c r="ND26" s="33"/>
      <c r="NE26" s="33"/>
      <c r="NF26" s="33"/>
      <c r="NG26" s="33"/>
      <c r="NH26" s="33"/>
      <c r="NI26" s="33"/>
      <c r="NJ26" s="33"/>
      <c r="NK26" s="33"/>
      <c r="NL26" s="33"/>
      <c r="NM26" s="33"/>
      <c r="NN26" s="33"/>
      <c r="NO26" s="33"/>
      <c r="NP26" s="33"/>
      <c r="NQ26" s="33"/>
      <c r="NR26" s="33"/>
      <c r="NS26" s="33"/>
      <c r="NT26" s="33"/>
      <c r="NU26" s="33"/>
      <c r="NV26" s="33"/>
      <c r="NW26" s="33"/>
      <c r="NX26" s="33"/>
      <c r="NY26" s="33"/>
      <c r="NZ26" s="33"/>
      <c r="OA26" s="33"/>
      <c r="OB26" s="33"/>
      <c r="OC26" s="33"/>
      <c r="OD26" s="33"/>
      <c r="OE26" s="33"/>
      <c r="OF26" s="33"/>
      <c r="OG26" s="33"/>
      <c r="OH26" s="33"/>
      <c r="OI26" s="33"/>
      <c r="OJ26" s="33"/>
      <c r="OK26" s="33"/>
      <c r="OL26" s="33"/>
      <c r="OM26" s="33"/>
      <c r="ON26" s="33"/>
      <c r="OO26" s="33"/>
      <c r="OP26" s="33"/>
      <c r="OQ26" s="33"/>
      <c r="OR26" s="33"/>
      <c r="OS26" s="33"/>
      <c r="OT26" s="33"/>
      <c r="OU26" s="33"/>
      <c r="OV26" s="33"/>
      <c r="OW26" s="33"/>
      <c r="OX26" s="33"/>
      <c r="OY26" s="33"/>
      <c r="OZ26" s="33"/>
      <c r="PA26" s="33"/>
      <c r="PB26" s="33"/>
      <c r="PC26" s="33"/>
      <c r="PD26" s="33"/>
      <c r="PE26" s="33"/>
      <c r="PF26" s="33"/>
      <c r="PG26" s="33"/>
      <c r="PH26" s="33"/>
      <c r="PI26" s="33"/>
      <c r="PJ26" s="33"/>
      <c r="PK26" s="33"/>
      <c r="PL26" s="33"/>
      <c r="PM26" s="33"/>
      <c r="PN26" s="33"/>
      <c r="PO26" s="33"/>
      <c r="PP26" s="33"/>
      <c r="PQ26" s="33"/>
      <c r="PR26" s="33"/>
      <c r="PS26" s="33"/>
      <c r="PT26" s="33"/>
      <c r="PU26" s="33"/>
      <c r="PV26" s="33"/>
      <c r="PW26" s="33"/>
      <c r="PX26" s="33"/>
      <c r="PY26" s="33"/>
      <c r="PZ26" s="33"/>
      <c r="QA26" s="33"/>
      <c r="QB26" s="33"/>
      <c r="QC26" s="33"/>
      <c r="QD26" s="33"/>
      <c r="QE26" s="33"/>
      <c r="QF26" s="33"/>
      <c r="QG26" s="33"/>
      <c r="QH26" s="33"/>
      <c r="QI26" s="33"/>
      <c r="QJ26" s="33"/>
      <c r="QK26" s="33"/>
      <c r="QL26" s="33"/>
      <c r="QM26" s="33"/>
      <c r="QN26" s="33"/>
      <c r="QO26" s="33"/>
      <c r="QP26" s="33"/>
      <c r="QQ26" s="33"/>
      <c r="QR26" s="33"/>
      <c r="QS26" s="33"/>
      <c r="QT26" s="33"/>
      <c r="QU26" s="33"/>
      <c r="QV26" s="33"/>
      <c r="QW26" s="33"/>
      <c r="QX26" s="33"/>
      <c r="QY26" s="33"/>
      <c r="QZ26" s="33"/>
      <c r="RA26" s="33"/>
      <c r="RB26" s="33"/>
      <c r="RC26" s="33"/>
      <c r="RD26" s="33"/>
      <c r="RE26" s="33"/>
      <c r="RF26" s="33"/>
      <c r="RG26" s="33"/>
      <c r="RH26" s="33"/>
      <c r="RI26" s="33"/>
      <c r="RJ26" s="33"/>
      <c r="RK26" s="33"/>
      <c r="RL26" s="33"/>
      <c r="RM26" s="33"/>
      <c r="RN26" s="33"/>
      <c r="RO26" s="33"/>
      <c r="RP26" s="33"/>
      <c r="RQ26" s="33"/>
      <c r="RR26" s="33"/>
      <c r="RS26" s="33"/>
      <c r="RT26" s="33"/>
      <c r="RU26" s="33"/>
      <c r="RV26" s="33"/>
      <c r="RW26" s="33"/>
      <c r="RX26" s="33"/>
      <c r="RY26" s="33"/>
      <c r="RZ26" s="33"/>
      <c r="SA26" s="33"/>
      <c r="SB26" s="33"/>
      <c r="SC26" s="33"/>
      <c r="SD26" s="33"/>
      <c r="SE26" s="33"/>
      <c r="SF26" s="33"/>
      <c r="SG26" s="33"/>
      <c r="SH26" s="33"/>
      <c r="SI26" s="33"/>
      <c r="SJ26" s="33"/>
      <c r="SK26" s="33"/>
      <c r="SL26" s="33"/>
      <c r="SM26" s="33"/>
      <c r="SN26" s="33"/>
      <c r="SO26" s="33"/>
      <c r="SP26" s="33"/>
      <c r="SQ26" s="33"/>
      <c r="SR26" s="33"/>
      <c r="SS26" s="33"/>
      <c r="ST26" s="33"/>
      <c r="SU26" s="33"/>
      <c r="SV26" s="33"/>
      <c r="SW26" s="33"/>
      <c r="SX26" s="33"/>
      <c r="SY26" s="33"/>
      <c r="SZ26" s="33"/>
      <c r="TA26" s="33"/>
      <c r="TB26" s="33"/>
      <c r="TC26" s="33"/>
      <c r="TD26" s="33"/>
      <c r="TE26" s="33"/>
      <c r="TF26" s="33"/>
      <c r="TG26" s="33"/>
      <c r="TH26" s="33"/>
      <c r="TI26" s="33"/>
      <c r="TJ26" s="33"/>
      <c r="TK26" s="33"/>
      <c r="TL26" s="33"/>
      <c r="TM26" s="33"/>
      <c r="TN26" s="33"/>
      <c r="TO26" s="33"/>
      <c r="TP26" s="33"/>
      <c r="TQ26" s="33"/>
      <c r="TR26" s="33"/>
      <c r="TS26" s="33"/>
      <c r="TT26" s="33"/>
      <c r="TU26" s="33"/>
      <c r="TV26" s="33"/>
      <c r="TW26" s="33"/>
      <c r="TX26" s="33"/>
      <c r="TY26" s="33"/>
      <c r="TZ26" s="33"/>
      <c r="UA26" s="33"/>
      <c r="UB26" s="33"/>
      <c r="UC26" s="33"/>
      <c r="UD26" s="33"/>
      <c r="UE26" s="33"/>
      <c r="UF26" s="33"/>
      <c r="UG26" s="33"/>
      <c r="UH26" s="33"/>
      <c r="UI26" s="33"/>
      <c r="UJ26" s="33"/>
      <c r="UK26" s="33"/>
      <c r="UL26" s="33"/>
      <c r="UM26" s="33"/>
      <c r="UN26" s="33"/>
      <c r="UO26" s="33"/>
      <c r="UP26" s="33"/>
      <c r="UQ26" s="33"/>
      <c r="UR26" s="33"/>
      <c r="US26" s="33"/>
      <c r="UT26" s="33"/>
      <c r="UU26" s="33"/>
      <c r="UV26" s="33"/>
      <c r="UW26" s="33"/>
      <c r="UX26" s="33"/>
      <c r="UY26" s="33"/>
      <c r="UZ26" s="33"/>
      <c r="VA26" s="33"/>
      <c r="VB26" s="33"/>
      <c r="VC26" s="33"/>
      <c r="VD26" s="33"/>
      <c r="VE26" s="33"/>
      <c r="VF26" s="33"/>
      <c r="VG26" s="33"/>
      <c r="VH26" s="33"/>
      <c r="VI26" s="33"/>
      <c r="VJ26" s="33"/>
      <c r="VK26" s="33"/>
      <c r="VL26" s="33"/>
      <c r="VM26" s="33"/>
      <c r="VN26" s="33"/>
      <c r="VO26" s="33"/>
      <c r="VP26" s="33"/>
      <c r="VQ26" s="33"/>
      <c r="VR26" s="33"/>
      <c r="VS26" s="33"/>
      <c r="VT26" s="33"/>
      <c r="VU26" s="33"/>
      <c r="VV26" s="33"/>
      <c r="VW26" s="33"/>
      <c r="VX26" s="33"/>
      <c r="VY26" s="33"/>
      <c r="VZ26" s="33"/>
      <c r="WA26" s="33"/>
      <c r="WB26" s="33"/>
      <c r="WC26" s="33"/>
      <c r="WD26" s="33"/>
      <c r="WE26" s="33"/>
      <c r="WF26" s="33"/>
      <c r="WG26" s="33"/>
      <c r="WH26" s="33"/>
      <c r="WI26" s="33"/>
      <c r="WJ26" s="33"/>
      <c r="WK26" s="33"/>
      <c r="WL26" s="33"/>
      <c r="WM26" s="33"/>
      <c r="WN26" s="33"/>
      <c r="WO26" s="33"/>
      <c r="WP26" s="33"/>
      <c r="WQ26" s="33"/>
      <c r="WR26" s="33"/>
      <c r="WS26" s="33"/>
      <c r="WT26" s="33"/>
      <c r="WU26" s="33"/>
      <c r="WV26" s="33"/>
      <c r="WW26" s="33"/>
      <c r="WX26" s="33"/>
      <c r="WY26" s="33"/>
      <c r="WZ26" s="33"/>
      <c r="XA26" s="33"/>
      <c r="XB26" s="33"/>
      <c r="XC26" s="33"/>
      <c r="XD26" s="33"/>
      <c r="XE26" s="33"/>
      <c r="XF26" s="33"/>
      <c r="XG26" s="33"/>
      <c r="XH26" s="33"/>
      <c r="XI26" s="33"/>
      <c r="XJ26" s="33"/>
      <c r="XK26" s="33"/>
      <c r="XL26" s="33"/>
      <c r="XM26" s="33"/>
      <c r="XN26" s="33"/>
      <c r="XO26" s="33"/>
      <c r="XP26" s="33"/>
      <c r="XQ26" s="33"/>
      <c r="XR26" s="33"/>
      <c r="XS26" s="33"/>
      <c r="XT26" s="33"/>
      <c r="XU26" s="33"/>
      <c r="XV26" s="33"/>
      <c r="XW26" s="33"/>
      <c r="XX26" s="33"/>
      <c r="XY26" s="33"/>
      <c r="XZ26" s="33"/>
      <c r="YA26" s="33"/>
      <c r="YB26" s="33"/>
      <c r="YC26" s="33"/>
      <c r="YD26" s="33"/>
      <c r="YE26" s="33"/>
      <c r="YF26" s="33"/>
      <c r="YG26" s="33"/>
      <c r="YH26" s="33"/>
      <c r="YI26" s="33"/>
      <c r="YJ26" s="33"/>
      <c r="YK26" s="33"/>
      <c r="YL26" s="33"/>
      <c r="YM26" s="33"/>
      <c r="YN26" s="33"/>
      <c r="YO26" s="33"/>
      <c r="YP26" s="33"/>
      <c r="YQ26" s="33"/>
      <c r="YR26" s="33"/>
      <c r="YS26" s="33"/>
      <c r="YT26" s="33"/>
      <c r="YU26" s="33"/>
      <c r="YV26" s="33"/>
      <c r="YW26" s="33"/>
      <c r="YX26" s="33"/>
      <c r="YY26" s="33"/>
      <c r="YZ26" s="33"/>
      <c r="ZA26" s="33"/>
      <c r="ZB26" s="33"/>
      <c r="ZC26" s="33"/>
      <c r="ZD26" s="33"/>
      <c r="ZE26" s="33"/>
      <c r="ZF26" s="33"/>
      <c r="ZG26" s="33"/>
      <c r="ZH26" s="33"/>
      <c r="ZI26" s="33"/>
      <c r="ZJ26" s="33"/>
      <c r="ZK26" s="33"/>
      <c r="ZL26" s="33"/>
      <c r="ZM26" s="33"/>
      <c r="ZN26" s="33"/>
      <c r="ZO26" s="33"/>
      <c r="ZP26" s="33"/>
      <c r="ZQ26" s="33"/>
      <c r="ZR26" s="33"/>
      <c r="ZS26" s="33"/>
      <c r="ZT26" s="33"/>
      <c r="ZU26" s="33"/>
      <c r="ZV26" s="33"/>
      <c r="ZW26" s="33"/>
      <c r="ZX26" s="33"/>
      <c r="ZY26" s="33"/>
      <c r="ZZ26" s="33"/>
      <c r="AAA26" s="33"/>
      <c r="AAB26" s="33"/>
      <c r="AAC26" s="33"/>
      <c r="AAD26" s="33"/>
      <c r="AAE26" s="33"/>
      <c r="AAF26" s="33"/>
      <c r="AAG26" s="33"/>
      <c r="AAH26" s="33"/>
      <c r="AAI26" s="33"/>
      <c r="AAJ26" s="33"/>
      <c r="AAK26" s="33"/>
      <c r="AAL26" s="33"/>
      <c r="AAM26" s="33"/>
      <c r="AAN26" s="33"/>
      <c r="AAO26" s="33"/>
      <c r="AAP26" s="33"/>
      <c r="AAQ26" s="33"/>
      <c r="AAR26" s="33"/>
      <c r="AAS26" s="33"/>
      <c r="AAT26" s="33"/>
      <c r="AAU26" s="33"/>
      <c r="AAV26" s="33"/>
      <c r="AAW26" s="33"/>
      <c r="AAX26" s="33"/>
      <c r="AAY26" s="33"/>
      <c r="AAZ26" s="33"/>
      <c r="ABA26" s="33"/>
      <c r="ABB26" s="33"/>
      <c r="ABC26" s="33"/>
      <c r="ABD26" s="33"/>
      <c r="ABE26" s="33"/>
      <c r="ABF26" s="33"/>
      <c r="ABG26" s="33"/>
      <c r="ABH26" s="33"/>
      <c r="ABI26" s="33"/>
      <c r="ABJ26" s="33"/>
      <c r="ABK26" s="33"/>
      <c r="ABL26" s="33"/>
      <c r="ABM26" s="33"/>
      <c r="ABN26" s="33"/>
      <c r="ABO26" s="33"/>
      <c r="ABP26" s="33"/>
      <c r="ABQ26" s="33"/>
      <c r="ABR26" s="33"/>
      <c r="ABS26" s="33"/>
      <c r="ABT26" s="33"/>
      <c r="ABU26" s="33"/>
      <c r="ABV26" s="33"/>
      <c r="ABW26" s="33"/>
      <c r="ABX26" s="33"/>
      <c r="ABY26" s="33"/>
      <c r="ABZ26" s="33"/>
      <c r="ACA26" s="33"/>
      <c r="ACB26" s="33"/>
      <c r="ACC26" s="33"/>
      <c r="ACD26" s="33"/>
      <c r="ACE26" s="33"/>
      <c r="ACF26" s="33"/>
      <c r="ACG26" s="33"/>
      <c r="ACH26" s="33"/>
      <c r="ACI26" s="33"/>
      <c r="ACJ26" s="33"/>
      <c r="ACK26" s="33"/>
      <c r="ACL26" s="33"/>
      <c r="ACM26" s="33"/>
      <c r="ACN26" s="33"/>
      <c r="ACO26" s="33"/>
      <c r="ACP26" s="33"/>
      <c r="ACQ26" s="33"/>
      <c r="ACR26" s="33"/>
      <c r="ACS26" s="33"/>
      <c r="ACT26" s="33"/>
      <c r="ACU26" s="33"/>
      <c r="ACV26" s="33"/>
      <c r="ACW26" s="33"/>
      <c r="ACX26" s="33"/>
      <c r="ACY26" s="33"/>
      <c r="ACZ26" s="33"/>
      <c r="ADA26" s="33"/>
      <c r="ADB26" s="33"/>
      <c r="ADC26" s="33"/>
      <c r="ADD26" s="33"/>
      <c r="ADE26" s="33"/>
      <c r="ADF26" s="33"/>
      <c r="ADG26" s="33"/>
      <c r="ADH26" s="33"/>
      <c r="ADI26" s="33"/>
      <c r="ADJ26" s="33"/>
      <c r="ADK26" s="33"/>
      <c r="ADL26" s="33"/>
      <c r="ADM26" s="33"/>
      <c r="ADN26" s="33"/>
      <c r="ADO26" s="33"/>
      <c r="ADP26" s="33"/>
      <c r="ADQ26" s="33"/>
      <c r="ADR26" s="33"/>
      <c r="ADS26" s="33"/>
      <c r="ADT26" s="33"/>
      <c r="ADU26" s="33"/>
      <c r="ADV26" s="33"/>
      <c r="ADW26" s="33"/>
      <c r="ADX26" s="33"/>
      <c r="ADY26" s="33"/>
      <c r="ADZ26" s="33"/>
      <c r="AEA26" s="33"/>
      <c r="AEB26" s="33"/>
      <c r="AEC26" s="33"/>
      <c r="AED26" s="33"/>
      <c r="AEE26" s="33"/>
      <c r="AEF26" s="33"/>
      <c r="AEG26" s="33"/>
      <c r="AEH26" s="33"/>
      <c r="AEI26" s="33"/>
      <c r="AEJ26" s="33"/>
      <c r="AEK26" s="33"/>
      <c r="AEL26" s="33"/>
      <c r="AEM26" s="33"/>
      <c r="AEN26" s="33"/>
      <c r="AEO26" s="33"/>
      <c r="AEP26" s="33"/>
      <c r="AEQ26" s="33"/>
      <c r="AER26" s="33"/>
      <c r="AES26" s="33"/>
      <c r="AET26" s="33"/>
      <c r="AEU26" s="33"/>
      <c r="AEV26" s="33"/>
      <c r="AEW26" s="33"/>
      <c r="AEX26" s="33"/>
      <c r="AEY26" s="33"/>
      <c r="AEZ26" s="33"/>
      <c r="AFA26" s="33"/>
      <c r="AFB26" s="33"/>
      <c r="AFC26" s="33"/>
      <c r="AFD26" s="33"/>
      <c r="AFE26" s="33"/>
      <c r="AFF26" s="33"/>
      <c r="AFG26" s="33"/>
      <c r="AFH26" s="33"/>
      <c r="AFI26" s="33"/>
      <c r="AFJ26" s="33"/>
      <c r="AFK26" s="33"/>
      <c r="AFL26" s="33"/>
      <c r="AFM26" s="33"/>
      <c r="AFN26" s="33"/>
      <c r="AFO26" s="33"/>
      <c r="AFP26" s="33"/>
      <c r="AFQ26" s="33"/>
      <c r="AFR26" s="33"/>
      <c r="AFS26" s="33"/>
      <c r="AFT26" s="33"/>
      <c r="AFU26" s="33"/>
      <c r="AFV26" s="33"/>
      <c r="AFW26" s="33"/>
      <c r="AFX26" s="33"/>
      <c r="AFY26" s="33"/>
      <c r="AFZ26" s="33"/>
      <c r="AGA26" s="33"/>
      <c r="AGB26" s="33"/>
      <c r="AGC26" s="33"/>
      <c r="AGD26" s="33"/>
      <c r="AGE26" s="33"/>
      <c r="AGF26" s="33"/>
      <c r="AGG26" s="33"/>
      <c r="AGH26" s="33"/>
      <c r="AGI26" s="33"/>
      <c r="AGJ26" s="33"/>
      <c r="AGK26" s="33"/>
      <c r="AGL26" s="33"/>
      <c r="AGM26" s="33"/>
      <c r="AGN26" s="33"/>
      <c r="AGO26" s="33"/>
      <c r="AGP26" s="33"/>
      <c r="AGQ26" s="33"/>
      <c r="AGR26" s="33"/>
      <c r="AGS26" s="33"/>
      <c r="AGT26" s="33"/>
      <c r="AGU26" s="33"/>
      <c r="AGV26" s="33"/>
      <c r="AGW26" s="33"/>
      <c r="AGX26" s="33"/>
      <c r="AGY26" s="33"/>
      <c r="AGZ26" s="33"/>
      <c r="AHA26" s="33"/>
      <c r="AHB26" s="33"/>
      <c r="AHC26" s="33"/>
      <c r="AHD26" s="33"/>
      <c r="AHE26" s="33"/>
      <c r="AHF26" s="33"/>
      <c r="AHG26" s="33"/>
      <c r="AHH26" s="33"/>
      <c r="AHI26" s="33"/>
      <c r="AHJ26" s="33"/>
      <c r="AHK26" s="33"/>
      <c r="AHL26" s="33"/>
      <c r="AHM26" s="33"/>
      <c r="AHN26" s="33"/>
      <c r="AHO26" s="33"/>
      <c r="AHP26" s="33"/>
      <c r="AHQ26" s="33"/>
      <c r="AHR26" s="33"/>
      <c r="AHS26" s="33"/>
      <c r="AHT26" s="33"/>
      <c r="AHU26" s="33"/>
      <c r="AHV26" s="33"/>
      <c r="AHW26" s="33"/>
      <c r="AHX26" s="33"/>
      <c r="AHY26" s="33"/>
      <c r="AHZ26" s="33"/>
      <c r="AIA26" s="33"/>
      <c r="AIB26" s="33"/>
      <c r="AIC26" s="33"/>
      <c r="AID26" s="33"/>
      <c r="AIE26" s="33"/>
      <c r="AIF26" s="33"/>
      <c r="AIG26" s="33"/>
      <c r="AIH26" s="33"/>
      <c r="AII26" s="33"/>
      <c r="AIJ26" s="33"/>
      <c r="AIK26" s="33"/>
      <c r="AIL26" s="33"/>
      <c r="AIM26" s="33"/>
      <c r="AIN26" s="33"/>
      <c r="AIO26" s="33"/>
      <c r="AIP26" s="33"/>
      <c r="AIQ26" s="33"/>
      <c r="AIR26" s="33"/>
      <c r="AIS26" s="33"/>
      <c r="AIT26" s="33"/>
      <c r="AIU26" s="33"/>
      <c r="AIV26" s="33"/>
      <c r="AIW26" s="33"/>
      <c r="AIX26" s="33"/>
      <c r="AIY26" s="33"/>
      <c r="AIZ26" s="33"/>
      <c r="AJA26" s="33"/>
      <c r="AJB26" s="33"/>
      <c r="AJC26" s="33"/>
      <c r="AJD26" s="33"/>
      <c r="AJE26" s="33"/>
      <c r="AJF26" s="33"/>
      <c r="AJG26" s="33"/>
      <c r="AJH26" s="33"/>
      <c r="AJI26" s="33"/>
      <c r="AJJ26" s="33"/>
      <c r="AJK26" s="33"/>
      <c r="AJL26" s="33"/>
      <c r="AJM26" s="33"/>
      <c r="AJN26" s="33"/>
      <c r="AJO26" s="33"/>
      <c r="AJP26" s="33"/>
      <c r="AJQ26" s="33"/>
      <c r="AJR26" s="33"/>
      <c r="AJS26" s="33"/>
      <c r="AJT26" s="33"/>
      <c r="AJU26" s="33"/>
      <c r="AJV26" s="33"/>
      <c r="AJW26" s="33"/>
      <c r="AJX26" s="33"/>
      <c r="AJY26" s="33"/>
      <c r="AJZ26" s="33"/>
      <c r="AKA26" s="33"/>
      <c r="AKB26" s="33"/>
      <c r="AKC26" s="33"/>
      <c r="AKD26" s="33"/>
      <c r="AKE26" s="33"/>
      <c r="AKF26" s="33"/>
      <c r="AKG26" s="33"/>
      <c r="AKH26" s="33"/>
      <c r="AKI26" s="33"/>
      <c r="AKJ26" s="33"/>
      <c r="AKK26" s="33"/>
      <c r="AKL26" s="33"/>
      <c r="AKM26" s="33"/>
      <c r="AKN26" s="33"/>
      <c r="AKO26" s="33"/>
      <c r="AKP26" s="33"/>
      <c r="AKQ26" s="33"/>
      <c r="AKR26" s="33"/>
      <c r="AKS26" s="33"/>
      <c r="AKT26" s="33"/>
      <c r="AKU26" s="33"/>
      <c r="AKV26" s="33"/>
      <c r="AKW26" s="33"/>
      <c r="AKX26" s="33"/>
      <c r="AKY26" s="33"/>
      <c r="AKZ26" s="33"/>
      <c r="ALA26" s="33"/>
      <c r="ALB26" s="33"/>
      <c r="ALC26" s="33"/>
      <c r="ALD26" s="33"/>
      <c r="ALE26" s="33"/>
      <c r="ALF26" s="33"/>
      <c r="ALG26" s="33"/>
      <c r="ALH26" s="33"/>
      <c r="ALI26" s="33"/>
      <c r="ALJ26" s="33"/>
      <c r="ALK26" s="33"/>
      <c r="ALL26" s="33"/>
      <c r="ALM26" s="33"/>
      <c r="ALN26" s="33"/>
      <c r="ALO26" s="33"/>
      <c r="ALP26" s="33"/>
      <c r="ALQ26" s="33"/>
      <c r="ALR26" s="33"/>
      <c r="ALS26" s="33"/>
      <c r="ALT26" s="33"/>
      <c r="ALU26" s="33"/>
      <c r="ALV26" s="33"/>
      <c r="ALW26" s="33"/>
      <c r="ALX26" s="33"/>
      <c r="ALY26" s="33"/>
      <c r="ALZ26" s="33"/>
      <c r="AMA26" s="33"/>
      <c r="AMB26" s="33"/>
      <c r="AMC26" s="33"/>
      <c r="AMD26" s="33"/>
      <c r="AME26" s="33"/>
      <c r="AMF26" s="33"/>
      <c r="AMG26" s="33"/>
      <c r="AMH26" s="33"/>
      <c r="AMI26" s="33"/>
      <c r="AMJ26" s="33"/>
      <c r="AMK26" s="33"/>
      <c r="AML26" s="33"/>
      <c r="AMM26" s="33"/>
      <c r="AMN26" s="33"/>
      <c r="AMO26" s="33"/>
      <c r="AMP26" s="33"/>
      <c r="AMQ26" s="33"/>
      <c r="AMR26" s="33"/>
      <c r="AMS26" s="33"/>
      <c r="AMT26" s="33"/>
      <c r="AMU26" s="33"/>
      <c r="AMV26" s="33"/>
      <c r="AMW26" s="33"/>
      <c r="AMX26" s="33"/>
      <c r="AMY26" s="33"/>
      <c r="AMZ26" s="33"/>
      <c r="ANA26" s="33"/>
      <c r="ANB26" s="33"/>
      <c r="ANC26" s="33"/>
      <c r="AND26" s="33"/>
      <c r="ANE26" s="33"/>
      <c r="ANF26" s="33"/>
      <c r="ANG26" s="33"/>
      <c r="ANH26" s="33"/>
      <c r="ANI26" s="33"/>
      <c r="ANJ26" s="33"/>
      <c r="ANK26" s="33"/>
      <c r="ANL26" s="33"/>
      <c r="ANM26" s="33"/>
      <c r="ANN26" s="33"/>
      <c r="ANO26" s="33"/>
      <c r="ANP26" s="33"/>
      <c r="ANQ26" s="33"/>
      <c r="ANR26" s="33"/>
      <c r="ANS26" s="33"/>
      <c r="ANT26" s="33"/>
      <c r="ANU26" s="33"/>
      <c r="ANV26" s="33"/>
      <c r="ANW26" s="33"/>
      <c r="ANX26" s="33"/>
      <c r="ANY26" s="33"/>
      <c r="ANZ26" s="33"/>
      <c r="AOA26" s="33"/>
      <c r="AOB26" s="33"/>
      <c r="AOC26" s="33"/>
      <c r="AOD26" s="33"/>
      <c r="AOE26" s="33"/>
      <c r="AOF26" s="33"/>
      <c r="AOG26" s="33"/>
      <c r="AOH26" s="33"/>
      <c r="AOI26" s="33"/>
      <c r="AOJ26" s="33"/>
      <c r="AOK26" s="33"/>
      <c r="AOL26" s="33"/>
      <c r="AOM26" s="33"/>
      <c r="AON26" s="33"/>
      <c r="AOO26" s="33"/>
      <c r="AOP26" s="33"/>
      <c r="AOQ26" s="33"/>
      <c r="AOR26" s="33"/>
      <c r="AOS26" s="33"/>
      <c r="AOT26" s="33"/>
      <c r="AOU26" s="33"/>
      <c r="AOV26" s="33"/>
      <c r="AOW26" s="33"/>
      <c r="AOX26" s="33"/>
      <c r="AOY26" s="33"/>
      <c r="AOZ26" s="33"/>
      <c r="APA26" s="33"/>
      <c r="APB26" s="33"/>
      <c r="APC26" s="33"/>
      <c r="APD26" s="33"/>
      <c r="APE26" s="33"/>
      <c r="APF26" s="33"/>
      <c r="APG26" s="33"/>
      <c r="APH26" s="33"/>
      <c r="API26" s="33"/>
      <c r="APJ26" s="33"/>
      <c r="APK26" s="33"/>
      <c r="APL26" s="33"/>
      <c r="APM26" s="33"/>
      <c r="APN26" s="33"/>
      <c r="APO26" s="33"/>
      <c r="APP26" s="33"/>
      <c r="APQ26" s="33"/>
      <c r="APR26" s="33"/>
      <c r="APS26" s="33"/>
      <c r="APT26" s="33"/>
      <c r="APU26" s="33"/>
      <c r="APV26" s="33"/>
      <c r="APW26" s="33"/>
      <c r="APX26" s="33"/>
      <c r="APY26" s="33"/>
      <c r="APZ26" s="33"/>
      <c r="AQA26" s="33"/>
      <c r="AQB26" s="33"/>
      <c r="AQC26" s="33"/>
      <c r="AQD26" s="33"/>
      <c r="AQE26" s="33"/>
      <c r="AQF26" s="33"/>
      <c r="AQG26" s="33"/>
      <c r="AQH26" s="33"/>
      <c r="AQI26" s="33"/>
      <c r="AQJ26" s="33"/>
      <c r="AQK26" s="33"/>
      <c r="AQL26" s="33"/>
      <c r="AQM26" s="33"/>
      <c r="AQN26" s="33"/>
      <c r="AQO26" s="33"/>
      <c r="AQP26" s="33"/>
      <c r="AQQ26" s="33"/>
      <c r="AQR26" s="33"/>
      <c r="AQS26" s="33"/>
      <c r="AQT26" s="33"/>
      <c r="AQU26" s="33"/>
      <c r="AQV26" s="33"/>
      <c r="AQW26" s="33"/>
      <c r="AQX26" s="33"/>
      <c r="AQY26" s="33"/>
      <c r="AQZ26" s="33"/>
      <c r="ARA26" s="33"/>
      <c r="ARB26" s="33"/>
      <c r="ARC26" s="33"/>
      <c r="ARD26" s="33"/>
      <c r="ARE26" s="33"/>
      <c r="ARF26" s="33"/>
      <c r="ARG26" s="33"/>
      <c r="ARH26" s="33"/>
      <c r="ARI26" s="33"/>
      <c r="ARJ26" s="33"/>
      <c r="ARK26" s="33"/>
      <c r="ARL26" s="33"/>
      <c r="ARM26" s="33"/>
      <c r="ARN26" s="33"/>
      <c r="ARO26" s="33"/>
      <c r="ARP26" s="33"/>
      <c r="ARQ26" s="33"/>
      <c r="ARR26" s="33"/>
      <c r="ARS26" s="33"/>
      <c r="ART26" s="33"/>
      <c r="ARU26" s="33"/>
      <c r="ARV26" s="33"/>
      <c r="ARW26" s="33"/>
      <c r="ARX26" s="33"/>
      <c r="ARY26" s="33"/>
      <c r="ARZ26" s="33"/>
      <c r="ASA26" s="33"/>
      <c r="ASB26" s="33"/>
      <c r="ASC26" s="33"/>
      <c r="ASD26" s="33"/>
      <c r="ASE26" s="33"/>
      <c r="ASF26" s="33"/>
      <c r="ASG26" s="33"/>
      <c r="ASH26" s="33"/>
      <c r="ASI26" s="33"/>
      <c r="ASJ26" s="33"/>
      <c r="ASK26" s="33"/>
      <c r="ASL26" s="33"/>
      <c r="ASM26" s="33"/>
      <c r="ASN26" s="33"/>
      <c r="ASO26" s="33"/>
      <c r="ASP26" s="33"/>
      <c r="ASQ26" s="33"/>
      <c r="ASR26" s="33"/>
      <c r="ASS26" s="33"/>
      <c r="AST26" s="33"/>
      <c r="ASU26" s="33"/>
      <c r="ASV26" s="33"/>
      <c r="ASW26" s="33"/>
      <c r="ASX26" s="33"/>
      <c r="ASY26" s="33"/>
      <c r="ASZ26" s="33"/>
      <c r="ATA26" s="33"/>
      <c r="ATB26" s="33"/>
      <c r="ATC26" s="33"/>
      <c r="ATD26" s="33"/>
      <c r="ATE26" s="33"/>
      <c r="ATF26" s="33"/>
      <c r="ATG26" s="33"/>
      <c r="ATH26" s="33"/>
      <c r="ATI26" s="33"/>
      <c r="ATJ26" s="33"/>
      <c r="ATK26" s="33"/>
      <c r="ATL26" s="33"/>
      <c r="ATM26" s="33"/>
      <c r="ATN26" s="33"/>
      <c r="ATO26" s="33"/>
      <c r="ATP26" s="33"/>
      <c r="ATQ26" s="33"/>
      <c r="ATR26" s="33"/>
      <c r="ATS26" s="33"/>
      <c r="ATT26" s="33"/>
      <c r="ATU26" s="33"/>
      <c r="ATV26" s="33"/>
      <c r="ATW26" s="33"/>
      <c r="ATX26" s="33"/>
      <c r="ATY26" s="33"/>
      <c r="ATZ26" s="33"/>
      <c r="AUA26" s="33"/>
      <c r="AUB26" s="33"/>
      <c r="AUC26" s="33"/>
      <c r="AUD26" s="33"/>
      <c r="AUE26" s="33"/>
      <c r="AUF26" s="33"/>
      <c r="AUG26" s="33"/>
      <c r="AUH26" s="33"/>
      <c r="AUI26" s="33"/>
      <c r="AUJ26" s="33"/>
      <c r="AUK26" s="33"/>
      <c r="AUL26" s="33"/>
      <c r="AUM26" s="33"/>
      <c r="AUN26" s="33"/>
      <c r="AUO26" s="33"/>
      <c r="AUP26" s="33"/>
      <c r="AUQ26" s="33"/>
      <c r="AUR26" s="33"/>
      <c r="AUS26" s="33"/>
      <c r="AUT26" s="33"/>
      <c r="AUU26" s="33"/>
      <c r="AUV26" s="33"/>
      <c r="AUW26" s="33"/>
      <c r="AUX26" s="33"/>
      <c r="AUY26" s="33"/>
      <c r="AUZ26" s="33"/>
      <c r="AVA26" s="33"/>
      <c r="AVB26" s="33"/>
      <c r="AVC26" s="33"/>
      <c r="AVD26" s="33"/>
      <c r="AVE26" s="33"/>
      <c r="AVF26" s="33"/>
      <c r="AVG26" s="33"/>
      <c r="AVH26" s="33"/>
      <c r="AVI26" s="33"/>
      <c r="AVJ26" s="33"/>
      <c r="AVK26" s="33"/>
      <c r="AVL26" s="33"/>
      <c r="AVM26" s="33"/>
      <c r="AVN26" s="33"/>
      <c r="AVO26" s="33"/>
      <c r="AVP26" s="33"/>
      <c r="AVQ26" s="33"/>
      <c r="AVR26" s="33"/>
      <c r="AVS26" s="33"/>
      <c r="AVT26" s="33"/>
      <c r="AVU26" s="33"/>
      <c r="AVV26" s="33"/>
      <c r="AVW26" s="33"/>
      <c r="AVX26" s="33"/>
      <c r="AVY26" s="33"/>
      <c r="AVZ26" s="33"/>
      <c r="AWA26" s="33"/>
      <c r="AWB26" s="33"/>
      <c r="AWC26" s="33"/>
      <c r="AWD26" s="33"/>
      <c r="AWE26" s="33"/>
      <c r="AWF26" s="33"/>
      <c r="AWG26" s="33"/>
      <c r="AWH26" s="33"/>
      <c r="AWI26" s="33"/>
      <c r="AWJ26" s="33"/>
      <c r="AWK26" s="33"/>
      <c r="AWL26" s="33"/>
      <c r="AWM26" s="33"/>
      <c r="AWN26" s="33"/>
      <c r="AWO26" s="33"/>
      <c r="AWP26" s="33"/>
      <c r="AWQ26" s="33"/>
      <c r="AWR26" s="33"/>
      <c r="AWS26" s="33"/>
      <c r="AWT26" s="33"/>
      <c r="AWU26" s="33"/>
      <c r="AWV26" s="33"/>
      <c r="AWW26" s="33"/>
      <c r="AWX26" s="33"/>
      <c r="AWY26" s="33"/>
      <c r="AWZ26" s="33"/>
      <c r="AXA26" s="33"/>
      <c r="AXB26" s="33"/>
      <c r="AXC26" s="33"/>
      <c r="AXD26" s="33"/>
      <c r="AXE26" s="33"/>
      <c r="AXF26" s="33"/>
      <c r="AXG26" s="33"/>
      <c r="AXH26" s="33"/>
      <c r="AXI26" s="33"/>
      <c r="AXJ26" s="33"/>
      <c r="AXK26" s="33"/>
      <c r="AXL26" s="33"/>
      <c r="AXM26" s="33"/>
      <c r="AXN26" s="33"/>
      <c r="AXO26" s="33"/>
      <c r="AXP26" s="33"/>
      <c r="AXQ26" s="33"/>
      <c r="AXR26" s="33"/>
      <c r="AXS26" s="33"/>
      <c r="AXT26" s="33"/>
      <c r="AXU26" s="33"/>
      <c r="AXV26" s="33"/>
      <c r="AXW26" s="33"/>
      <c r="AXX26" s="33"/>
      <c r="AXY26" s="33"/>
      <c r="AXZ26" s="33"/>
      <c r="AYA26" s="33"/>
      <c r="AYB26" s="33"/>
      <c r="AYC26" s="33"/>
      <c r="AYD26" s="33"/>
      <c r="AYE26" s="33"/>
      <c r="AYF26" s="33"/>
      <c r="AYG26" s="33"/>
      <c r="AYH26" s="33"/>
      <c r="AYI26" s="33"/>
      <c r="AYJ26" s="33"/>
      <c r="AYK26" s="33"/>
      <c r="AYL26" s="33"/>
      <c r="AYM26" s="33"/>
      <c r="AYN26" s="33"/>
      <c r="AYO26" s="33"/>
      <c r="AYP26" s="33"/>
      <c r="AYQ26" s="33"/>
      <c r="AYR26" s="33"/>
      <c r="AYS26" s="33"/>
      <c r="AYT26" s="33"/>
      <c r="AYU26" s="33"/>
      <c r="AYV26" s="33"/>
      <c r="AYW26" s="33"/>
      <c r="AYX26" s="33"/>
      <c r="AYY26" s="33"/>
      <c r="AYZ26" s="33"/>
      <c r="AZA26" s="33"/>
      <c r="AZB26" s="33"/>
      <c r="AZC26" s="33"/>
      <c r="AZD26" s="33"/>
      <c r="AZE26" s="33"/>
      <c r="AZF26" s="33"/>
      <c r="AZG26" s="33"/>
      <c r="AZH26" s="33"/>
      <c r="AZI26" s="33"/>
      <c r="AZJ26" s="33"/>
      <c r="AZK26" s="33"/>
      <c r="AZL26" s="33"/>
      <c r="AZM26" s="33"/>
      <c r="AZN26" s="33"/>
      <c r="AZO26" s="33"/>
      <c r="AZP26" s="33"/>
      <c r="AZQ26" s="33"/>
      <c r="AZR26" s="33"/>
      <c r="AZS26" s="33"/>
      <c r="AZT26" s="33"/>
      <c r="AZU26" s="33"/>
      <c r="AZV26" s="33"/>
      <c r="AZW26" s="33"/>
      <c r="AZX26" s="33"/>
      <c r="AZY26" s="33"/>
      <c r="AZZ26" s="33"/>
      <c r="BAA26" s="33"/>
      <c r="BAB26" s="33"/>
      <c r="BAC26" s="33"/>
      <c r="BAD26" s="33"/>
      <c r="BAE26" s="33"/>
      <c r="BAF26" s="33"/>
      <c r="BAG26" s="33"/>
      <c r="BAH26" s="33"/>
      <c r="BAI26" s="33"/>
      <c r="BAJ26" s="33"/>
      <c r="BAK26" s="33"/>
      <c r="BAL26" s="33"/>
      <c r="BAM26" s="33"/>
      <c r="BAN26" s="33"/>
      <c r="BAO26" s="33"/>
      <c r="BAP26" s="33"/>
      <c r="BAQ26" s="33"/>
      <c r="BAR26" s="33"/>
      <c r="BAS26" s="33"/>
      <c r="BAT26" s="33"/>
      <c r="BAU26" s="33"/>
      <c r="BAV26" s="33"/>
      <c r="BAW26" s="33"/>
      <c r="BAX26" s="33"/>
      <c r="BAY26" s="33"/>
      <c r="BAZ26" s="33"/>
      <c r="BBA26" s="33"/>
      <c r="BBB26" s="33"/>
      <c r="BBC26" s="33"/>
      <c r="BBD26" s="33"/>
      <c r="BBE26" s="33"/>
      <c r="BBF26" s="33"/>
      <c r="BBG26" s="33"/>
      <c r="BBH26" s="33"/>
      <c r="BBI26" s="33"/>
      <c r="BBJ26" s="33"/>
      <c r="BBK26" s="33"/>
      <c r="BBL26" s="33"/>
      <c r="BBM26" s="33"/>
      <c r="BBN26" s="33"/>
      <c r="BBO26" s="33"/>
      <c r="BBP26" s="33"/>
      <c r="BBQ26" s="33"/>
      <c r="BBR26" s="33"/>
      <c r="BBS26" s="33"/>
      <c r="BBT26" s="33"/>
      <c r="BBU26" s="33"/>
      <c r="BBV26" s="33"/>
      <c r="BBW26" s="33"/>
      <c r="BBX26" s="33"/>
      <c r="BBY26" s="33"/>
      <c r="BBZ26" s="33"/>
      <c r="BCA26" s="33"/>
      <c r="BCB26" s="33"/>
      <c r="BCC26" s="33"/>
      <c r="BCD26" s="33"/>
      <c r="BCE26" s="33"/>
      <c r="BCF26" s="33"/>
      <c r="BCG26" s="33"/>
      <c r="BCH26" s="33"/>
      <c r="BCI26" s="33"/>
      <c r="BCJ26" s="33"/>
      <c r="BCK26" s="33"/>
      <c r="BCL26" s="33"/>
      <c r="BCM26" s="33"/>
      <c r="BCN26" s="33"/>
      <c r="BCO26" s="33"/>
      <c r="BCP26" s="33"/>
      <c r="BCQ26" s="33"/>
      <c r="BCR26" s="33"/>
      <c r="BCS26" s="33"/>
      <c r="BCT26" s="33"/>
      <c r="BCU26" s="33"/>
      <c r="BCV26" s="33"/>
      <c r="BCW26" s="33"/>
      <c r="BCX26" s="33"/>
      <c r="BCY26" s="33"/>
      <c r="BCZ26" s="33"/>
      <c r="BDA26" s="33"/>
      <c r="BDB26" s="33"/>
      <c r="BDC26" s="33"/>
      <c r="BDD26" s="33"/>
      <c r="BDE26" s="33"/>
      <c r="BDF26" s="33"/>
      <c r="BDG26" s="33"/>
      <c r="BDH26" s="33"/>
      <c r="BDI26" s="33"/>
      <c r="BDJ26" s="33"/>
      <c r="BDK26" s="33"/>
      <c r="BDL26" s="33"/>
      <c r="BDM26" s="33"/>
      <c r="BDN26" s="33"/>
      <c r="BDO26" s="33"/>
      <c r="BDP26" s="33"/>
      <c r="BDQ26" s="33"/>
      <c r="BDR26" s="33"/>
      <c r="BDS26" s="33"/>
      <c r="BDT26" s="33"/>
      <c r="BDU26" s="33"/>
      <c r="BDV26" s="33"/>
      <c r="BDW26" s="33"/>
      <c r="BDX26" s="33"/>
      <c r="BDY26" s="33"/>
      <c r="BDZ26" s="33"/>
      <c r="BEA26" s="33"/>
      <c r="BEB26" s="33"/>
      <c r="BEC26" s="33"/>
      <c r="BED26" s="33"/>
      <c r="BEE26" s="33"/>
      <c r="BEF26" s="33"/>
      <c r="BEG26" s="33"/>
      <c r="BEH26" s="33"/>
      <c r="BEI26" s="33"/>
      <c r="BEJ26" s="33"/>
      <c r="BEK26" s="33"/>
      <c r="BEL26" s="33"/>
      <c r="BEM26" s="33"/>
      <c r="BEN26" s="33"/>
      <c r="BEO26" s="33"/>
      <c r="BEP26" s="33"/>
      <c r="BEQ26" s="33"/>
      <c r="BER26" s="33"/>
      <c r="BES26" s="33"/>
      <c r="BET26" s="33"/>
      <c r="BEU26" s="33"/>
      <c r="BEV26" s="33"/>
      <c r="BEW26" s="33"/>
      <c r="BEX26" s="33"/>
      <c r="BEY26" s="33"/>
      <c r="BEZ26" s="33"/>
      <c r="BFA26" s="33"/>
      <c r="BFB26" s="33"/>
      <c r="BFC26" s="33"/>
      <c r="BFD26" s="33"/>
      <c r="BFE26" s="33"/>
      <c r="BFF26" s="33"/>
      <c r="BFG26" s="33"/>
      <c r="BFH26" s="33"/>
      <c r="BFI26" s="33"/>
      <c r="BFJ26" s="33"/>
      <c r="BFK26" s="33"/>
      <c r="BFL26" s="33"/>
      <c r="BFM26" s="33"/>
      <c r="BFN26" s="33"/>
      <c r="BFO26" s="33"/>
      <c r="BFP26" s="33"/>
      <c r="BFQ26" s="33"/>
      <c r="BFR26" s="33"/>
      <c r="BFS26" s="33"/>
      <c r="BFT26" s="33"/>
      <c r="BFU26" s="33"/>
      <c r="BFV26" s="33"/>
      <c r="BFW26" s="33"/>
      <c r="BFX26" s="33"/>
      <c r="BFY26" s="33"/>
      <c r="BFZ26" s="33"/>
      <c r="BGA26" s="33"/>
      <c r="BGB26" s="33"/>
      <c r="BGC26" s="33"/>
      <c r="BGD26" s="33"/>
      <c r="BGE26" s="33"/>
      <c r="BGF26" s="33"/>
      <c r="BGG26" s="33"/>
      <c r="BGH26" s="33"/>
      <c r="BGI26" s="33"/>
      <c r="BGJ26" s="33"/>
      <c r="BGK26" s="33"/>
      <c r="BGL26" s="33"/>
      <c r="BGM26" s="33"/>
      <c r="BGN26" s="33"/>
      <c r="BGO26" s="33"/>
      <c r="BGP26" s="33"/>
      <c r="BGQ26" s="33"/>
      <c r="BGR26" s="33"/>
      <c r="BGS26" s="33"/>
      <c r="BGT26" s="33"/>
      <c r="BGU26" s="33"/>
      <c r="BGV26" s="33"/>
      <c r="BGW26" s="33"/>
      <c r="BGX26" s="33"/>
      <c r="BGY26" s="33"/>
      <c r="BGZ26" s="33"/>
      <c r="BHA26" s="33"/>
      <c r="BHB26" s="33"/>
      <c r="BHC26" s="33"/>
      <c r="BHD26" s="33"/>
      <c r="BHE26" s="33"/>
      <c r="BHF26" s="33"/>
      <c r="BHG26" s="33"/>
      <c r="BHH26" s="33"/>
      <c r="BHI26" s="33"/>
      <c r="BHJ26" s="33"/>
      <c r="BHK26" s="33"/>
      <c r="BHL26" s="33"/>
      <c r="BHM26" s="33"/>
      <c r="BHN26" s="33"/>
      <c r="BHO26" s="33"/>
      <c r="BHP26" s="33"/>
      <c r="BHQ26" s="33"/>
      <c r="BHR26" s="33"/>
      <c r="BHS26" s="33"/>
      <c r="BHT26" s="33"/>
      <c r="BHU26" s="33"/>
      <c r="BHV26" s="33"/>
      <c r="BHW26" s="33"/>
      <c r="BHX26" s="33"/>
      <c r="BHY26" s="33"/>
      <c r="BHZ26" s="33"/>
      <c r="BIA26" s="33"/>
      <c r="BIB26" s="33"/>
      <c r="BIC26" s="33"/>
      <c r="BID26" s="33"/>
      <c r="BIE26" s="33"/>
      <c r="BIF26" s="33"/>
      <c r="BIG26" s="33"/>
      <c r="BIH26" s="33"/>
      <c r="BII26" s="33"/>
      <c r="BIJ26" s="33"/>
      <c r="BIK26" s="33"/>
      <c r="BIL26" s="33"/>
      <c r="BIM26" s="33"/>
      <c r="BIN26" s="33"/>
      <c r="BIO26" s="33"/>
      <c r="BIP26" s="33"/>
      <c r="BIQ26" s="33"/>
      <c r="BIR26" s="33"/>
      <c r="BIS26" s="33"/>
      <c r="BIT26" s="33"/>
      <c r="BIU26" s="33"/>
      <c r="BIV26" s="33"/>
      <c r="BIW26" s="33"/>
      <c r="BIX26" s="33"/>
      <c r="BIY26" s="33"/>
      <c r="BIZ26" s="33"/>
      <c r="BJA26" s="33"/>
      <c r="BJB26" s="33"/>
      <c r="BJC26" s="33"/>
      <c r="BJD26" s="33"/>
      <c r="BJE26" s="33"/>
      <c r="BJF26" s="33"/>
      <c r="BJG26" s="33"/>
      <c r="BJH26" s="33"/>
      <c r="BJI26" s="33"/>
      <c r="BJJ26" s="33"/>
      <c r="BJK26" s="33"/>
      <c r="BJL26" s="33"/>
      <c r="BJM26" s="33"/>
      <c r="BJN26" s="33"/>
      <c r="BJO26" s="33"/>
      <c r="BJP26" s="33"/>
      <c r="BJQ26" s="33"/>
      <c r="BJR26" s="33"/>
      <c r="BJS26" s="33"/>
      <c r="BJT26" s="33"/>
      <c r="BJU26" s="33"/>
      <c r="BJV26" s="33"/>
      <c r="BJW26" s="33"/>
      <c r="BJX26" s="33"/>
      <c r="BJY26" s="33"/>
      <c r="BJZ26" s="33"/>
      <c r="BKA26" s="33"/>
      <c r="BKB26" s="33"/>
      <c r="BKC26" s="33"/>
      <c r="BKD26" s="33"/>
      <c r="BKE26" s="33"/>
      <c r="BKF26" s="33"/>
      <c r="BKG26" s="33"/>
      <c r="BKH26" s="33"/>
      <c r="BKI26" s="33"/>
      <c r="BKJ26" s="33"/>
      <c r="BKK26" s="33"/>
      <c r="BKL26" s="33"/>
      <c r="BKM26" s="33"/>
      <c r="BKN26" s="33"/>
      <c r="BKO26" s="33"/>
      <c r="BKP26" s="33"/>
      <c r="BKQ26" s="33"/>
      <c r="BKR26" s="33"/>
      <c r="BKS26" s="33"/>
      <c r="BKT26" s="33"/>
      <c r="BKU26" s="33"/>
      <c r="BKV26" s="33"/>
      <c r="BKW26" s="33"/>
      <c r="BKX26" s="33"/>
      <c r="BKY26" s="33"/>
      <c r="BKZ26" s="33"/>
      <c r="BLA26" s="33"/>
      <c r="BLB26" s="33"/>
      <c r="BLC26" s="33"/>
      <c r="BLD26" s="33"/>
      <c r="BLE26" s="33"/>
      <c r="BLF26" s="33"/>
      <c r="BLG26" s="33"/>
      <c r="BLH26" s="33"/>
      <c r="BLI26" s="33"/>
      <c r="BLJ26" s="33"/>
      <c r="BLK26" s="33"/>
      <c r="BLL26" s="33"/>
      <c r="BLM26" s="33"/>
      <c r="BLN26" s="33"/>
      <c r="BLO26" s="33"/>
      <c r="BLP26" s="33"/>
      <c r="BLQ26" s="33"/>
      <c r="BLR26" s="33"/>
      <c r="BLS26" s="33"/>
      <c r="BLT26" s="33"/>
      <c r="BLU26" s="33"/>
      <c r="BLV26" s="33"/>
      <c r="BLW26" s="33"/>
      <c r="BLX26" s="33"/>
      <c r="BLY26" s="33"/>
      <c r="BLZ26" s="33"/>
      <c r="BMA26" s="33"/>
      <c r="BMB26" s="33"/>
      <c r="BMC26" s="33"/>
      <c r="BMD26" s="33"/>
      <c r="BME26" s="33"/>
      <c r="BMF26" s="33"/>
      <c r="BMG26" s="33"/>
      <c r="BMH26" s="33"/>
      <c r="BMI26" s="33"/>
      <c r="BMJ26" s="33"/>
      <c r="BMK26" s="33"/>
      <c r="BML26" s="33"/>
      <c r="BMM26" s="33"/>
      <c r="BMN26" s="33"/>
      <c r="BMO26" s="33"/>
      <c r="BMP26" s="33"/>
      <c r="BMQ26" s="33"/>
      <c r="BMR26" s="33"/>
      <c r="BMS26" s="33"/>
      <c r="BMT26" s="33"/>
      <c r="BMU26" s="33"/>
      <c r="BMV26" s="33"/>
      <c r="BMW26" s="33"/>
      <c r="BMX26" s="33"/>
      <c r="BMY26" s="33"/>
      <c r="BMZ26" s="33"/>
      <c r="BNA26" s="33"/>
      <c r="BNB26" s="33"/>
      <c r="BNC26" s="33"/>
      <c r="BND26" s="33"/>
      <c r="BNE26" s="33"/>
      <c r="BNF26" s="33"/>
      <c r="BNG26" s="33"/>
      <c r="BNH26" s="33"/>
      <c r="BNI26" s="33"/>
      <c r="BNJ26" s="33"/>
      <c r="BNK26" s="33"/>
      <c r="BNL26" s="33"/>
      <c r="BNM26" s="33"/>
      <c r="BNN26" s="33"/>
      <c r="BNO26" s="33"/>
      <c r="BNP26" s="33"/>
      <c r="BNQ26" s="33"/>
      <c r="BNR26" s="33"/>
      <c r="BNS26" s="33"/>
      <c r="BNT26" s="33"/>
      <c r="BNU26" s="33"/>
      <c r="BNV26" s="33"/>
      <c r="BNW26" s="33"/>
      <c r="BNX26" s="33"/>
      <c r="BNY26" s="33"/>
      <c r="BNZ26" s="33"/>
      <c r="BOA26" s="33"/>
      <c r="BOB26" s="33"/>
      <c r="BOC26" s="33"/>
      <c r="BOD26" s="33"/>
      <c r="BOE26" s="33"/>
      <c r="BOF26" s="33"/>
      <c r="BOG26" s="33"/>
      <c r="BOH26" s="33"/>
      <c r="BOI26" s="33"/>
      <c r="BOJ26" s="33"/>
      <c r="BOK26" s="33"/>
      <c r="BOL26" s="33"/>
      <c r="BOM26" s="33"/>
      <c r="BON26" s="33"/>
      <c r="BOO26" s="33"/>
      <c r="BOP26" s="33"/>
      <c r="BOQ26" s="33"/>
      <c r="BOR26" s="33"/>
      <c r="BOS26" s="33"/>
      <c r="BOT26" s="33"/>
      <c r="BOU26" s="33"/>
      <c r="BOV26" s="33"/>
      <c r="BOW26" s="33"/>
      <c r="BOX26" s="33"/>
      <c r="BOY26" s="33"/>
      <c r="BOZ26" s="33"/>
      <c r="BPA26" s="33"/>
      <c r="BPB26" s="33"/>
      <c r="BPC26" s="82"/>
    </row>
    <row r="27" s="35" customFormat="1" ht="24" customHeight="1" spans="1:1024 1025:1771">
      <c r="A27" s="83" t="s">
        <v>81</v>
      </c>
      <c r="B27" s="83"/>
      <c r="C27" s="83"/>
      <c r="D27" s="83"/>
      <c r="E27" s="83"/>
      <c r="F27" s="83"/>
      <c r="G27" s="83"/>
      <c r="H27" s="83"/>
      <c r="I27" s="83"/>
      <c r="J27" s="83"/>
      <c r="K27" s="34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33"/>
      <c r="MM27" s="33"/>
      <c r="MN27" s="33"/>
      <c r="MO27" s="33"/>
      <c r="MP27" s="33"/>
      <c r="MQ27" s="33"/>
      <c r="MR27" s="33"/>
      <c r="MS27" s="33"/>
      <c r="MT27" s="33"/>
      <c r="MU27" s="33"/>
      <c r="MV27" s="33"/>
      <c r="MW27" s="33"/>
      <c r="MX27" s="33"/>
      <c r="MY27" s="33"/>
      <c r="MZ27" s="33"/>
      <c r="NA27" s="33"/>
      <c r="NB27" s="33"/>
      <c r="NC27" s="33"/>
      <c r="ND27" s="33"/>
      <c r="NE27" s="33"/>
      <c r="NF27" s="33"/>
      <c r="NG27" s="33"/>
      <c r="NH27" s="33"/>
      <c r="NI27" s="33"/>
      <c r="NJ27" s="33"/>
      <c r="NK27" s="33"/>
      <c r="NL27" s="33"/>
      <c r="NM27" s="33"/>
      <c r="NN27" s="33"/>
      <c r="NO27" s="33"/>
      <c r="NP27" s="33"/>
      <c r="NQ27" s="33"/>
      <c r="NR27" s="33"/>
      <c r="NS27" s="33"/>
      <c r="NT27" s="33"/>
      <c r="NU27" s="33"/>
      <c r="NV27" s="33"/>
      <c r="NW27" s="33"/>
      <c r="NX27" s="33"/>
      <c r="NY27" s="33"/>
      <c r="NZ27" s="33"/>
      <c r="OA27" s="33"/>
      <c r="OB27" s="33"/>
      <c r="OC27" s="33"/>
      <c r="OD27" s="33"/>
      <c r="OE27" s="33"/>
      <c r="OF27" s="33"/>
      <c r="OG27" s="33"/>
      <c r="OH27" s="33"/>
      <c r="OI27" s="33"/>
      <c r="OJ27" s="33"/>
      <c r="OK27" s="33"/>
      <c r="OL27" s="33"/>
      <c r="OM27" s="33"/>
      <c r="ON27" s="33"/>
      <c r="OO27" s="33"/>
      <c r="OP27" s="33"/>
      <c r="OQ27" s="33"/>
      <c r="OR27" s="33"/>
      <c r="OS27" s="33"/>
      <c r="OT27" s="33"/>
      <c r="OU27" s="33"/>
      <c r="OV27" s="33"/>
      <c r="OW27" s="33"/>
      <c r="OX27" s="33"/>
      <c r="OY27" s="33"/>
      <c r="OZ27" s="33"/>
      <c r="PA27" s="33"/>
      <c r="PB27" s="33"/>
      <c r="PC27" s="33"/>
      <c r="PD27" s="33"/>
      <c r="PE27" s="33"/>
      <c r="PF27" s="33"/>
      <c r="PG27" s="33"/>
      <c r="PH27" s="33"/>
      <c r="PI27" s="33"/>
      <c r="PJ27" s="33"/>
      <c r="PK27" s="33"/>
      <c r="PL27" s="33"/>
      <c r="PM27" s="33"/>
      <c r="PN27" s="33"/>
      <c r="PO27" s="33"/>
      <c r="PP27" s="33"/>
      <c r="PQ27" s="33"/>
      <c r="PR27" s="33"/>
      <c r="PS27" s="33"/>
      <c r="PT27" s="33"/>
      <c r="PU27" s="33"/>
      <c r="PV27" s="33"/>
      <c r="PW27" s="33"/>
      <c r="PX27" s="33"/>
      <c r="PY27" s="33"/>
      <c r="PZ27" s="33"/>
      <c r="QA27" s="33"/>
      <c r="QB27" s="33"/>
      <c r="QC27" s="33"/>
      <c r="QD27" s="33"/>
      <c r="QE27" s="33"/>
      <c r="QF27" s="33"/>
      <c r="QG27" s="33"/>
      <c r="QH27" s="33"/>
      <c r="QI27" s="33"/>
      <c r="QJ27" s="33"/>
      <c r="QK27" s="33"/>
      <c r="QL27" s="33"/>
      <c r="QM27" s="33"/>
      <c r="QN27" s="33"/>
      <c r="QO27" s="33"/>
      <c r="QP27" s="33"/>
      <c r="QQ27" s="33"/>
      <c r="QR27" s="33"/>
      <c r="QS27" s="33"/>
      <c r="QT27" s="33"/>
      <c r="QU27" s="33"/>
      <c r="QV27" s="33"/>
      <c r="QW27" s="33"/>
      <c r="QX27" s="33"/>
      <c r="QY27" s="33"/>
      <c r="QZ27" s="33"/>
      <c r="RA27" s="33"/>
      <c r="RB27" s="33"/>
      <c r="RC27" s="33"/>
      <c r="RD27" s="33"/>
      <c r="RE27" s="33"/>
      <c r="RF27" s="33"/>
      <c r="RG27" s="33"/>
      <c r="RH27" s="33"/>
      <c r="RI27" s="33"/>
      <c r="RJ27" s="33"/>
      <c r="RK27" s="33"/>
      <c r="RL27" s="33"/>
      <c r="RM27" s="33"/>
      <c r="RN27" s="33"/>
      <c r="RO27" s="33"/>
      <c r="RP27" s="33"/>
      <c r="RQ27" s="33"/>
      <c r="RR27" s="33"/>
      <c r="RS27" s="33"/>
      <c r="RT27" s="33"/>
      <c r="RU27" s="33"/>
      <c r="RV27" s="33"/>
      <c r="RW27" s="33"/>
      <c r="RX27" s="33"/>
      <c r="RY27" s="33"/>
      <c r="RZ27" s="33"/>
      <c r="SA27" s="33"/>
      <c r="SB27" s="33"/>
      <c r="SC27" s="33"/>
      <c r="SD27" s="33"/>
      <c r="SE27" s="33"/>
      <c r="SF27" s="33"/>
      <c r="SG27" s="33"/>
      <c r="SH27" s="33"/>
      <c r="SI27" s="33"/>
      <c r="SJ27" s="33"/>
      <c r="SK27" s="33"/>
      <c r="SL27" s="33"/>
      <c r="SM27" s="33"/>
      <c r="SN27" s="33"/>
      <c r="SO27" s="33"/>
      <c r="SP27" s="33"/>
      <c r="SQ27" s="33"/>
      <c r="SR27" s="33"/>
      <c r="SS27" s="33"/>
      <c r="ST27" s="33"/>
      <c r="SU27" s="33"/>
      <c r="SV27" s="33"/>
      <c r="SW27" s="33"/>
      <c r="SX27" s="33"/>
      <c r="SY27" s="33"/>
      <c r="SZ27" s="33"/>
      <c r="TA27" s="33"/>
      <c r="TB27" s="33"/>
      <c r="TC27" s="33"/>
      <c r="TD27" s="33"/>
      <c r="TE27" s="33"/>
      <c r="TF27" s="33"/>
      <c r="TG27" s="33"/>
      <c r="TH27" s="33"/>
      <c r="TI27" s="33"/>
      <c r="TJ27" s="33"/>
      <c r="TK27" s="33"/>
      <c r="TL27" s="33"/>
      <c r="TM27" s="33"/>
      <c r="TN27" s="33"/>
      <c r="TO27" s="33"/>
      <c r="TP27" s="33"/>
      <c r="TQ27" s="33"/>
      <c r="TR27" s="33"/>
      <c r="TS27" s="33"/>
      <c r="TT27" s="33"/>
      <c r="TU27" s="33"/>
      <c r="TV27" s="33"/>
      <c r="TW27" s="33"/>
      <c r="TX27" s="33"/>
      <c r="TY27" s="33"/>
      <c r="TZ27" s="33"/>
      <c r="UA27" s="33"/>
      <c r="UB27" s="33"/>
      <c r="UC27" s="33"/>
      <c r="UD27" s="33"/>
      <c r="UE27" s="33"/>
      <c r="UF27" s="33"/>
      <c r="UG27" s="33"/>
      <c r="UH27" s="33"/>
      <c r="UI27" s="33"/>
      <c r="UJ27" s="33"/>
      <c r="UK27" s="33"/>
      <c r="UL27" s="33"/>
      <c r="UM27" s="33"/>
      <c r="UN27" s="33"/>
      <c r="UO27" s="33"/>
      <c r="UP27" s="33"/>
      <c r="UQ27" s="33"/>
      <c r="UR27" s="33"/>
      <c r="US27" s="33"/>
      <c r="UT27" s="33"/>
      <c r="UU27" s="33"/>
      <c r="UV27" s="33"/>
      <c r="UW27" s="33"/>
      <c r="UX27" s="33"/>
      <c r="UY27" s="33"/>
      <c r="UZ27" s="33"/>
      <c r="VA27" s="33"/>
      <c r="VB27" s="33"/>
      <c r="VC27" s="33"/>
      <c r="VD27" s="33"/>
      <c r="VE27" s="33"/>
      <c r="VF27" s="33"/>
      <c r="VG27" s="33"/>
      <c r="VH27" s="33"/>
      <c r="VI27" s="33"/>
      <c r="VJ27" s="33"/>
      <c r="VK27" s="33"/>
      <c r="VL27" s="33"/>
      <c r="VM27" s="33"/>
      <c r="VN27" s="33"/>
      <c r="VO27" s="33"/>
      <c r="VP27" s="33"/>
      <c r="VQ27" s="33"/>
      <c r="VR27" s="33"/>
      <c r="VS27" s="33"/>
      <c r="VT27" s="33"/>
      <c r="VU27" s="33"/>
      <c r="VV27" s="33"/>
      <c r="VW27" s="33"/>
      <c r="VX27" s="33"/>
      <c r="VY27" s="33"/>
      <c r="VZ27" s="33"/>
      <c r="WA27" s="33"/>
      <c r="WB27" s="33"/>
      <c r="WC27" s="33"/>
      <c r="WD27" s="33"/>
      <c r="WE27" s="33"/>
      <c r="WF27" s="33"/>
      <c r="WG27" s="33"/>
      <c r="WH27" s="33"/>
      <c r="WI27" s="33"/>
      <c r="WJ27" s="33"/>
      <c r="WK27" s="33"/>
      <c r="WL27" s="33"/>
      <c r="WM27" s="33"/>
      <c r="WN27" s="33"/>
      <c r="WO27" s="33"/>
      <c r="WP27" s="33"/>
      <c r="WQ27" s="33"/>
      <c r="WR27" s="33"/>
      <c r="WS27" s="33"/>
      <c r="WT27" s="33"/>
      <c r="WU27" s="33"/>
      <c r="WV27" s="33"/>
      <c r="WW27" s="33"/>
      <c r="WX27" s="33"/>
      <c r="WY27" s="33"/>
      <c r="WZ27" s="33"/>
      <c r="XA27" s="33"/>
      <c r="XB27" s="33"/>
      <c r="XC27" s="33"/>
      <c r="XD27" s="33"/>
      <c r="XE27" s="33"/>
      <c r="XF27" s="33"/>
      <c r="XG27" s="33"/>
      <c r="XH27" s="33"/>
      <c r="XI27" s="33"/>
      <c r="XJ27" s="33"/>
      <c r="XK27" s="33"/>
      <c r="XL27" s="33"/>
      <c r="XM27" s="33"/>
      <c r="XN27" s="33"/>
      <c r="XO27" s="33"/>
      <c r="XP27" s="33"/>
      <c r="XQ27" s="33"/>
      <c r="XR27" s="33"/>
      <c r="XS27" s="33"/>
      <c r="XT27" s="33"/>
      <c r="XU27" s="33"/>
      <c r="XV27" s="33"/>
      <c r="XW27" s="33"/>
      <c r="XX27" s="33"/>
      <c r="XY27" s="33"/>
      <c r="XZ27" s="33"/>
      <c r="YA27" s="33"/>
      <c r="YB27" s="33"/>
      <c r="YC27" s="33"/>
      <c r="YD27" s="33"/>
      <c r="YE27" s="33"/>
      <c r="YF27" s="33"/>
      <c r="YG27" s="33"/>
      <c r="YH27" s="33"/>
      <c r="YI27" s="33"/>
      <c r="YJ27" s="33"/>
      <c r="YK27" s="33"/>
      <c r="YL27" s="33"/>
      <c r="YM27" s="33"/>
      <c r="YN27" s="33"/>
      <c r="YO27" s="33"/>
      <c r="YP27" s="33"/>
      <c r="YQ27" s="33"/>
      <c r="YR27" s="33"/>
      <c r="YS27" s="33"/>
      <c r="YT27" s="33"/>
      <c r="YU27" s="33"/>
      <c r="YV27" s="33"/>
      <c r="YW27" s="33"/>
      <c r="YX27" s="33"/>
      <c r="YY27" s="33"/>
      <c r="YZ27" s="33"/>
      <c r="ZA27" s="33"/>
      <c r="ZB27" s="33"/>
      <c r="ZC27" s="33"/>
      <c r="ZD27" s="33"/>
      <c r="ZE27" s="33"/>
      <c r="ZF27" s="33"/>
      <c r="ZG27" s="33"/>
      <c r="ZH27" s="33"/>
      <c r="ZI27" s="33"/>
      <c r="ZJ27" s="33"/>
      <c r="ZK27" s="33"/>
      <c r="ZL27" s="33"/>
      <c r="ZM27" s="33"/>
      <c r="ZN27" s="33"/>
      <c r="ZO27" s="33"/>
      <c r="ZP27" s="33"/>
      <c r="ZQ27" s="33"/>
      <c r="ZR27" s="33"/>
      <c r="ZS27" s="33"/>
      <c r="ZT27" s="33"/>
      <c r="ZU27" s="33"/>
      <c r="ZV27" s="33"/>
      <c r="ZW27" s="33"/>
      <c r="ZX27" s="33"/>
      <c r="ZY27" s="33"/>
      <c r="ZZ27" s="33"/>
      <c r="AAA27" s="33"/>
      <c r="AAB27" s="33"/>
      <c r="AAC27" s="33"/>
      <c r="AAD27" s="33"/>
      <c r="AAE27" s="33"/>
      <c r="AAF27" s="33"/>
      <c r="AAG27" s="33"/>
      <c r="AAH27" s="33"/>
      <c r="AAI27" s="33"/>
      <c r="AAJ27" s="33"/>
      <c r="AAK27" s="33"/>
      <c r="AAL27" s="33"/>
      <c r="AAM27" s="33"/>
      <c r="AAN27" s="33"/>
      <c r="AAO27" s="33"/>
      <c r="AAP27" s="33"/>
      <c r="AAQ27" s="33"/>
      <c r="AAR27" s="33"/>
      <c r="AAS27" s="33"/>
      <c r="AAT27" s="33"/>
      <c r="AAU27" s="33"/>
      <c r="AAV27" s="33"/>
      <c r="AAW27" s="33"/>
      <c r="AAX27" s="33"/>
      <c r="AAY27" s="33"/>
      <c r="AAZ27" s="33"/>
      <c r="ABA27" s="33"/>
      <c r="ABB27" s="33"/>
      <c r="ABC27" s="33"/>
      <c r="ABD27" s="33"/>
      <c r="ABE27" s="33"/>
      <c r="ABF27" s="33"/>
      <c r="ABG27" s="33"/>
      <c r="ABH27" s="33"/>
      <c r="ABI27" s="33"/>
      <c r="ABJ27" s="33"/>
      <c r="ABK27" s="33"/>
      <c r="ABL27" s="33"/>
      <c r="ABM27" s="33"/>
      <c r="ABN27" s="33"/>
      <c r="ABO27" s="33"/>
      <c r="ABP27" s="33"/>
      <c r="ABQ27" s="33"/>
      <c r="ABR27" s="33"/>
      <c r="ABS27" s="33"/>
      <c r="ABT27" s="33"/>
      <c r="ABU27" s="33"/>
      <c r="ABV27" s="33"/>
      <c r="ABW27" s="33"/>
      <c r="ABX27" s="33"/>
      <c r="ABY27" s="33"/>
      <c r="ABZ27" s="33"/>
      <c r="ACA27" s="33"/>
      <c r="ACB27" s="33"/>
      <c r="ACC27" s="33"/>
      <c r="ACD27" s="33"/>
      <c r="ACE27" s="33"/>
      <c r="ACF27" s="33"/>
      <c r="ACG27" s="33"/>
      <c r="ACH27" s="33"/>
      <c r="ACI27" s="33"/>
      <c r="ACJ27" s="33"/>
      <c r="ACK27" s="33"/>
      <c r="ACL27" s="33"/>
      <c r="ACM27" s="33"/>
      <c r="ACN27" s="33"/>
      <c r="ACO27" s="33"/>
      <c r="ACP27" s="33"/>
      <c r="ACQ27" s="33"/>
      <c r="ACR27" s="33"/>
      <c r="ACS27" s="33"/>
      <c r="ACT27" s="33"/>
      <c r="ACU27" s="33"/>
      <c r="ACV27" s="33"/>
      <c r="ACW27" s="33"/>
      <c r="ACX27" s="33"/>
      <c r="ACY27" s="33"/>
      <c r="ACZ27" s="33"/>
      <c r="ADA27" s="33"/>
      <c r="ADB27" s="33"/>
      <c r="ADC27" s="33"/>
      <c r="ADD27" s="33"/>
      <c r="ADE27" s="33"/>
      <c r="ADF27" s="33"/>
      <c r="ADG27" s="33"/>
      <c r="ADH27" s="33"/>
      <c r="ADI27" s="33"/>
      <c r="ADJ27" s="33"/>
      <c r="ADK27" s="33"/>
      <c r="ADL27" s="33"/>
      <c r="ADM27" s="33"/>
      <c r="ADN27" s="33"/>
      <c r="ADO27" s="33"/>
      <c r="ADP27" s="33"/>
      <c r="ADQ27" s="33"/>
      <c r="ADR27" s="33"/>
      <c r="ADS27" s="33"/>
      <c r="ADT27" s="33"/>
      <c r="ADU27" s="33"/>
      <c r="ADV27" s="33"/>
      <c r="ADW27" s="33"/>
      <c r="ADX27" s="33"/>
      <c r="ADY27" s="33"/>
      <c r="ADZ27" s="33"/>
      <c r="AEA27" s="33"/>
      <c r="AEB27" s="33"/>
      <c r="AEC27" s="33"/>
      <c r="AED27" s="33"/>
      <c r="AEE27" s="33"/>
      <c r="AEF27" s="33"/>
      <c r="AEG27" s="33"/>
      <c r="AEH27" s="33"/>
      <c r="AEI27" s="33"/>
      <c r="AEJ27" s="33"/>
      <c r="AEK27" s="33"/>
      <c r="AEL27" s="33"/>
      <c r="AEM27" s="33"/>
      <c r="AEN27" s="33"/>
      <c r="AEO27" s="33"/>
      <c r="AEP27" s="33"/>
      <c r="AEQ27" s="33"/>
      <c r="AER27" s="33"/>
      <c r="AES27" s="33"/>
      <c r="AET27" s="33"/>
      <c r="AEU27" s="33"/>
      <c r="AEV27" s="33"/>
      <c r="AEW27" s="33"/>
      <c r="AEX27" s="33"/>
      <c r="AEY27" s="33"/>
      <c r="AEZ27" s="33"/>
      <c r="AFA27" s="33"/>
      <c r="AFB27" s="33"/>
      <c r="AFC27" s="33"/>
      <c r="AFD27" s="33"/>
      <c r="AFE27" s="33"/>
      <c r="AFF27" s="33"/>
      <c r="AFG27" s="33"/>
      <c r="AFH27" s="33"/>
      <c r="AFI27" s="33"/>
      <c r="AFJ27" s="33"/>
      <c r="AFK27" s="33"/>
      <c r="AFL27" s="33"/>
      <c r="AFM27" s="33"/>
      <c r="AFN27" s="33"/>
      <c r="AFO27" s="33"/>
      <c r="AFP27" s="33"/>
      <c r="AFQ27" s="33"/>
      <c r="AFR27" s="33"/>
      <c r="AFS27" s="33"/>
      <c r="AFT27" s="33"/>
      <c r="AFU27" s="33"/>
      <c r="AFV27" s="33"/>
      <c r="AFW27" s="33"/>
      <c r="AFX27" s="33"/>
      <c r="AFY27" s="33"/>
      <c r="AFZ27" s="33"/>
      <c r="AGA27" s="33"/>
      <c r="AGB27" s="33"/>
      <c r="AGC27" s="33"/>
      <c r="AGD27" s="33"/>
      <c r="AGE27" s="33"/>
      <c r="AGF27" s="33"/>
      <c r="AGG27" s="33"/>
      <c r="AGH27" s="33"/>
      <c r="AGI27" s="33"/>
      <c r="AGJ27" s="33"/>
      <c r="AGK27" s="33"/>
      <c r="AGL27" s="33"/>
      <c r="AGM27" s="33"/>
      <c r="AGN27" s="33"/>
      <c r="AGO27" s="33"/>
      <c r="AGP27" s="33"/>
      <c r="AGQ27" s="33"/>
      <c r="AGR27" s="33"/>
      <c r="AGS27" s="33"/>
      <c r="AGT27" s="33"/>
      <c r="AGU27" s="33"/>
      <c r="AGV27" s="33"/>
      <c r="AGW27" s="33"/>
      <c r="AGX27" s="33"/>
      <c r="AGY27" s="33"/>
      <c r="AGZ27" s="33"/>
      <c r="AHA27" s="33"/>
      <c r="AHB27" s="33"/>
      <c r="AHC27" s="33"/>
      <c r="AHD27" s="33"/>
      <c r="AHE27" s="33"/>
      <c r="AHF27" s="33"/>
      <c r="AHG27" s="33"/>
      <c r="AHH27" s="33"/>
      <c r="AHI27" s="33"/>
      <c r="AHJ27" s="33"/>
      <c r="AHK27" s="33"/>
      <c r="AHL27" s="33"/>
      <c r="AHM27" s="33"/>
      <c r="AHN27" s="33"/>
      <c r="AHO27" s="33"/>
      <c r="AHP27" s="33"/>
      <c r="AHQ27" s="33"/>
      <c r="AHR27" s="33"/>
      <c r="AHS27" s="33"/>
      <c r="AHT27" s="33"/>
      <c r="AHU27" s="33"/>
      <c r="AHV27" s="33"/>
      <c r="AHW27" s="33"/>
      <c r="AHX27" s="33"/>
      <c r="AHY27" s="33"/>
      <c r="AHZ27" s="33"/>
      <c r="AIA27" s="33"/>
      <c r="AIB27" s="33"/>
      <c r="AIC27" s="33"/>
      <c r="AID27" s="33"/>
      <c r="AIE27" s="33"/>
      <c r="AIF27" s="33"/>
      <c r="AIG27" s="33"/>
      <c r="AIH27" s="33"/>
      <c r="AII27" s="33"/>
      <c r="AIJ27" s="33"/>
      <c r="AIK27" s="33"/>
      <c r="AIL27" s="33"/>
      <c r="AIM27" s="33"/>
      <c r="AIN27" s="33"/>
      <c r="AIO27" s="33"/>
      <c r="AIP27" s="33"/>
      <c r="AIQ27" s="33"/>
      <c r="AIR27" s="33"/>
      <c r="AIS27" s="33"/>
      <c r="AIT27" s="33"/>
      <c r="AIU27" s="33"/>
      <c r="AIV27" s="33"/>
      <c r="AIW27" s="33"/>
      <c r="AIX27" s="33"/>
      <c r="AIY27" s="33"/>
      <c r="AIZ27" s="33"/>
      <c r="AJA27" s="33"/>
      <c r="AJB27" s="33"/>
      <c r="AJC27" s="33"/>
      <c r="AJD27" s="33"/>
      <c r="AJE27" s="33"/>
      <c r="AJF27" s="33"/>
      <c r="AJG27" s="33"/>
      <c r="AJH27" s="33"/>
      <c r="AJI27" s="33"/>
      <c r="AJJ27" s="33"/>
      <c r="AJK27" s="33"/>
      <c r="AJL27" s="33"/>
      <c r="AJM27" s="33"/>
      <c r="AJN27" s="33"/>
      <c r="AJO27" s="33"/>
      <c r="AJP27" s="33"/>
      <c r="AJQ27" s="33"/>
      <c r="AJR27" s="33"/>
      <c r="AJS27" s="33"/>
      <c r="AJT27" s="33"/>
      <c r="AJU27" s="33"/>
      <c r="AJV27" s="33"/>
      <c r="AJW27" s="33"/>
      <c r="AJX27" s="33"/>
      <c r="AJY27" s="33"/>
      <c r="AJZ27" s="33"/>
      <c r="AKA27" s="33"/>
      <c r="AKB27" s="33"/>
      <c r="AKC27" s="33"/>
      <c r="AKD27" s="33"/>
      <c r="AKE27" s="33"/>
      <c r="AKF27" s="33"/>
      <c r="AKG27" s="33"/>
      <c r="AKH27" s="33"/>
      <c r="AKI27" s="33"/>
      <c r="AKJ27" s="33"/>
      <c r="AKK27" s="33"/>
      <c r="AKL27" s="33"/>
      <c r="AKM27" s="33"/>
      <c r="AKN27" s="33"/>
      <c r="AKO27" s="33"/>
      <c r="AKP27" s="33"/>
      <c r="AKQ27" s="33"/>
      <c r="AKR27" s="33"/>
      <c r="AKS27" s="33"/>
      <c r="AKT27" s="33"/>
      <c r="AKU27" s="33"/>
      <c r="AKV27" s="33"/>
      <c r="AKW27" s="33"/>
      <c r="AKX27" s="33"/>
      <c r="AKY27" s="33"/>
      <c r="AKZ27" s="33"/>
      <c r="ALA27" s="33"/>
      <c r="ALB27" s="33"/>
      <c r="ALC27" s="33"/>
      <c r="ALD27" s="33"/>
      <c r="ALE27" s="33"/>
      <c r="ALF27" s="33"/>
      <c r="ALG27" s="33"/>
      <c r="ALH27" s="33"/>
      <c r="ALI27" s="33"/>
      <c r="ALJ27" s="33"/>
      <c r="ALK27" s="33"/>
      <c r="ALL27" s="33"/>
      <c r="ALM27" s="33"/>
      <c r="ALN27" s="33"/>
      <c r="ALO27" s="33"/>
      <c r="ALP27" s="33"/>
      <c r="ALQ27" s="33"/>
      <c r="ALR27" s="33"/>
      <c r="ALS27" s="33"/>
      <c r="ALT27" s="33"/>
      <c r="ALU27" s="33"/>
      <c r="ALV27" s="33"/>
      <c r="ALW27" s="33"/>
      <c r="ALX27" s="33"/>
      <c r="ALY27" s="33"/>
      <c r="ALZ27" s="33"/>
      <c r="AMA27" s="33"/>
      <c r="AMB27" s="33"/>
      <c r="AMC27" s="33"/>
      <c r="AMD27" s="33"/>
      <c r="AME27" s="33"/>
      <c r="AMF27" s="33"/>
      <c r="AMG27" s="33"/>
      <c r="AMH27" s="33"/>
      <c r="AMI27" s="33"/>
      <c r="AMJ27" s="33"/>
      <c r="AMK27" s="33"/>
      <c r="AML27" s="33"/>
      <c r="AMM27" s="33"/>
      <c r="AMN27" s="33"/>
      <c r="AMO27" s="33"/>
      <c r="AMP27" s="33"/>
      <c r="AMQ27" s="33"/>
      <c r="AMR27" s="33"/>
      <c r="AMS27" s="33"/>
      <c r="AMT27" s="33"/>
      <c r="AMU27" s="33"/>
      <c r="AMV27" s="33"/>
      <c r="AMW27" s="33"/>
      <c r="AMX27" s="33"/>
      <c r="AMY27" s="33"/>
      <c r="AMZ27" s="33"/>
      <c r="ANA27" s="33"/>
      <c r="ANB27" s="33"/>
      <c r="ANC27" s="33"/>
      <c r="AND27" s="33"/>
      <c r="ANE27" s="33"/>
      <c r="ANF27" s="33"/>
      <c r="ANG27" s="33"/>
      <c r="ANH27" s="33"/>
      <c r="ANI27" s="33"/>
      <c r="ANJ27" s="33"/>
      <c r="ANK27" s="33"/>
      <c r="ANL27" s="33"/>
      <c r="ANM27" s="33"/>
      <c r="ANN27" s="33"/>
      <c r="ANO27" s="33"/>
      <c r="ANP27" s="33"/>
      <c r="ANQ27" s="33"/>
      <c r="ANR27" s="33"/>
      <c r="ANS27" s="33"/>
      <c r="ANT27" s="33"/>
      <c r="ANU27" s="33"/>
      <c r="ANV27" s="33"/>
      <c r="ANW27" s="33"/>
      <c r="ANX27" s="33"/>
      <c r="ANY27" s="33"/>
      <c r="ANZ27" s="33"/>
      <c r="AOA27" s="33"/>
      <c r="AOB27" s="33"/>
      <c r="AOC27" s="33"/>
      <c r="AOD27" s="33"/>
      <c r="AOE27" s="33"/>
      <c r="AOF27" s="33"/>
      <c r="AOG27" s="33"/>
      <c r="AOH27" s="33"/>
      <c r="AOI27" s="33"/>
      <c r="AOJ27" s="33"/>
      <c r="AOK27" s="33"/>
      <c r="AOL27" s="33"/>
      <c r="AOM27" s="33"/>
      <c r="AON27" s="33"/>
      <c r="AOO27" s="33"/>
      <c r="AOP27" s="33"/>
      <c r="AOQ27" s="33"/>
      <c r="AOR27" s="33"/>
      <c r="AOS27" s="33"/>
      <c r="AOT27" s="33"/>
      <c r="AOU27" s="33"/>
      <c r="AOV27" s="33"/>
      <c r="AOW27" s="33"/>
      <c r="AOX27" s="33"/>
      <c r="AOY27" s="33"/>
      <c r="AOZ27" s="33"/>
      <c r="APA27" s="33"/>
      <c r="APB27" s="33"/>
      <c r="APC27" s="33"/>
      <c r="APD27" s="33"/>
      <c r="APE27" s="33"/>
      <c r="APF27" s="33"/>
      <c r="APG27" s="33"/>
      <c r="APH27" s="33"/>
      <c r="API27" s="33"/>
      <c r="APJ27" s="33"/>
      <c r="APK27" s="33"/>
      <c r="APL27" s="33"/>
      <c r="APM27" s="33"/>
      <c r="APN27" s="33"/>
      <c r="APO27" s="33"/>
      <c r="APP27" s="33"/>
      <c r="APQ27" s="33"/>
      <c r="APR27" s="33"/>
      <c r="APS27" s="33"/>
      <c r="APT27" s="33"/>
      <c r="APU27" s="33"/>
      <c r="APV27" s="33"/>
      <c r="APW27" s="33"/>
      <c r="APX27" s="33"/>
      <c r="APY27" s="33"/>
      <c r="APZ27" s="33"/>
      <c r="AQA27" s="33"/>
      <c r="AQB27" s="33"/>
      <c r="AQC27" s="33"/>
      <c r="AQD27" s="33"/>
      <c r="AQE27" s="33"/>
      <c r="AQF27" s="33"/>
      <c r="AQG27" s="33"/>
      <c r="AQH27" s="33"/>
      <c r="AQI27" s="33"/>
      <c r="AQJ27" s="33"/>
      <c r="AQK27" s="33"/>
      <c r="AQL27" s="33"/>
      <c r="AQM27" s="33"/>
      <c r="AQN27" s="33"/>
      <c r="AQO27" s="33"/>
      <c r="AQP27" s="33"/>
      <c r="AQQ27" s="33"/>
      <c r="AQR27" s="33"/>
      <c r="AQS27" s="33"/>
      <c r="AQT27" s="33"/>
      <c r="AQU27" s="33"/>
      <c r="AQV27" s="33"/>
      <c r="AQW27" s="33"/>
      <c r="AQX27" s="33"/>
      <c r="AQY27" s="33"/>
      <c r="AQZ27" s="33"/>
      <c r="ARA27" s="33"/>
      <c r="ARB27" s="33"/>
      <c r="ARC27" s="33"/>
      <c r="ARD27" s="33"/>
      <c r="ARE27" s="33"/>
      <c r="ARF27" s="33"/>
      <c r="ARG27" s="33"/>
      <c r="ARH27" s="33"/>
      <c r="ARI27" s="33"/>
      <c r="ARJ27" s="33"/>
      <c r="ARK27" s="33"/>
      <c r="ARL27" s="33"/>
      <c r="ARM27" s="33"/>
      <c r="ARN27" s="33"/>
      <c r="ARO27" s="33"/>
      <c r="ARP27" s="33"/>
      <c r="ARQ27" s="33"/>
      <c r="ARR27" s="33"/>
      <c r="ARS27" s="33"/>
      <c r="ART27" s="33"/>
      <c r="ARU27" s="33"/>
      <c r="ARV27" s="33"/>
      <c r="ARW27" s="33"/>
      <c r="ARX27" s="33"/>
      <c r="ARY27" s="33"/>
      <c r="ARZ27" s="33"/>
      <c r="ASA27" s="33"/>
      <c r="ASB27" s="33"/>
      <c r="ASC27" s="33"/>
      <c r="ASD27" s="33"/>
      <c r="ASE27" s="33"/>
      <c r="ASF27" s="33"/>
      <c r="ASG27" s="33"/>
      <c r="ASH27" s="33"/>
      <c r="ASI27" s="33"/>
      <c r="ASJ27" s="33"/>
      <c r="ASK27" s="33"/>
      <c r="ASL27" s="33"/>
      <c r="ASM27" s="33"/>
      <c r="ASN27" s="33"/>
      <c r="ASO27" s="33"/>
      <c r="ASP27" s="33"/>
      <c r="ASQ27" s="33"/>
      <c r="ASR27" s="33"/>
      <c r="ASS27" s="33"/>
      <c r="AST27" s="33"/>
      <c r="ASU27" s="33"/>
      <c r="ASV27" s="33"/>
      <c r="ASW27" s="33"/>
      <c r="ASX27" s="33"/>
      <c r="ASY27" s="33"/>
      <c r="ASZ27" s="33"/>
      <c r="ATA27" s="33"/>
      <c r="ATB27" s="33"/>
      <c r="ATC27" s="33"/>
      <c r="ATD27" s="33"/>
      <c r="ATE27" s="33"/>
      <c r="ATF27" s="33"/>
      <c r="ATG27" s="33"/>
      <c r="ATH27" s="33"/>
      <c r="ATI27" s="33"/>
      <c r="ATJ27" s="33"/>
      <c r="ATK27" s="33"/>
      <c r="ATL27" s="33"/>
      <c r="ATM27" s="33"/>
      <c r="ATN27" s="33"/>
      <c r="ATO27" s="33"/>
      <c r="ATP27" s="33"/>
      <c r="ATQ27" s="33"/>
      <c r="ATR27" s="33"/>
      <c r="ATS27" s="33"/>
      <c r="ATT27" s="33"/>
      <c r="ATU27" s="33"/>
      <c r="ATV27" s="33"/>
      <c r="ATW27" s="33"/>
      <c r="ATX27" s="33"/>
      <c r="ATY27" s="33"/>
      <c r="ATZ27" s="33"/>
      <c r="AUA27" s="33"/>
      <c r="AUB27" s="33"/>
      <c r="AUC27" s="33"/>
      <c r="AUD27" s="33"/>
      <c r="AUE27" s="33"/>
      <c r="AUF27" s="33"/>
      <c r="AUG27" s="33"/>
      <c r="AUH27" s="33"/>
      <c r="AUI27" s="33"/>
      <c r="AUJ27" s="33"/>
      <c r="AUK27" s="33"/>
      <c r="AUL27" s="33"/>
      <c r="AUM27" s="33"/>
      <c r="AUN27" s="33"/>
      <c r="AUO27" s="33"/>
      <c r="AUP27" s="33"/>
      <c r="AUQ27" s="33"/>
      <c r="AUR27" s="33"/>
      <c r="AUS27" s="33"/>
      <c r="AUT27" s="33"/>
      <c r="AUU27" s="33"/>
      <c r="AUV27" s="33"/>
      <c r="AUW27" s="33"/>
      <c r="AUX27" s="33"/>
      <c r="AUY27" s="33"/>
      <c r="AUZ27" s="33"/>
      <c r="AVA27" s="33"/>
      <c r="AVB27" s="33"/>
      <c r="AVC27" s="33"/>
      <c r="AVD27" s="33"/>
      <c r="AVE27" s="33"/>
      <c r="AVF27" s="33"/>
      <c r="AVG27" s="33"/>
      <c r="AVH27" s="33"/>
      <c r="AVI27" s="33"/>
      <c r="AVJ27" s="33"/>
      <c r="AVK27" s="33"/>
      <c r="AVL27" s="33"/>
      <c r="AVM27" s="33"/>
      <c r="AVN27" s="33"/>
      <c r="AVO27" s="33"/>
      <c r="AVP27" s="33"/>
      <c r="AVQ27" s="33"/>
      <c r="AVR27" s="33"/>
      <c r="AVS27" s="33"/>
      <c r="AVT27" s="33"/>
      <c r="AVU27" s="33"/>
      <c r="AVV27" s="33"/>
      <c r="AVW27" s="33"/>
      <c r="AVX27" s="33"/>
      <c r="AVY27" s="33"/>
      <c r="AVZ27" s="33"/>
      <c r="AWA27" s="33"/>
      <c r="AWB27" s="33"/>
      <c r="AWC27" s="33"/>
      <c r="AWD27" s="33"/>
      <c r="AWE27" s="33"/>
      <c r="AWF27" s="33"/>
      <c r="AWG27" s="33"/>
      <c r="AWH27" s="33"/>
      <c r="AWI27" s="33"/>
      <c r="AWJ27" s="33"/>
      <c r="AWK27" s="33"/>
      <c r="AWL27" s="33"/>
      <c r="AWM27" s="33"/>
      <c r="AWN27" s="33"/>
      <c r="AWO27" s="33"/>
      <c r="AWP27" s="33"/>
      <c r="AWQ27" s="33"/>
      <c r="AWR27" s="33"/>
      <c r="AWS27" s="33"/>
      <c r="AWT27" s="33"/>
      <c r="AWU27" s="33"/>
      <c r="AWV27" s="33"/>
      <c r="AWW27" s="33"/>
      <c r="AWX27" s="33"/>
      <c r="AWY27" s="33"/>
      <c r="AWZ27" s="33"/>
      <c r="AXA27" s="33"/>
      <c r="AXB27" s="33"/>
      <c r="AXC27" s="33"/>
      <c r="AXD27" s="33"/>
      <c r="AXE27" s="33"/>
      <c r="AXF27" s="33"/>
      <c r="AXG27" s="33"/>
      <c r="AXH27" s="33"/>
      <c r="AXI27" s="33"/>
      <c r="AXJ27" s="33"/>
      <c r="AXK27" s="33"/>
      <c r="AXL27" s="33"/>
      <c r="AXM27" s="33"/>
      <c r="AXN27" s="33"/>
      <c r="AXO27" s="33"/>
      <c r="AXP27" s="33"/>
      <c r="AXQ27" s="33"/>
      <c r="AXR27" s="33"/>
      <c r="AXS27" s="33"/>
      <c r="AXT27" s="33"/>
      <c r="AXU27" s="33"/>
      <c r="AXV27" s="33"/>
      <c r="AXW27" s="33"/>
      <c r="AXX27" s="33"/>
      <c r="AXY27" s="33"/>
      <c r="AXZ27" s="33"/>
      <c r="AYA27" s="33"/>
      <c r="AYB27" s="33"/>
      <c r="AYC27" s="33"/>
      <c r="AYD27" s="33"/>
      <c r="AYE27" s="33"/>
      <c r="AYF27" s="33"/>
      <c r="AYG27" s="33"/>
      <c r="AYH27" s="33"/>
      <c r="AYI27" s="33"/>
      <c r="AYJ27" s="33"/>
      <c r="AYK27" s="33"/>
      <c r="AYL27" s="33"/>
      <c r="AYM27" s="33"/>
      <c r="AYN27" s="33"/>
      <c r="AYO27" s="33"/>
      <c r="AYP27" s="33"/>
      <c r="AYQ27" s="33"/>
      <c r="AYR27" s="33"/>
      <c r="AYS27" s="33"/>
      <c r="AYT27" s="33"/>
      <c r="AYU27" s="33"/>
      <c r="AYV27" s="33"/>
      <c r="AYW27" s="33"/>
      <c r="AYX27" s="33"/>
      <c r="AYY27" s="33"/>
      <c r="AYZ27" s="33"/>
      <c r="AZA27" s="33"/>
      <c r="AZB27" s="33"/>
      <c r="AZC27" s="33"/>
      <c r="AZD27" s="33"/>
      <c r="AZE27" s="33"/>
      <c r="AZF27" s="33"/>
      <c r="AZG27" s="33"/>
      <c r="AZH27" s="33"/>
      <c r="AZI27" s="33"/>
      <c r="AZJ27" s="33"/>
      <c r="AZK27" s="33"/>
      <c r="AZL27" s="33"/>
      <c r="AZM27" s="33"/>
      <c r="AZN27" s="33"/>
      <c r="AZO27" s="33"/>
      <c r="AZP27" s="33"/>
      <c r="AZQ27" s="33"/>
      <c r="AZR27" s="33"/>
      <c r="AZS27" s="33"/>
      <c r="AZT27" s="33"/>
      <c r="AZU27" s="33"/>
      <c r="AZV27" s="33"/>
      <c r="AZW27" s="33"/>
      <c r="AZX27" s="33"/>
      <c r="AZY27" s="33"/>
      <c r="AZZ27" s="33"/>
      <c r="BAA27" s="33"/>
      <c r="BAB27" s="33"/>
      <c r="BAC27" s="33"/>
      <c r="BAD27" s="33"/>
      <c r="BAE27" s="33"/>
      <c r="BAF27" s="33"/>
      <c r="BAG27" s="33"/>
      <c r="BAH27" s="33"/>
      <c r="BAI27" s="33"/>
      <c r="BAJ27" s="33"/>
      <c r="BAK27" s="33"/>
      <c r="BAL27" s="33"/>
      <c r="BAM27" s="33"/>
      <c r="BAN27" s="33"/>
      <c r="BAO27" s="33"/>
      <c r="BAP27" s="33"/>
      <c r="BAQ27" s="33"/>
      <c r="BAR27" s="33"/>
      <c r="BAS27" s="33"/>
      <c r="BAT27" s="33"/>
      <c r="BAU27" s="33"/>
      <c r="BAV27" s="33"/>
      <c r="BAW27" s="33"/>
      <c r="BAX27" s="33"/>
      <c r="BAY27" s="33"/>
      <c r="BAZ27" s="33"/>
      <c r="BBA27" s="33"/>
      <c r="BBB27" s="33"/>
      <c r="BBC27" s="33"/>
      <c r="BBD27" s="33"/>
      <c r="BBE27" s="33"/>
      <c r="BBF27" s="33"/>
      <c r="BBG27" s="33"/>
      <c r="BBH27" s="33"/>
      <c r="BBI27" s="33"/>
      <c r="BBJ27" s="33"/>
      <c r="BBK27" s="33"/>
      <c r="BBL27" s="33"/>
      <c r="BBM27" s="33"/>
      <c r="BBN27" s="33"/>
      <c r="BBO27" s="33"/>
      <c r="BBP27" s="33"/>
      <c r="BBQ27" s="33"/>
      <c r="BBR27" s="33"/>
      <c r="BBS27" s="33"/>
      <c r="BBT27" s="33"/>
      <c r="BBU27" s="33"/>
      <c r="BBV27" s="33"/>
      <c r="BBW27" s="33"/>
      <c r="BBX27" s="33"/>
      <c r="BBY27" s="33"/>
      <c r="BBZ27" s="33"/>
      <c r="BCA27" s="33"/>
      <c r="BCB27" s="33"/>
      <c r="BCC27" s="33"/>
      <c r="BCD27" s="33"/>
      <c r="BCE27" s="33"/>
      <c r="BCF27" s="33"/>
      <c r="BCG27" s="33"/>
      <c r="BCH27" s="33"/>
      <c r="BCI27" s="33"/>
      <c r="BCJ27" s="33"/>
      <c r="BCK27" s="33"/>
      <c r="BCL27" s="33"/>
      <c r="BCM27" s="33"/>
      <c r="BCN27" s="33"/>
      <c r="BCO27" s="33"/>
      <c r="BCP27" s="33"/>
      <c r="BCQ27" s="33"/>
      <c r="BCR27" s="33"/>
      <c r="BCS27" s="33"/>
      <c r="BCT27" s="33"/>
      <c r="BCU27" s="33"/>
      <c r="BCV27" s="33"/>
      <c r="BCW27" s="33"/>
      <c r="BCX27" s="33"/>
      <c r="BCY27" s="33"/>
      <c r="BCZ27" s="33"/>
      <c r="BDA27" s="33"/>
      <c r="BDB27" s="33"/>
      <c r="BDC27" s="33"/>
      <c r="BDD27" s="33"/>
      <c r="BDE27" s="33"/>
      <c r="BDF27" s="33"/>
      <c r="BDG27" s="33"/>
      <c r="BDH27" s="33"/>
      <c r="BDI27" s="33"/>
      <c r="BDJ27" s="33"/>
      <c r="BDK27" s="33"/>
      <c r="BDL27" s="33"/>
      <c r="BDM27" s="33"/>
      <c r="BDN27" s="33"/>
      <c r="BDO27" s="33"/>
      <c r="BDP27" s="33"/>
      <c r="BDQ27" s="33"/>
      <c r="BDR27" s="33"/>
      <c r="BDS27" s="33"/>
      <c r="BDT27" s="33"/>
      <c r="BDU27" s="33"/>
      <c r="BDV27" s="33"/>
      <c r="BDW27" s="33"/>
      <c r="BDX27" s="33"/>
      <c r="BDY27" s="33"/>
      <c r="BDZ27" s="33"/>
      <c r="BEA27" s="33"/>
      <c r="BEB27" s="33"/>
      <c r="BEC27" s="33"/>
      <c r="BED27" s="33"/>
      <c r="BEE27" s="33"/>
      <c r="BEF27" s="33"/>
      <c r="BEG27" s="33"/>
      <c r="BEH27" s="33"/>
      <c r="BEI27" s="33"/>
      <c r="BEJ27" s="33"/>
      <c r="BEK27" s="33"/>
      <c r="BEL27" s="33"/>
      <c r="BEM27" s="33"/>
      <c r="BEN27" s="33"/>
      <c r="BEO27" s="33"/>
      <c r="BEP27" s="33"/>
      <c r="BEQ27" s="33"/>
      <c r="BER27" s="33"/>
      <c r="BES27" s="33"/>
      <c r="BET27" s="33"/>
      <c r="BEU27" s="33"/>
      <c r="BEV27" s="33"/>
      <c r="BEW27" s="33"/>
      <c r="BEX27" s="33"/>
      <c r="BEY27" s="33"/>
      <c r="BEZ27" s="33"/>
      <c r="BFA27" s="33"/>
      <c r="BFB27" s="33"/>
      <c r="BFC27" s="33"/>
      <c r="BFD27" s="33"/>
      <c r="BFE27" s="33"/>
      <c r="BFF27" s="33"/>
      <c r="BFG27" s="33"/>
      <c r="BFH27" s="33"/>
      <c r="BFI27" s="33"/>
      <c r="BFJ27" s="33"/>
      <c r="BFK27" s="33"/>
      <c r="BFL27" s="33"/>
      <c r="BFM27" s="33"/>
      <c r="BFN27" s="33"/>
      <c r="BFO27" s="33"/>
      <c r="BFP27" s="33"/>
      <c r="BFQ27" s="33"/>
      <c r="BFR27" s="33"/>
      <c r="BFS27" s="33"/>
      <c r="BFT27" s="33"/>
      <c r="BFU27" s="33"/>
      <c r="BFV27" s="33"/>
      <c r="BFW27" s="33"/>
      <c r="BFX27" s="33"/>
      <c r="BFY27" s="33"/>
      <c r="BFZ27" s="33"/>
      <c r="BGA27" s="33"/>
      <c r="BGB27" s="33"/>
      <c r="BGC27" s="33"/>
      <c r="BGD27" s="33"/>
      <c r="BGE27" s="33"/>
      <c r="BGF27" s="33"/>
      <c r="BGG27" s="33"/>
      <c r="BGH27" s="33"/>
      <c r="BGI27" s="33"/>
      <c r="BGJ27" s="33"/>
      <c r="BGK27" s="33"/>
      <c r="BGL27" s="33"/>
      <c r="BGM27" s="33"/>
      <c r="BGN27" s="33"/>
      <c r="BGO27" s="33"/>
      <c r="BGP27" s="33"/>
      <c r="BGQ27" s="33"/>
      <c r="BGR27" s="33"/>
      <c r="BGS27" s="33"/>
      <c r="BGT27" s="33"/>
      <c r="BGU27" s="33"/>
      <c r="BGV27" s="33"/>
      <c r="BGW27" s="33"/>
      <c r="BGX27" s="33"/>
      <c r="BGY27" s="33"/>
      <c r="BGZ27" s="33"/>
      <c r="BHA27" s="33"/>
      <c r="BHB27" s="33"/>
      <c r="BHC27" s="33"/>
      <c r="BHD27" s="33"/>
      <c r="BHE27" s="33"/>
      <c r="BHF27" s="33"/>
      <c r="BHG27" s="33"/>
      <c r="BHH27" s="33"/>
      <c r="BHI27" s="33"/>
      <c r="BHJ27" s="33"/>
      <c r="BHK27" s="33"/>
      <c r="BHL27" s="33"/>
      <c r="BHM27" s="33"/>
      <c r="BHN27" s="33"/>
      <c r="BHO27" s="33"/>
      <c r="BHP27" s="33"/>
      <c r="BHQ27" s="33"/>
      <c r="BHR27" s="33"/>
      <c r="BHS27" s="33"/>
      <c r="BHT27" s="33"/>
      <c r="BHU27" s="33"/>
      <c r="BHV27" s="33"/>
      <c r="BHW27" s="33"/>
      <c r="BHX27" s="33"/>
      <c r="BHY27" s="33"/>
      <c r="BHZ27" s="33"/>
      <c r="BIA27" s="33"/>
      <c r="BIB27" s="33"/>
      <c r="BIC27" s="33"/>
      <c r="BID27" s="33"/>
      <c r="BIE27" s="33"/>
      <c r="BIF27" s="33"/>
      <c r="BIG27" s="33"/>
      <c r="BIH27" s="33"/>
      <c r="BII27" s="33"/>
      <c r="BIJ27" s="33"/>
      <c r="BIK27" s="33"/>
      <c r="BIL27" s="33"/>
      <c r="BIM27" s="33"/>
      <c r="BIN27" s="33"/>
      <c r="BIO27" s="33"/>
      <c r="BIP27" s="33"/>
      <c r="BIQ27" s="33"/>
      <c r="BIR27" s="33"/>
      <c r="BIS27" s="33"/>
      <c r="BIT27" s="33"/>
      <c r="BIU27" s="33"/>
      <c r="BIV27" s="33"/>
      <c r="BIW27" s="33"/>
      <c r="BIX27" s="33"/>
      <c r="BIY27" s="33"/>
      <c r="BIZ27" s="33"/>
      <c r="BJA27" s="33"/>
      <c r="BJB27" s="33"/>
      <c r="BJC27" s="33"/>
      <c r="BJD27" s="33"/>
      <c r="BJE27" s="33"/>
      <c r="BJF27" s="33"/>
      <c r="BJG27" s="33"/>
      <c r="BJH27" s="33"/>
      <c r="BJI27" s="33"/>
      <c r="BJJ27" s="33"/>
      <c r="BJK27" s="33"/>
      <c r="BJL27" s="33"/>
      <c r="BJM27" s="33"/>
      <c r="BJN27" s="33"/>
      <c r="BJO27" s="33"/>
      <c r="BJP27" s="33"/>
      <c r="BJQ27" s="33"/>
      <c r="BJR27" s="33"/>
      <c r="BJS27" s="33"/>
      <c r="BJT27" s="33"/>
      <c r="BJU27" s="33"/>
      <c r="BJV27" s="33"/>
      <c r="BJW27" s="33"/>
      <c r="BJX27" s="33"/>
      <c r="BJY27" s="33"/>
      <c r="BJZ27" s="33"/>
      <c r="BKA27" s="33"/>
      <c r="BKB27" s="33"/>
      <c r="BKC27" s="33"/>
      <c r="BKD27" s="33"/>
      <c r="BKE27" s="33"/>
      <c r="BKF27" s="33"/>
      <c r="BKG27" s="33"/>
      <c r="BKH27" s="33"/>
      <c r="BKI27" s="33"/>
      <c r="BKJ27" s="33"/>
      <c r="BKK27" s="33"/>
      <c r="BKL27" s="33"/>
      <c r="BKM27" s="33"/>
      <c r="BKN27" s="33"/>
      <c r="BKO27" s="33"/>
      <c r="BKP27" s="33"/>
      <c r="BKQ27" s="33"/>
      <c r="BKR27" s="33"/>
      <c r="BKS27" s="33"/>
      <c r="BKT27" s="33"/>
      <c r="BKU27" s="33"/>
      <c r="BKV27" s="33"/>
      <c r="BKW27" s="33"/>
      <c r="BKX27" s="33"/>
      <c r="BKY27" s="33"/>
      <c r="BKZ27" s="33"/>
      <c r="BLA27" s="33"/>
      <c r="BLB27" s="33"/>
      <c r="BLC27" s="33"/>
      <c r="BLD27" s="33"/>
      <c r="BLE27" s="33"/>
      <c r="BLF27" s="33"/>
      <c r="BLG27" s="33"/>
      <c r="BLH27" s="33"/>
      <c r="BLI27" s="33"/>
      <c r="BLJ27" s="33"/>
      <c r="BLK27" s="33"/>
      <c r="BLL27" s="33"/>
      <c r="BLM27" s="33"/>
      <c r="BLN27" s="33"/>
      <c r="BLO27" s="33"/>
      <c r="BLP27" s="33"/>
      <c r="BLQ27" s="33"/>
      <c r="BLR27" s="33"/>
      <c r="BLS27" s="33"/>
      <c r="BLT27" s="33"/>
      <c r="BLU27" s="33"/>
      <c r="BLV27" s="33"/>
      <c r="BLW27" s="33"/>
      <c r="BLX27" s="33"/>
      <c r="BLY27" s="33"/>
      <c r="BLZ27" s="33"/>
      <c r="BMA27" s="33"/>
      <c r="BMB27" s="33"/>
      <c r="BMC27" s="33"/>
      <c r="BMD27" s="33"/>
      <c r="BME27" s="33"/>
      <c r="BMF27" s="33"/>
      <c r="BMG27" s="33"/>
      <c r="BMH27" s="33"/>
      <c r="BMI27" s="33"/>
      <c r="BMJ27" s="33"/>
      <c r="BMK27" s="33"/>
      <c r="BML27" s="33"/>
      <c r="BMM27" s="33"/>
      <c r="BMN27" s="33"/>
      <c r="BMO27" s="33"/>
      <c r="BMP27" s="33"/>
      <c r="BMQ27" s="33"/>
      <c r="BMR27" s="33"/>
      <c r="BMS27" s="33"/>
      <c r="BMT27" s="33"/>
      <c r="BMU27" s="33"/>
      <c r="BMV27" s="33"/>
      <c r="BMW27" s="33"/>
      <c r="BMX27" s="33"/>
      <c r="BMY27" s="33"/>
      <c r="BMZ27" s="33"/>
      <c r="BNA27" s="33"/>
      <c r="BNB27" s="33"/>
      <c r="BNC27" s="33"/>
      <c r="BND27" s="33"/>
      <c r="BNE27" s="33"/>
      <c r="BNF27" s="33"/>
      <c r="BNG27" s="33"/>
      <c r="BNH27" s="33"/>
      <c r="BNI27" s="33"/>
      <c r="BNJ27" s="33"/>
      <c r="BNK27" s="33"/>
      <c r="BNL27" s="33"/>
      <c r="BNM27" s="33"/>
      <c r="BNN27" s="33"/>
      <c r="BNO27" s="33"/>
      <c r="BNP27" s="33"/>
      <c r="BNQ27" s="33"/>
      <c r="BNR27" s="33"/>
      <c r="BNS27" s="33"/>
      <c r="BNT27" s="33"/>
      <c r="BNU27" s="33"/>
      <c r="BNV27" s="33"/>
      <c r="BNW27" s="33"/>
      <c r="BNX27" s="33"/>
      <c r="BNY27" s="33"/>
      <c r="BNZ27" s="33"/>
      <c r="BOA27" s="33"/>
      <c r="BOB27" s="33"/>
      <c r="BOC27" s="33"/>
      <c r="BOD27" s="33"/>
      <c r="BOE27" s="33"/>
      <c r="BOF27" s="33"/>
      <c r="BOG27" s="33"/>
      <c r="BOH27" s="33"/>
      <c r="BOI27" s="33"/>
      <c r="BOJ27" s="33"/>
      <c r="BOK27" s="33"/>
      <c r="BOL27" s="33"/>
      <c r="BOM27" s="33"/>
      <c r="BON27" s="33"/>
      <c r="BOO27" s="33"/>
      <c r="BOP27" s="33"/>
      <c r="BOQ27" s="33"/>
      <c r="BOR27" s="33"/>
      <c r="BOS27" s="33"/>
      <c r="BOT27" s="33"/>
      <c r="BOU27" s="33"/>
      <c r="BOV27" s="33"/>
      <c r="BOW27" s="33"/>
      <c r="BOX27" s="33"/>
      <c r="BOY27" s="33"/>
      <c r="BOZ27" s="33"/>
      <c r="BPA27" s="33"/>
      <c r="BPB27" s="33"/>
      <c r="BPC27" s="82"/>
    </row>
    <row r="28" s="35" customFormat="1" ht="60" customHeight="1" spans="1:1024 1025:1771">
      <c r="A28" s="78" t="s">
        <v>82</v>
      </c>
      <c r="B28" s="75" t="s">
        <v>83</v>
      </c>
      <c r="C28" s="75" t="s">
        <v>84</v>
      </c>
      <c r="D28" s="75" t="s">
        <v>85</v>
      </c>
      <c r="E28" s="75"/>
      <c r="F28" s="75"/>
      <c r="G28" s="79"/>
      <c r="H28" s="76">
        <f ca="1" t="shared" ref="H28:H42" si="1">TODAY()</f>
        <v>46175</v>
      </c>
      <c r="I28" s="84" t="s">
        <v>10</v>
      </c>
      <c r="J28" s="79" t="s">
        <v>86</v>
      </c>
      <c r="K28" s="34" t="s">
        <v>87</v>
      </c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/>
      <c r="TW28" s="33"/>
      <c r="TX28" s="33"/>
      <c r="TY28" s="33"/>
      <c r="TZ28" s="33"/>
      <c r="UA28" s="33"/>
      <c r="UB28" s="33"/>
      <c r="UC28" s="33"/>
      <c r="UD28" s="33"/>
      <c r="UE28" s="33"/>
      <c r="UF28" s="33"/>
      <c r="UG28" s="33"/>
      <c r="UH28" s="33"/>
      <c r="UI28" s="33"/>
      <c r="UJ28" s="33"/>
      <c r="UK28" s="33"/>
      <c r="UL28" s="33"/>
      <c r="UM28" s="33"/>
      <c r="UN28" s="33"/>
      <c r="UO28" s="33"/>
      <c r="UP28" s="33"/>
      <c r="UQ28" s="33"/>
      <c r="UR28" s="33"/>
      <c r="US28" s="33"/>
      <c r="UT28" s="33"/>
      <c r="UU28" s="33"/>
      <c r="UV28" s="33"/>
      <c r="UW28" s="33"/>
      <c r="UX28" s="33"/>
      <c r="UY28" s="33"/>
      <c r="UZ28" s="33"/>
      <c r="VA28" s="33"/>
      <c r="VB28" s="33"/>
      <c r="VC28" s="33"/>
      <c r="VD28" s="33"/>
      <c r="VE28" s="33"/>
      <c r="VF28" s="33"/>
      <c r="VG28" s="33"/>
      <c r="VH28" s="33"/>
      <c r="VI28" s="33"/>
      <c r="VJ28" s="33"/>
      <c r="VK28" s="33"/>
      <c r="VL28" s="33"/>
      <c r="VM28" s="33"/>
      <c r="VN28" s="33"/>
      <c r="VO28" s="33"/>
      <c r="VP28" s="33"/>
      <c r="VQ28" s="33"/>
      <c r="VR28" s="33"/>
      <c r="VS28" s="33"/>
      <c r="VT28" s="33"/>
      <c r="VU28" s="33"/>
      <c r="VV28" s="33"/>
      <c r="VW28" s="33"/>
      <c r="VX28" s="33"/>
      <c r="VY28" s="33"/>
      <c r="VZ28" s="33"/>
      <c r="WA28" s="33"/>
      <c r="WB28" s="33"/>
      <c r="WC28" s="33"/>
      <c r="WD28" s="33"/>
      <c r="WE28" s="33"/>
      <c r="WF28" s="33"/>
      <c r="WG28" s="33"/>
      <c r="WH28" s="33"/>
      <c r="WI28" s="33"/>
      <c r="WJ28" s="33"/>
      <c r="WK28" s="33"/>
      <c r="WL28" s="33"/>
      <c r="WM28" s="33"/>
      <c r="WN28" s="33"/>
      <c r="WO28" s="33"/>
      <c r="WP28" s="33"/>
      <c r="WQ28" s="33"/>
      <c r="WR28" s="33"/>
      <c r="WS28" s="33"/>
      <c r="WT28" s="33"/>
      <c r="WU28" s="33"/>
      <c r="WV28" s="33"/>
      <c r="WW28" s="33"/>
      <c r="WX28" s="33"/>
      <c r="WY28" s="33"/>
      <c r="WZ28" s="33"/>
      <c r="XA28" s="33"/>
      <c r="XB28" s="33"/>
      <c r="XC28" s="33"/>
      <c r="XD28" s="33"/>
      <c r="XE28" s="33"/>
      <c r="XF28" s="33"/>
      <c r="XG28" s="33"/>
      <c r="XH28" s="33"/>
      <c r="XI28" s="33"/>
      <c r="XJ28" s="33"/>
      <c r="XK28" s="33"/>
      <c r="XL28" s="33"/>
      <c r="XM28" s="33"/>
      <c r="XN28" s="33"/>
      <c r="XO28" s="33"/>
      <c r="XP28" s="33"/>
      <c r="XQ28" s="33"/>
      <c r="XR28" s="33"/>
      <c r="XS28" s="33"/>
      <c r="XT28" s="33"/>
      <c r="XU28" s="33"/>
      <c r="XV28" s="33"/>
      <c r="XW28" s="33"/>
      <c r="XX28" s="33"/>
      <c r="XY28" s="33"/>
      <c r="XZ28" s="33"/>
      <c r="YA28" s="33"/>
      <c r="YB28" s="33"/>
      <c r="YC28" s="33"/>
      <c r="YD28" s="33"/>
      <c r="YE28" s="33"/>
      <c r="YF28" s="33"/>
      <c r="YG28" s="33"/>
      <c r="YH28" s="33"/>
      <c r="YI28" s="33"/>
      <c r="YJ28" s="33"/>
      <c r="YK28" s="33"/>
      <c r="YL28" s="33"/>
      <c r="YM28" s="33"/>
      <c r="YN28" s="33"/>
      <c r="YO28" s="33"/>
      <c r="YP28" s="33"/>
      <c r="YQ28" s="33"/>
      <c r="YR28" s="33"/>
      <c r="YS28" s="33"/>
      <c r="YT28" s="33"/>
      <c r="YU28" s="33"/>
      <c r="YV28" s="33"/>
      <c r="YW28" s="33"/>
      <c r="YX28" s="33"/>
      <c r="YY28" s="33"/>
      <c r="YZ28" s="33"/>
      <c r="ZA28" s="33"/>
      <c r="ZB28" s="33"/>
      <c r="ZC28" s="33"/>
      <c r="ZD28" s="33"/>
      <c r="ZE28" s="33"/>
      <c r="ZF28" s="33"/>
      <c r="ZG28" s="33"/>
      <c r="ZH28" s="33"/>
      <c r="ZI28" s="33"/>
      <c r="ZJ28" s="33"/>
      <c r="ZK28" s="33"/>
      <c r="ZL28" s="33"/>
      <c r="ZM28" s="33"/>
      <c r="ZN28" s="33"/>
      <c r="ZO28" s="33"/>
      <c r="ZP28" s="33"/>
      <c r="ZQ28" s="33"/>
      <c r="ZR28" s="33"/>
      <c r="ZS28" s="33"/>
      <c r="ZT28" s="33"/>
      <c r="ZU28" s="33"/>
      <c r="ZV28" s="33"/>
      <c r="ZW28" s="33"/>
      <c r="ZX28" s="33"/>
      <c r="ZY28" s="33"/>
      <c r="ZZ28" s="33"/>
      <c r="AAA28" s="33"/>
      <c r="AAB28" s="33"/>
      <c r="AAC28" s="33"/>
      <c r="AAD28" s="33"/>
      <c r="AAE28" s="33"/>
      <c r="AAF28" s="33"/>
      <c r="AAG28" s="33"/>
      <c r="AAH28" s="33"/>
      <c r="AAI28" s="33"/>
      <c r="AAJ28" s="33"/>
      <c r="AAK28" s="33"/>
      <c r="AAL28" s="33"/>
      <c r="AAM28" s="33"/>
      <c r="AAN28" s="33"/>
      <c r="AAO28" s="33"/>
      <c r="AAP28" s="33"/>
      <c r="AAQ28" s="33"/>
      <c r="AAR28" s="33"/>
      <c r="AAS28" s="33"/>
      <c r="AAT28" s="33"/>
      <c r="AAU28" s="33"/>
      <c r="AAV28" s="33"/>
      <c r="AAW28" s="33"/>
      <c r="AAX28" s="33"/>
      <c r="AAY28" s="33"/>
      <c r="AAZ28" s="33"/>
      <c r="ABA28" s="33"/>
      <c r="ABB28" s="33"/>
      <c r="ABC28" s="33"/>
      <c r="ABD28" s="33"/>
      <c r="ABE28" s="33"/>
      <c r="ABF28" s="33"/>
      <c r="ABG28" s="33"/>
      <c r="ABH28" s="33"/>
      <c r="ABI28" s="33"/>
      <c r="ABJ28" s="33"/>
      <c r="ABK28" s="33"/>
      <c r="ABL28" s="33"/>
      <c r="ABM28" s="33"/>
      <c r="ABN28" s="33"/>
      <c r="ABO28" s="33"/>
      <c r="ABP28" s="33"/>
      <c r="ABQ28" s="33"/>
      <c r="ABR28" s="33"/>
      <c r="ABS28" s="33"/>
      <c r="ABT28" s="33"/>
      <c r="ABU28" s="33"/>
      <c r="ABV28" s="33"/>
      <c r="ABW28" s="33"/>
      <c r="ABX28" s="33"/>
      <c r="ABY28" s="33"/>
      <c r="ABZ28" s="33"/>
      <c r="ACA28" s="33"/>
      <c r="ACB28" s="33"/>
      <c r="ACC28" s="33"/>
      <c r="ACD28" s="33"/>
      <c r="ACE28" s="33"/>
      <c r="ACF28" s="33"/>
      <c r="ACG28" s="33"/>
      <c r="ACH28" s="33"/>
      <c r="ACI28" s="33"/>
      <c r="ACJ28" s="33"/>
      <c r="ACK28" s="33"/>
      <c r="ACL28" s="33"/>
      <c r="ACM28" s="33"/>
      <c r="ACN28" s="33"/>
      <c r="ACO28" s="33"/>
      <c r="ACP28" s="33"/>
      <c r="ACQ28" s="33"/>
      <c r="ACR28" s="33"/>
      <c r="ACS28" s="33"/>
      <c r="ACT28" s="33"/>
      <c r="ACU28" s="33"/>
      <c r="ACV28" s="33"/>
      <c r="ACW28" s="33"/>
      <c r="ACX28" s="33"/>
      <c r="ACY28" s="33"/>
      <c r="ACZ28" s="33"/>
      <c r="ADA28" s="33"/>
      <c r="ADB28" s="33"/>
      <c r="ADC28" s="33"/>
      <c r="ADD28" s="33"/>
      <c r="ADE28" s="33"/>
      <c r="ADF28" s="33"/>
      <c r="ADG28" s="33"/>
      <c r="ADH28" s="33"/>
      <c r="ADI28" s="33"/>
      <c r="ADJ28" s="33"/>
      <c r="ADK28" s="33"/>
      <c r="ADL28" s="33"/>
      <c r="ADM28" s="33"/>
      <c r="ADN28" s="33"/>
      <c r="ADO28" s="33"/>
      <c r="ADP28" s="33"/>
      <c r="ADQ28" s="33"/>
      <c r="ADR28" s="33"/>
      <c r="ADS28" s="33"/>
      <c r="ADT28" s="33"/>
      <c r="ADU28" s="33"/>
      <c r="ADV28" s="33"/>
      <c r="ADW28" s="33"/>
      <c r="ADX28" s="33"/>
      <c r="ADY28" s="33"/>
      <c r="ADZ28" s="33"/>
      <c r="AEA28" s="33"/>
      <c r="AEB28" s="33"/>
      <c r="AEC28" s="33"/>
      <c r="AED28" s="33"/>
      <c r="AEE28" s="33"/>
      <c r="AEF28" s="33"/>
      <c r="AEG28" s="33"/>
      <c r="AEH28" s="33"/>
      <c r="AEI28" s="33"/>
      <c r="AEJ28" s="33"/>
      <c r="AEK28" s="33"/>
      <c r="AEL28" s="33"/>
      <c r="AEM28" s="33"/>
      <c r="AEN28" s="33"/>
      <c r="AEO28" s="33"/>
      <c r="AEP28" s="33"/>
      <c r="AEQ28" s="33"/>
      <c r="AER28" s="33"/>
      <c r="AES28" s="33"/>
      <c r="AET28" s="33"/>
      <c r="AEU28" s="33"/>
      <c r="AEV28" s="33"/>
      <c r="AEW28" s="33"/>
      <c r="AEX28" s="33"/>
      <c r="AEY28" s="33"/>
      <c r="AEZ28" s="33"/>
      <c r="AFA28" s="33"/>
      <c r="AFB28" s="33"/>
      <c r="AFC28" s="33"/>
      <c r="AFD28" s="33"/>
      <c r="AFE28" s="33"/>
      <c r="AFF28" s="33"/>
      <c r="AFG28" s="33"/>
      <c r="AFH28" s="33"/>
      <c r="AFI28" s="33"/>
      <c r="AFJ28" s="33"/>
      <c r="AFK28" s="33"/>
      <c r="AFL28" s="33"/>
      <c r="AFM28" s="33"/>
      <c r="AFN28" s="33"/>
      <c r="AFO28" s="33"/>
      <c r="AFP28" s="33"/>
      <c r="AFQ28" s="33"/>
      <c r="AFR28" s="33"/>
      <c r="AFS28" s="33"/>
      <c r="AFT28" s="33"/>
      <c r="AFU28" s="33"/>
      <c r="AFV28" s="33"/>
      <c r="AFW28" s="33"/>
      <c r="AFX28" s="33"/>
      <c r="AFY28" s="33"/>
      <c r="AFZ28" s="33"/>
      <c r="AGA28" s="33"/>
      <c r="AGB28" s="33"/>
      <c r="AGC28" s="33"/>
      <c r="AGD28" s="33"/>
      <c r="AGE28" s="33"/>
      <c r="AGF28" s="33"/>
      <c r="AGG28" s="33"/>
      <c r="AGH28" s="33"/>
      <c r="AGI28" s="33"/>
      <c r="AGJ28" s="33"/>
      <c r="AGK28" s="33"/>
      <c r="AGL28" s="33"/>
      <c r="AGM28" s="33"/>
      <c r="AGN28" s="33"/>
      <c r="AGO28" s="33"/>
      <c r="AGP28" s="33"/>
      <c r="AGQ28" s="33"/>
      <c r="AGR28" s="33"/>
      <c r="AGS28" s="33"/>
      <c r="AGT28" s="33"/>
      <c r="AGU28" s="33"/>
      <c r="AGV28" s="33"/>
      <c r="AGW28" s="33"/>
      <c r="AGX28" s="33"/>
      <c r="AGY28" s="33"/>
      <c r="AGZ28" s="33"/>
      <c r="AHA28" s="33"/>
      <c r="AHB28" s="33"/>
      <c r="AHC28" s="33"/>
      <c r="AHD28" s="33"/>
      <c r="AHE28" s="33"/>
      <c r="AHF28" s="33"/>
      <c r="AHG28" s="33"/>
      <c r="AHH28" s="33"/>
      <c r="AHI28" s="33"/>
      <c r="AHJ28" s="33"/>
      <c r="AHK28" s="33"/>
      <c r="AHL28" s="33"/>
      <c r="AHM28" s="33"/>
      <c r="AHN28" s="33"/>
      <c r="AHO28" s="33"/>
      <c r="AHP28" s="33"/>
      <c r="AHQ28" s="33"/>
      <c r="AHR28" s="33"/>
      <c r="AHS28" s="33"/>
      <c r="AHT28" s="33"/>
      <c r="AHU28" s="33"/>
      <c r="AHV28" s="33"/>
      <c r="AHW28" s="33"/>
      <c r="AHX28" s="33"/>
      <c r="AHY28" s="33"/>
      <c r="AHZ28" s="33"/>
      <c r="AIA28" s="33"/>
      <c r="AIB28" s="33"/>
      <c r="AIC28" s="33"/>
      <c r="AID28" s="33"/>
      <c r="AIE28" s="33"/>
      <c r="AIF28" s="33"/>
      <c r="AIG28" s="33"/>
      <c r="AIH28" s="33"/>
      <c r="AII28" s="33"/>
      <c r="AIJ28" s="33"/>
      <c r="AIK28" s="33"/>
      <c r="AIL28" s="33"/>
      <c r="AIM28" s="33"/>
      <c r="AIN28" s="33"/>
      <c r="AIO28" s="33"/>
      <c r="AIP28" s="33"/>
      <c r="AIQ28" s="33"/>
      <c r="AIR28" s="33"/>
      <c r="AIS28" s="33"/>
      <c r="AIT28" s="33"/>
      <c r="AIU28" s="33"/>
      <c r="AIV28" s="33"/>
      <c r="AIW28" s="33"/>
      <c r="AIX28" s="33"/>
      <c r="AIY28" s="33"/>
      <c r="AIZ28" s="33"/>
      <c r="AJA28" s="33"/>
      <c r="AJB28" s="33"/>
      <c r="AJC28" s="33"/>
      <c r="AJD28" s="33"/>
      <c r="AJE28" s="33"/>
      <c r="AJF28" s="33"/>
      <c r="AJG28" s="33"/>
      <c r="AJH28" s="33"/>
      <c r="AJI28" s="33"/>
      <c r="AJJ28" s="33"/>
      <c r="AJK28" s="33"/>
      <c r="AJL28" s="33"/>
      <c r="AJM28" s="33"/>
      <c r="AJN28" s="33"/>
      <c r="AJO28" s="33"/>
      <c r="AJP28" s="33"/>
      <c r="AJQ28" s="33"/>
      <c r="AJR28" s="33"/>
      <c r="AJS28" s="33"/>
      <c r="AJT28" s="33"/>
      <c r="AJU28" s="33"/>
      <c r="AJV28" s="33"/>
      <c r="AJW28" s="33"/>
      <c r="AJX28" s="33"/>
      <c r="AJY28" s="33"/>
      <c r="AJZ28" s="33"/>
      <c r="AKA28" s="33"/>
      <c r="AKB28" s="33"/>
      <c r="AKC28" s="33"/>
      <c r="AKD28" s="33"/>
      <c r="AKE28" s="33"/>
      <c r="AKF28" s="33"/>
      <c r="AKG28" s="33"/>
      <c r="AKH28" s="33"/>
      <c r="AKI28" s="33"/>
      <c r="AKJ28" s="33"/>
      <c r="AKK28" s="33"/>
      <c r="AKL28" s="33"/>
      <c r="AKM28" s="33"/>
      <c r="AKN28" s="33"/>
      <c r="AKO28" s="33"/>
      <c r="AKP28" s="33"/>
      <c r="AKQ28" s="33"/>
      <c r="AKR28" s="33"/>
      <c r="AKS28" s="33"/>
      <c r="AKT28" s="33"/>
      <c r="AKU28" s="33"/>
      <c r="AKV28" s="33"/>
      <c r="AKW28" s="33"/>
      <c r="AKX28" s="33"/>
      <c r="AKY28" s="33"/>
      <c r="AKZ28" s="33"/>
      <c r="ALA28" s="33"/>
      <c r="ALB28" s="33"/>
      <c r="ALC28" s="33"/>
      <c r="ALD28" s="33"/>
      <c r="ALE28" s="33"/>
      <c r="ALF28" s="33"/>
      <c r="ALG28" s="33"/>
      <c r="ALH28" s="33"/>
      <c r="ALI28" s="33"/>
      <c r="ALJ28" s="33"/>
      <c r="ALK28" s="33"/>
      <c r="ALL28" s="33"/>
      <c r="ALM28" s="33"/>
      <c r="ALN28" s="33"/>
      <c r="ALO28" s="33"/>
      <c r="ALP28" s="33"/>
      <c r="ALQ28" s="33"/>
      <c r="ALR28" s="33"/>
      <c r="ALS28" s="33"/>
      <c r="ALT28" s="33"/>
      <c r="ALU28" s="33"/>
      <c r="ALV28" s="33"/>
      <c r="ALW28" s="33"/>
      <c r="ALX28" s="33"/>
      <c r="ALY28" s="33"/>
      <c r="ALZ28" s="33"/>
      <c r="AMA28" s="33"/>
      <c r="AMB28" s="33"/>
      <c r="AMC28" s="33"/>
      <c r="AMD28" s="33"/>
      <c r="AME28" s="33"/>
      <c r="AMF28" s="33"/>
      <c r="AMG28" s="33"/>
      <c r="AMH28" s="33"/>
      <c r="AMI28" s="33"/>
      <c r="AMJ28" s="33"/>
      <c r="AMK28" s="33"/>
      <c r="AML28" s="33"/>
      <c r="AMM28" s="33"/>
      <c r="AMN28" s="33"/>
      <c r="AMO28" s="33"/>
      <c r="AMP28" s="33"/>
      <c r="AMQ28" s="33"/>
      <c r="AMR28" s="33"/>
      <c r="AMS28" s="33"/>
      <c r="AMT28" s="33"/>
      <c r="AMU28" s="33"/>
      <c r="AMV28" s="33"/>
      <c r="AMW28" s="33"/>
      <c r="AMX28" s="33"/>
      <c r="AMY28" s="33"/>
      <c r="AMZ28" s="33"/>
      <c r="ANA28" s="33"/>
      <c r="ANB28" s="33"/>
      <c r="ANC28" s="33"/>
      <c r="AND28" s="33"/>
      <c r="ANE28" s="33"/>
      <c r="ANF28" s="33"/>
      <c r="ANG28" s="33"/>
      <c r="ANH28" s="33"/>
      <c r="ANI28" s="33"/>
      <c r="ANJ28" s="33"/>
      <c r="ANK28" s="33"/>
      <c r="ANL28" s="33"/>
      <c r="ANM28" s="33"/>
      <c r="ANN28" s="33"/>
      <c r="ANO28" s="33"/>
      <c r="ANP28" s="33"/>
      <c r="ANQ28" s="33"/>
      <c r="ANR28" s="33"/>
      <c r="ANS28" s="33"/>
      <c r="ANT28" s="33"/>
      <c r="ANU28" s="33"/>
      <c r="ANV28" s="33"/>
      <c r="ANW28" s="33"/>
      <c r="ANX28" s="33"/>
      <c r="ANY28" s="33"/>
      <c r="ANZ28" s="33"/>
      <c r="AOA28" s="33"/>
      <c r="AOB28" s="33"/>
      <c r="AOC28" s="33"/>
      <c r="AOD28" s="33"/>
      <c r="AOE28" s="33"/>
      <c r="AOF28" s="33"/>
      <c r="AOG28" s="33"/>
      <c r="AOH28" s="33"/>
      <c r="AOI28" s="33"/>
      <c r="AOJ28" s="33"/>
      <c r="AOK28" s="33"/>
      <c r="AOL28" s="33"/>
      <c r="AOM28" s="33"/>
      <c r="AON28" s="33"/>
      <c r="AOO28" s="33"/>
      <c r="AOP28" s="33"/>
      <c r="AOQ28" s="33"/>
      <c r="AOR28" s="33"/>
      <c r="AOS28" s="33"/>
      <c r="AOT28" s="33"/>
      <c r="AOU28" s="33"/>
      <c r="AOV28" s="33"/>
      <c r="AOW28" s="33"/>
      <c r="AOX28" s="33"/>
      <c r="AOY28" s="33"/>
      <c r="AOZ28" s="33"/>
      <c r="APA28" s="33"/>
      <c r="APB28" s="33"/>
      <c r="APC28" s="33"/>
      <c r="APD28" s="33"/>
      <c r="APE28" s="33"/>
      <c r="APF28" s="33"/>
      <c r="APG28" s="33"/>
      <c r="APH28" s="33"/>
      <c r="API28" s="33"/>
      <c r="APJ28" s="33"/>
      <c r="APK28" s="33"/>
      <c r="APL28" s="33"/>
      <c r="APM28" s="33"/>
      <c r="APN28" s="33"/>
      <c r="APO28" s="33"/>
      <c r="APP28" s="33"/>
      <c r="APQ28" s="33"/>
      <c r="APR28" s="33"/>
      <c r="APS28" s="33"/>
      <c r="APT28" s="33"/>
      <c r="APU28" s="33"/>
      <c r="APV28" s="33"/>
      <c r="APW28" s="33"/>
      <c r="APX28" s="33"/>
      <c r="APY28" s="33"/>
      <c r="APZ28" s="33"/>
      <c r="AQA28" s="33"/>
      <c r="AQB28" s="33"/>
      <c r="AQC28" s="33"/>
      <c r="AQD28" s="33"/>
      <c r="AQE28" s="33"/>
      <c r="AQF28" s="33"/>
      <c r="AQG28" s="33"/>
      <c r="AQH28" s="33"/>
      <c r="AQI28" s="33"/>
      <c r="AQJ28" s="33"/>
      <c r="AQK28" s="33"/>
      <c r="AQL28" s="33"/>
      <c r="AQM28" s="33"/>
      <c r="AQN28" s="33"/>
      <c r="AQO28" s="33"/>
      <c r="AQP28" s="33"/>
      <c r="AQQ28" s="33"/>
      <c r="AQR28" s="33"/>
      <c r="AQS28" s="33"/>
      <c r="AQT28" s="33"/>
      <c r="AQU28" s="33"/>
      <c r="AQV28" s="33"/>
      <c r="AQW28" s="33"/>
      <c r="AQX28" s="33"/>
      <c r="AQY28" s="33"/>
      <c r="AQZ28" s="33"/>
      <c r="ARA28" s="33"/>
      <c r="ARB28" s="33"/>
      <c r="ARC28" s="33"/>
      <c r="ARD28" s="33"/>
      <c r="ARE28" s="33"/>
      <c r="ARF28" s="33"/>
      <c r="ARG28" s="33"/>
      <c r="ARH28" s="33"/>
      <c r="ARI28" s="33"/>
      <c r="ARJ28" s="33"/>
      <c r="ARK28" s="33"/>
      <c r="ARL28" s="33"/>
      <c r="ARM28" s="33"/>
      <c r="ARN28" s="33"/>
      <c r="ARO28" s="33"/>
      <c r="ARP28" s="33"/>
      <c r="ARQ28" s="33"/>
      <c r="ARR28" s="33"/>
      <c r="ARS28" s="33"/>
      <c r="ART28" s="33"/>
      <c r="ARU28" s="33"/>
      <c r="ARV28" s="33"/>
      <c r="ARW28" s="33"/>
      <c r="ARX28" s="33"/>
      <c r="ARY28" s="33"/>
      <c r="ARZ28" s="33"/>
      <c r="ASA28" s="33"/>
      <c r="ASB28" s="33"/>
      <c r="ASC28" s="33"/>
      <c r="ASD28" s="33"/>
      <c r="ASE28" s="33"/>
      <c r="ASF28" s="33"/>
      <c r="ASG28" s="33"/>
      <c r="ASH28" s="33"/>
      <c r="ASI28" s="33"/>
      <c r="ASJ28" s="33"/>
      <c r="ASK28" s="33"/>
      <c r="ASL28" s="33"/>
      <c r="ASM28" s="33"/>
      <c r="ASN28" s="33"/>
      <c r="ASO28" s="33"/>
      <c r="ASP28" s="33"/>
      <c r="ASQ28" s="33"/>
      <c r="ASR28" s="33"/>
      <c r="ASS28" s="33"/>
      <c r="AST28" s="33"/>
      <c r="ASU28" s="33"/>
      <c r="ASV28" s="33"/>
      <c r="ASW28" s="33"/>
      <c r="ASX28" s="33"/>
      <c r="ASY28" s="33"/>
      <c r="ASZ28" s="33"/>
      <c r="ATA28" s="33"/>
      <c r="ATB28" s="33"/>
      <c r="ATC28" s="33"/>
      <c r="ATD28" s="33"/>
      <c r="ATE28" s="33"/>
      <c r="ATF28" s="33"/>
      <c r="ATG28" s="33"/>
      <c r="ATH28" s="33"/>
      <c r="ATI28" s="33"/>
      <c r="ATJ28" s="33"/>
      <c r="ATK28" s="33"/>
      <c r="ATL28" s="33"/>
      <c r="ATM28" s="33"/>
      <c r="ATN28" s="33"/>
      <c r="ATO28" s="33"/>
      <c r="ATP28" s="33"/>
      <c r="ATQ28" s="33"/>
      <c r="ATR28" s="33"/>
      <c r="ATS28" s="33"/>
      <c r="ATT28" s="33"/>
      <c r="ATU28" s="33"/>
      <c r="ATV28" s="33"/>
      <c r="ATW28" s="33"/>
      <c r="ATX28" s="33"/>
      <c r="ATY28" s="33"/>
      <c r="ATZ28" s="33"/>
      <c r="AUA28" s="33"/>
      <c r="AUB28" s="33"/>
      <c r="AUC28" s="33"/>
      <c r="AUD28" s="33"/>
      <c r="AUE28" s="33"/>
      <c r="AUF28" s="33"/>
      <c r="AUG28" s="33"/>
      <c r="AUH28" s="33"/>
      <c r="AUI28" s="33"/>
      <c r="AUJ28" s="33"/>
      <c r="AUK28" s="33"/>
      <c r="AUL28" s="33"/>
      <c r="AUM28" s="33"/>
      <c r="AUN28" s="33"/>
      <c r="AUO28" s="33"/>
      <c r="AUP28" s="33"/>
      <c r="AUQ28" s="33"/>
      <c r="AUR28" s="33"/>
      <c r="AUS28" s="33"/>
      <c r="AUT28" s="33"/>
      <c r="AUU28" s="33"/>
      <c r="AUV28" s="33"/>
      <c r="AUW28" s="33"/>
      <c r="AUX28" s="33"/>
      <c r="AUY28" s="33"/>
      <c r="AUZ28" s="33"/>
      <c r="AVA28" s="33"/>
      <c r="AVB28" s="33"/>
      <c r="AVC28" s="33"/>
      <c r="AVD28" s="33"/>
      <c r="AVE28" s="33"/>
      <c r="AVF28" s="33"/>
      <c r="AVG28" s="33"/>
      <c r="AVH28" s="33"/>
      <c r="AVI28" s="33"/>
      <c r="AVJ28" s="33"/>
      <c r="AVK28" s="33"/>
      <c r="AVL28" s="33"/>
      <c r="AVM28" s="33"/>
      <c r="AVN28" s="33"/>
      <c r="AVO28" s="33"/>
      <c r="AVP28" s="33"/>
      <c r="AVQ28" s="33"/>
      <c r="AVR28" s="33"/>
      <c r="AVS28" s="33"/>
      <c r="AVT28" s="33"/>
      <c r="AVU28" s="33"/>
      <c r="AVV28" s="33"/>
      <c r="AVW28" s="33"/>
      <c r="AVX28" s="33"/>
      <c r="AVY28" s="33"/>
      <c r="AVZ28" s="33"/>
      <c r="AWA28" s="33"/>
      <c r="AWB28" s="33"/>
      <c r="AWC28" s="33"/>
      <c r="AWD28" s="33"/>
      <c r="AWE28" s="33"/>
      <c r="AWF28" s="33"/>
      <c r="AWG28" s="33"/>
      <c r="AWH28" s="33"/>
      <c r="AWI28" s="33"/>
      <c r="AWJ28" s="33"/>
      <c r="AWK28" s="33"/>
      <c r="AWL28" s="33"/>
      <c r="AWM28" s="33"/>
      <c r="AWN28" s="33"/>
      <c r="AWO28" s="33"/>
      <c r="AWP28" s="33"/>
      <c r="AWQ28" s="33"/>
      <c r="AWR28" s="33"/>
      <c r="AWS28" s="33"/>
      <c r="AWT28" s="33"/>
      <c r="AWU28" s="33"/>
      <c r="AWV28" s="33"/>
      <c r="AWW28" s="33"/>
      <c r="AWX28" s="33"/>
      <c r="AWY28" s="33"/>
      <c r="AWZ28" s="33"/>
      <c r="AXA28" s="33"/>
      <c r="AXB28" s="33"/>
      <c r="AXC28" s="33"/>
      <c r="AXD28" s="33"/>
      <c r="AXE28" s="33"/>
      <c r="AXF28" s="33"/>
      <c r="AXG28" s="33"/>
      <c r="AXH28" s="33"/>
      <c r="AXI28" s="33"/>
      <c r="AXJ28" s="33"/>
      <c r="AXK28" s="33"/>
      <c r="AXL28" s="33"/>
      <c r="AXM28" s="33"/>
      <c r="AXN28" s="33"/>
      <c r="AXO28" s="33"/>
      <c r="AXP28" s="33"/>
      <c r="AXQ28" s="33"/>
      <c r="AXR28" s="33"/>
      <c r="AXS28" s="33"/>
      <c r="AXT28" s="33"/>
      <c r="AXU28" s="33"/>
      <c r="AXV28" s="33"/>
      <c r="AXW28" s="33"/>
      <c r="AXX28" s="33"/>
      <c r="AXY28" s="33"/>
      <c r="AXZ28" s="33"/>
      <c r="AYA28" s="33"/>
      <c r="AYB28" s="33"/>
      <c r="AYC28" s="33"/>
      <c r="AYD28" s="33"/>
      <c r="AYE28" s="33"/>
      <c r="AYF28" s="33"/>
      <c r="AYG28" s="33"/>
      <c r="AYH28" s="33"/>
      <c r="AYI28" s="33"/>
      <c r="AYJ28" s="33"/>
      <c r="AYK28" s="33"/>
      <c r="AYL28" s="33"/>
      <c r="AYM28" s="33"/>
      <c r="AYN28" s="33"/>
      <c r="AYO28" s="33"/>
      <c r="AYP28" s="33"/>
      <c r="AYQ28" s="33"/>
      <c r="AYR28" s="33"/>
      <c r="AYS28" s="33"/>
      <c r="AYT28" s="33"/>
      <c r="AYU28" s="33"/>
      <c r="AYV28" s="33"/>
      <c r="AYW28" s="33"/>
      <c r="AYX28" s="33"/>
      <c r="AYY28" s="33"/>
      <c r="AYZ28" s="33"/>
      <c r="AZA28" s="33"/>
      <c r="AZB28" s="33"/>
      <c r="AZC28" s="33"/>
      <c r="AZD28" s="33"/>
      <c r="AZE28" s="33"/>
      <c r="AZF28" s="33"/>
      <c r="AZG28" s="33"/>
      <c r="AZH28" s="33"/>
      <c r="AZI28" s="33"/>
      <c r="AZJ28" s="33"/>
      <c r="AZK28" s="33"/>
      <c r="AZL28" s="33"/>
      <c r="AZM28" s="33"/>
      <c r="AZN28" s="33"/>
      <c r="AZO28" s="33"/>
      <c r="AZP28" s="33"/>
      <c r="AZQ28" s="33"/>
      <c r="AZR28" s="33"/>
      <c r="AZS28" s="33"/>
      <c r="AZT28" s="33"/>
      <c r="AZU28" s="33"/>
      <c r="AZV28" s="33"/>
      <c r="AZW28" s="33"/>
      <c r="AZX28" s="33"/>
      <c r="AZY28" s="33"/>
      <c r="AZZ28" s="33"/>
      <c r="BAA28" s="33"/>
      <c r="BAB28" s="33"/>
      <c r="BAC28" s="33"/>
      <c r="BAD28" s="33"/>
      <c r="BAE28" s="33"/>
      <c r="BAF28" s="33"/>
      <c r="BAG28" s="33"/>
      <c r="BAH28" s="33"/>
      <c r="BAI28" s="33"/>
      <c r="BAJ28" s="33"/>
      <c r="BAK28" s="33"/>
      <c r="BAL28" s="33"/>
      <c r="BAM28" s="33"/>
      <c r="BAN28" s="33"/>
      <c r="BAO28" s="33"/>
      <c r="BAP28" s="33"/>
      <c r="BAQ28" s="33"/>
      <c r="BAR28" s="33"/>
      <c r="BAS28" s="33"/>
      <c r="BAT28" s="33"/>
      <c r="BAU28" s="33"/>
      <c r="BAV28" s="33"/>
      <c r="BAW28" s="33"/>
      <c r="BAX28" s="33"/>
      <c r="BAY28" s="33"/>
      <c r="BAZ28" s="33"/>
      <c r="BBA28" s="33"/>
      <c r="BBB28" s="33"/>
      <c r="BBC28" s="33"/>
      <c r="BBD28" s="33"/>
      <c r="BBE28" s="33"/>
      <c r="BBF28" s="33"/>
      <c r="BBG28" s="33"/>
      <c r="BBH28" s="33"/>
      <c r="BBI28" s="33"/>
      <c r="BBJ28" s="33"/>
      <c r="BBK28" s="33"/>
      <c r="BBL28" s="33"/>
      <c r="BBM28" s="33"/>
      <c r="BBN28" s="33"/>
      <c r="BBO28" s="33"/>
      <c r="BBP28" s="33"/>
      <c r="BBQ28" s="33"/>
      <c r="BBR28" s="33"/>
      <c r="BBS28" s="33"/>
      <c r="BBT28" s="33"/>
      <c r="BBU28" s="33"/>
      <c r="BBV28" s="33"/>
      <c r="BBW28" s="33"/>
      <c r="BBX28" s="33"/>
      <c r="BBY28" s="33"/>
      <c r="BBZ28" s="33"/>
      <c r="BCA28" s="33"/>
      <c r="BCB28" s="33"/>
      <c r="BCC28" s="33"/>
      <c r="BCD28" s="33"/>
      <c r="BCE28" s="33"/>
      <c r="BCF28" s="33"/>
      <c r="BCG28" s="33"/>
      <c r="BCH28" s="33"/>
      <c r="BCI28" s="33"/>
      <c r="BCJ28" s="33"/>
      <c r="BCK28" s="33"/>
      <c r="BCL28" s="33"/>
      <c r="BCM28" s="33"/>
      <c r="BCN28" s="33"/>
      <c r="BCO28" s="33"/>
      <c r="BCP28" s="33"/>
      <c r="BCQ28" s="33"/>
      <c r="BCR28" s="33"/>
      <c r="BCS28" s="33"/>
      <c r="BCT28" s="33"/>
      <c r="BCU28" s="33"/>
      <c r="BCV28" s="33"/>
      <c r="BCW28" s="33"/>
      <c r="BCX28" s="33"/>
      <c r="BCY28" s="33"/>
      <c r="BCZ28" s="33"/>
      <c r="BDA28" s="33"/>
      <c r="BDB28" s="33"/>
      <c r="BDC28" s="33"/>
      <c r="BDD28" s="33"/>
      <c r="BDE28" s="33"/>
      <c r="BDF28" s="33"/>
      <c r="BDG28" s="33"/>
      <c r="BDH28" s="33"/>
      <c r="BDI28" s="33"/>
      <c r="BDJ28" s="33"/>
      <c r="BDK28" s="33"/>
      <c r="BDL28" s="33"/>
      <c r="BDM28" s="33"/>
      <c r="BDN28" s="33"/>
      <c r="BDO28" s="33"/>
      <c r="BDP28" s="33"/>
      <c r="BDQ28" s="33"/>
      <c r="BDR28" s="33"/>
      <c r="BDS28" s="33"/>
      <c r="BDT28" s="33"/>
      <c r="BDU28" s="33"/>
      <c r="BDV28" s="33"/>
      <c r="BDW28" s="33"/>
      <c r="BDX28" s="33"/>
      <c r="BDY28" s="33"/>
      <c r="BDZ28" s="33"/>
      <c r="BEA28" s="33"/>
      <c r="BEB28" s="33"/>
      <c r="BEC28" s="33"/>
      <c r="BED28" s="33"/>
      <c r="BEE28" s="33"/>
      <c r="BEF28" s="33"/>
      <c r="BEG28" s="33"/>
      <c r="BEH28" s="33"/>
      <c r="BEI28" s="33"/>
      <c r="BEJ28" s="33"/>
      <c r="BEK28" s="33"/>
      <c r="BEL28" s="33"/>
      <c r="BEM28" s="33"/>
      <c r="BEN28" s="33"/>
      <c r="BEO28" s="33"/>
      <c r="BEP28" s="33"/>
      <c r="BEQ28" s="33"/>
      <c r="BER28" s="33"/>
      <c r="BES28" s="33"/>
      <c r="BET28" s="33"/>
      <c r="BEU28" s="33"/>
      <c r="BEV28" s="33"/>
      <c r="BEW28" s="33"/>
      <c r="BEX28" s="33"/>
      <c r="BEY28" s="33"/>
      <c r="BEZ28" s="33"/>
      <c r="BFA28" s="33"/>
      <c r="BFB28" s="33"/>
      <c r="BFC28" s="33"/>
      <c r="BFD28" s="33"/>
      <c r="BFE28" s="33"/>
      <c r="BFF28" s="33"/>
      <c r="BFG28" s="33"/>
      <c r="BFH28" s="33"/>
      <c r="BFI28" s="33"/>
      <c r="BFJ28" s="33"/>
      <c r="BFK28" s="33"/>
      <c r="BFL28" s="33"/>
      <c r="BFM28" s="33"/>
      <c r="BFN28" s="33"/>
      <c r="BFO28" s="33"/>
      <c r="BFP28" s="33"/>
      <c r="BFQ28" s="33"/>
      <c r="BFR28" s="33"/>
      <c r="BFS28" s="33"/>
      <c r="BFT28" s="33"/>
      <c r="BFU28" s="33"/>
      <c r="BFV28" s="33"/>
      <c r="BFW28" s="33"/>
      <c r="BFX28" s="33"/>
      <c r="BFY28" s="33"/>
      <c r="BFZ28" s="33"/>
      <c r="BGA28" s="33"/>
      <c r="BGB28" s="33"/>
      <c r="BGC28" s="33"/>
      <c r="BGD28" s="33"/>
      <c r="BGE28" s="33"/>
      <c r="BGF28" s="33"/>
      <c r="BGG28" s="33"/>
      <c r="BGH28" s="33"/>
      <c r="BGI28" s="33"/>
      <c r="BGJ28" s="33"/>
      <c r="BGK28" s="33"/>
      <c r="BGL28" s="33"/>
      <c r="BGM28" s="33"/>
      <c r="BGN28" s="33"/>
      <c r="BGO28" s="33"/>
      <c r="BGP28" s="33"/>
      <c r="BGQ28" s="33"/>
      <c r="BGR28" s="33"/>
      <c r="BGS28" s="33"/>
      <c r="BGT28" s="33"/>
      <c r="BGU28" s="33"/>
      <c r="BGV28" s="33"/>
      <c r="BGW28" s="33"/>
      <c r="BGX28" s="33"/>
      <c r="BGY28" s="33"/>
      <c r="BGZ28" s="33"/>
      <c r="BHA28" s="33"/>
      <c r="BHB28" s="33"/>
      <c r="BHC28" s="33"/>
      <c r="BHD28" s="33"/>
      <c r="BHE28" s="33"/>
      <c r="BHF28" s="33"/>
      <c r="BHG28" s="33"/>
      <c r="BHH28" s="33"/>
      <c r="BHI28" s="33"/>
      <c r="BHJ28" s="33"/>
      <c r="BHK28" s="33"/>
      <c r="BHL28" s="33"/>
      <c r="BHM28" s="33"/>
      <c r="BHN28" s="33"/>
      <c r="BHO28" s="33"/>
      <c r="BHP28" s="33"/>
      <c r="BHQ28" s="33"/>
      <c r="BHR28" s="33"/>
      <c r="BHS28" s="33"/>
      <c r="BHT28" s="33"/>
      <c r="BHU28" s="33"/>
      <c r="BHV28" s="33"/>
      <c r="BHW28" s="33"/>
      <c r="BHX28" s="33"/>
      <c r="BHY28" s="33"/>
      <c r="BHZ28" s="33"/>
      <c r="BIA28" s="33"/>
      <c r="BIB28" s="33"/>
      <c r="BIC28" s="33"/>
      <c r="BID28" s="33"/>
      <c r="BIE28" s="33"/>
      <c r="BIF28" s="33"/>
      <c r="BIG28" s="33"/>
      <c r="BIH28" s="33"/>
      <c r="BII28" s="33"/>
      <c r="BIJ28" s="33"/>
      <c r="BIK28" s="33"/>
      <c r="BIL28" s="33"/>
      <c r="BIM28" s="33"/>
      <c r="BIN28" s="33"/>
      <c r="BIO28" s="33"/>
      <c r="BIP28" s="33"/>
      <c r="BIQ28" s="33"/>
      <c r="BIR28" s="33"/>
      <c r="BIS28" s="33"/>
      <c r="BIT28" s="33"/>
      <c r="BIU28" s="33"/>
      <c r="BIV28" s="33"/>
      <c r="BIW28" s="33"/>
      <c r="BIX28" s="33"/>
      <c r="BIY28" s="33"/>
      <c r="BIZ28" s="33"/>
      <c r="BJA28" s="33"/>
      <c r="BJB28" s="33"/>
      <c r="BJC28" s="33"/>
      <c r="BJD28" s="33"/>
      <c r="BJE28" s="33"/>
      <c r="BJF28" s="33"/>
      <c r="BJG28" s="33"/>
      <c r="BJH28" s="33"/>
      <c r="BJI28" s="33"/>
      <c r="BJJ28" s="33"/>
      <c r="BJK28" s="33"/>
      <c r="BJL28" s="33"/>
      <c r="BJM28" s="33"/>
      <c r="BJN28" s="33"/>
      <c r="BJO28" s="33"/>
      <c r="BJP28" s="33"/>
      <c r="BJQ28" s="33"/>
      <c r="BJR28" s="33"/>
      <c r="BJS28" s="33"/>
      <c r="BJT28" s="33"/>
      <c r="BJU28" s="33"/>
      <c r="BJV28" s="33"/>
      <c r="BJW28" s="33"/>
      <c r="BJX28" s="33"/>
      <c r="BJY28" s="33"/>
      <c r="BJZ28" s="33"/>
      <c r="BKA28" s="33"/>
      <c r="BKB28" s="33"/>
      <c r="BKC28" s="33"/>
      <c r="BKD28" s="33"/>
      <c r="BKE28" s="33"/>
      <c r="BKF28" s="33"/>
      <c r="BKG28" s="33"/>
      <c r="BKH28" s="33"/>
      <c r="BKI28" s="33"/>
      <c r="BKJ28" s="33"/>
      <c r="BKK28" s="33"/>
      <c r="BKL28" s="33"/>
      <c r="BKM28" s="33"/>
      <c r="BKN28" s="33"/>
      <c r="BKO28" s="33"/>
      <c r="BKP28" s="33"/>
      <c r="BKQ28" s="33"/>
      <c r="BKR28" s="33"/>
      <c r="BKS28" s="33"/>
      <c r="BKT28" s="33"/>
      <c r="BKU28" s="33"/>
      <c r="BKV28" s="33"/>
      <c r="BKW28" s="33"/>
      <c r="BKX28" s="33"/>
      <c r="BKY28" s="33"/>
      <c r="BKZ28" s="33"/>
      <c r="BLA28" s="33"/>
      <c r="BLB28" s="33"/>
      <c r="BLC28" s="33"/>
      <c r="BLD28" s="33"/>
      <c r="BLE28" s="33"/>
      <c r="BLF28" s="33"/>
      <c r="BLG28" s="33"/>
      <c r="BLH28" s="33"/>
      <c r="BLI28" s="33"/>
      <c r="BLJ28" s="33"/>
      <c r="BLK28" s="33"/>
      <c r="BLL28" s="33"/>
      <c r="BLM28" s="33"/>
      <c r="BLN28" s="33"/>
      <c r="BLO28" s="33"/>
      <c r="BLP28" s="33"/>
      <c r="BLQ28" s="33"/>
      <c r="BLR28" s="33"/>
      <c r="BLS28" s="33"/>
      <c r="BLT28" s="33"/>
      <c r="BLU28" s="33"/>
      <c r="BLV28" s="33"/>
      <c r="BLW28" s="33"/>
      <c r="BLX28" s="33"/>
      <c r="BLY28" s="33"/>
      <c r="BLZ28" s="33"/>
      <c r="BMA28" s="33"/>
      <c r="BMB28" s="33"/>
      <c r="BMC28" s="33"/>
      <c r="BMD28" s="33"/>
      <c r="BME28" s="33"/>
      <c r="BMF28" s="33"/>
      <c r="BMG28" s="33"/>
      <c r="BMH28" s="33"/>
      <c r="BMI28" s="33"/>
      <c r="BMJ28" s="33"/>
      <c r="BMK28" s="33"/>
      <c r="BML28" s="33"/>
      <c r="BMM28" s="33"/>
      <c r="BMN28" s="33"/>
      <c r="BMO28" s="33"/>
      <c r="BMP28" s="33"/>
      <c r="BMQ28" s="33"/>
      <c r="BMR28" s="33"/>
      <c r="BMS28" s="33"/>
      <c r="BMT28" s="33"/>
      <c r="BMU28" s="33"/>
      <c r="BMV28" s="33"/>
      <c r="BMW28" s="33"/>
      <c r="BMX28" s="33"/>
      <c r="BMY28" s="33"/>
      <c r="BMZ28" s="33"/>
      <c r="BNA28" s="33"/>
      <c r="BNB28" s="33"/>
      <c r="BNC28" s="33"/>
      <c r="BND28" s="33"/>
      <c r="BNE28" s="33"/>
      <c r="BNF28" s="33"/>
      <c r="BNG28" s="33"/>
      <c r="BNH28" s="33"/>
      <c r="BNI28" s="33"/>
      <c r="BNJ28" s="33"/>
      <c r="BNK28" s="33"/>
      <c r="BNL28" s="33"/>
      <c r="BNM28" s="33"/>
      <c r="BNN28" s="33"/>
      <c r="BNO28" s="33"/>
      <c r="BNP28" s="33"/>
      <c r="BNQ28" s="33"/>
      <c r="BNR28" s="33"/>
      <c r="BNS28" s="33"/>
      <c r="BNT28" s="33"/>
      <c r="BNU28" s="33"/>
      <c r="BNV28" s="33"/>
      <c r="BNW28" s="33"/>
      <c r="BNX28" s="33"/>
      <c r="BNY28" s="33"/>
      <c r="BNZ28" s="33"/>
      <c r="BOA28" s="33"/>
      <c r="BOB28" s="33"/>
      <c r="BOC28" s="33"/>
      <c r="BOD28" s="33"/>
      <c r="BOE28" s="33"/>
      <c r="BOF28" s="33"/>
      <c r="BOG28" s="33"/>
      <c r="BOH28" s="33"/>
      <c r="BOI28" s="33"/>
      <c r="BOJ28" s="33"/>
      <c r="BOK28" s="33"/>
      <c r="BOL28" s="33"/>
      <c r="BOM28" s="33"/>
      <c r="BON28" s="33"/>
      <c r="BOO28" s="33"/>
      <c r="BOP28" s="33"/>
      <c r="BOQ28" s="33"/>
      <c r="BOR28" s="33"/>
      <c r="BOS28" s="33"/>
      <c r="BOT28" s="33"/>
      <c r="BOU28" s="33"/>
      <c r="BOV28" s="33"/>
      <c r="BOW28" s="33"/>
      <c r="BOX28" s="33"/>
      <c r="BOY28" s="33"/>
      <c r="BOZ28" s="33"/>
      <c r="BPA28" s="33"/>
      <c r="BPB28" s="33"/>
      <c r="BPC28" s="82"/>
    </row>
    <row r="29" s="35" customFormat="1" ht="60" customHeight="1" spans="1:1024 1025:1771">
      <c r="A29" s="78" t="s">
        <v>88</v>
      </c>
      <c r="B29" s="75" t="s">
        <v>89</v>
      </c>
      <c r="C29" s="75" t="s">
        <v>90</v>
      </c>
      <c r="D29" s="75" t="s">
        <v>91</v>
      </c>
      <c r="E29" s="75"/>
      <c r="F29" s="75"/>
      <c r="G29" s="79"/>
      <c r="H29" s="76">
        <f ca="1" t="shared" si="1"/>
        <v>46175</v>
      </c>
      <c r="I29" s="84" t="s">
        <v>10</v>
      </c>
      <c r="J29" s="37" t="s">
        <v>86</v>
      </c>
      <c r="K29" s="34" t="s">
        <v>92</v>
      </c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/>
      <c r="HQ29" s="33"/>
      <c r="HR29" s="33"/>
      <c r="HS29" s="33"/>
      <c r="HT29" s="33"/>
      <c r="HU29" s="33"/>
      <c r="HV29" s="33"/>
      <c r="HW29" s="33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33"/>
      <c r="IY29" s="33"/>
      <c r="IZ29" s="33"/>
      <c r="JA29" s="33"/>
      <c r="JB29" s="33"/>
      <c r="JC29" s="33"/>
      <c r="JD29" s="33"/>
      <c r="JE29" s="33"/>
      <c r="JF29" s="33"/>
      <c r="JG29" s="33"/>
      <c r="JH29" s="33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3"/>
      <c r="JX29" s="33"/>
      <c r="JY29" s="33"/>
      <c r="JZ29" s="33"/>
      <c r="KA29" s="33"/>
      <c r="KB29" s="33"/>
      <c r="KC29" s="33"/>
      <c r="KD29" s="33"/>
      <c r="KE29" s="33"/>
      <c r="KF29" s="33"/>
      <c r="KG29" s="33"/>
      <c r="KH29" s="33"/>
      <c r="KI29" s="33"/>
      <c r="KJ29" s="33"/>
      <c r="KK29" s="33"/>
      <c r="KL29" s="33"/>
      <c r="KM29" s="33"/>
      <c r="KN29" s="33"/>
      <c r="KO29" s="33"/>
      <c r="KP29" s="33"/>
      <c r="KQ29" s="33"/>
      <c r="KR29" s="33"/>
      <c r="KS29" s="33"/>
      <c r="KT29" s="33"/>
      <c r="KU29" s="33"/>
      <c r="KV29" s="33"/>
      <c r="KW29" s="33"/>
      <c r="KX29" s="33"/>
      <c r="KY29" s="33"/>
      <c r="KZ29" s="33"/>
      <c r="LA29" s="33"/>
      <c r="LB29" s="33"/>
      <c r="LC29" s="33"/>
      <c r="LD29" s="33"/>
      <c r="LE29" s="33"/>
      <c r="LF29" s="33"/>
      <c r="LG29" s="33"/>
      <c r="LH29" s="33"/>
      <c r="LI29" s="33"/>
      <c r="LJ29" s="33"/>
      <c r="LK29" s="33"/>
      <c r="LL29" s="33"/>
      <c r="LM29" s="33"/>
      <c r="LN29" s="33"/>
      <c r="LO29" s="33"/>
      <c r="LP29" s="33"/>
      <c r="LQ29" s="33"/>
      <c r="LR29" s="33"/>
      <c r="LS29" s="33"/>
      <c r="LT29" s="33"/>
      <c r="LU29" s="33"/>
      <c r="LV29" s="33"/>
      <c r="LW29" s="33"/>
      <c r="LX29" s="33"/>
      <c r="LY29" s="33"/>
      <c r="LZ29" s="33"/>
      <c r="MA29" s="33"/>
      <c r="MB29" s="33"/>
      <c r="MC29" s="33"/>
      <c r="MD29" s="33"/>
      <c r="ME29" s="33"/>
      <c r="MF29" s="33"/>
      <c r="MG29" s="33"/>
      <c r="MH29" s="33"/>
      <c r="MI29" s="33"/>
      <c r="MJ29" s="33"/>
      <c r="MK29" s="33"/>
      <c r="ML29" s="33"/>
      <c r="MM29" s="33"/>
      <c r="MN29" s="33"/>
      <c r="MO29" s="33"/>
      <c r="MP29" s="33"/>
      <c r="MQ29" s="33"/>
      <c r="MR29" s="33"/>
      <c r="MS29" s="33"/>
      <c r="MT29" s="33"/>
      <c r="MU29" s="33"/>
      <c r="MV29" s="33"/>
      <c r="MW29" s="33"/>
      <c r="MX29" s="33"/>
      <c r="MY29" s="33"/>
      <c r="MZ29" s="33"/>
      <c r="NA29" s="33"/>
      <c r="NB29" s="33"/>
      <c r="NC29" s="33"/>
      <c r="ND29" s="33"/>
      <c r="NE29" s="33"/>
      <c r="NF29" s="33"/>
      <c r="NG29" s="33"/>
      <c r="NH29" s="33"/>
      <c r="NI29" s="33"/>
      <c r="NJ29" s="33"/>
      <c r="NK29" s="33"/>
      <c r="NL29" s="33"/>
      <c r="NM29" s="33"/>
      <c r="NN29" s="33"/>
      <c r="NO29" s="33"/>
      <c r="NP29" s="33"/>
      <c r="NQ29" s="33"/>
      <c r="NR29" s="33"/>
      <c r="NS29" s="33"/>
      <c r="NT29" s="33"/>
      <c r="NU29" s="33"/>
      <c r="NV29" s="33"/>
      <c r="NW29" s="33"/>
      <c r="NX29" s="33"/>
      <c r="NY29" s="33"/>
      <c r="NZ29" s="33"/>
      <c r="OA29" s="33"/>
      <c r="OB29" s="33"/>
      <c r="OC29" s="33"/>
      <c r="OD29" s="33"/>
      <c r="OE29" s="33"/>
      <c r="OF29" s="33"/>
      <c r="OG29" s="33"/>
      <c r="OH29" s="33"/>
      <c r="OI29" s="33"/>
      <c r="OJ29" s="33"/>
      <c r="OK29" s="33"/>
      <c r="OL29" s="33"/>
      <c r="OM29" s="33"/>
      <c r="ON29" s="33"/>
      <c r="OO29" s="33"/>
      <c r="OP29" s="33"/>
      <c r="OQ29" s="33"/>
      <c r="OR29" s="33"/>
      <c r="OS29" s="33"/>
      <c r="OT29" s="33"/>
      <c r="OU29" s="33"/>
      <c r="OV29" s="33"/>
      <c r="OW29" s="33"/>
      <c r="OX29" s="33"/>
      <c r="OY29" s="33"/>
      <c r="OZ29" s="33"/>
      <c r="PA29" s="33"/>
      <c r="PB29" s="33"/>
      <c r="PC29" s="33"/>
      <c r="PD29" s="33"/>
      <c r="PE29" s="33"/>
      <c r="PF29" s="33"/>
      <c r="PG29" s="33"/>
      <c r="PH29" s="33"/>
      <c r="PI29" s="33"/>
      <c r="PJ29" s="33"/>
      <c r="PK29" s="33"/>
      <c r="PL29" s="33"/>
      <c r="PM29" s="33"/>
      <c r="PN29" s="33"/>
      <c r="PO29" s="33"/>
      <c r="PP29" s="33"/>
      <c r="PQ29" s="33"/>
      <c r="PR29" s="33"/>
      <c r="PS29" s="33"/>
      <c r="PT29" s="33"/>
      <c r="PU29" s="33"/>
      <c r="PV29" s="33"/>
      <c r="PW29" s="33"/>
      <c r="PX29" s="33"/>
      <c r="PY29" s="33"/>
      <c r="PZ29" s="33"/>
      <c r="QA29" s="33"/>
      <c r="QB29" s="33"/>
      <c r="QC29" s="33"/>
      <c r="QD29" s="33"/>
      <c r="QE29" s="33"/>
      <c r="QF29" s="33"/>
      <c r="QG29" s="33"/>
      <c r="QH29" s="33"/>
      <c r="QI29" s="33"/>
      <c r="QJ29" s="33"/>
      <c r="QK29" s="33"/>
      <c r="QL29" s="33"/>
      <c r="QM29" s="33"/>
      <c r="QN29" s="33"/>
      <c r="QO29" s="33"/>
      <c r="QP29" s="33"/>
      <c r="QQ29" s="33"/>
      <c r="QR29" s="33"/>
      <c r="QS29" s="33"/>
      <c r="QT29" s="33"/>
      <c r="QU29" s="33"/>
      <c r="QV29" s="33"/>
      <c r="QW29" s="33"/>
      <c r="QX29" s="33"/>
      <c r="QY29" s="33"/>
      <c r="QZ29" s="33"/>
      <c r="RA29" s="33"/>
      <c r="RB29" s="33"/>
      <c r="RC29" s="33"/>
      <c r="RD29" s="33"/>
      <c r="RE29" s="33"/>
      <c r="RF29" s="33"/>
      <c r="RG29" s="33"/>
      <c r="RH29" s="33"/>
      <c r="RI29" s="33"/>
      <c r="RJ29" s="33"/>
      <c r="RK29" s="33"/>
      <c r="RL29" s="33"/>
      <c r="RM29" s="33"/>
      <c r="RN29" s="33"/>
      <c r="RO29" s="33"/>
      <c r="RP29" s="33"/>
      <c r="RQ29" s="33"/>
      <c r="RR29" s="33"/>
      <c r="RS29" s="33"/>
      <c r="RT29" s="33"/>
      <c r="RU29" s="33"/>
      <c r="RV29" s="33"/>
      <c r="RW29" s="33"/>
      <c r="RX29" s="33"/>
      <c r="RY29" s="33"/>
      <c r="RZ29" s="33"/>
      <c r="SA29" s="33"/>
      <c r="SB29" s="33"/>
      <c r="SC29" s="33"/>
      <c r="SD29" s="33"/>
      <c r="SE29" s="33"/>
      <c r="SF29" s="33"/>
      <c r="SG29" s="33"/>
      <c r="SH29" s="33"/>
      <c r="SI29" s="33"/>
      <c r="SJ29" s="33"/>
      <c r="SK29" s="33"/>
      <c r="SL29" s="33"/>
      <c r="SM29" s="33"/>
      <c r="SN29" s="33"/>
      <c r="SO29" s="33"/>
      <c r="SP29" s="33"/>
      <c r="SQ29" s="33"/>
      <c r="SR29" s="33"/>
      <c r="SS29" s="33"/>
      <c r="ST29" s="33"/>
      <c r="SU29" s="33"/>
      <c r="SV29" s="33"/>
      <c r="SW29" s="33"/>
      <c r="SX29" s="33"/>
      <c r="SY29" s="33"/>
      <c r="SZ29" s="33"/>
      <c r="TA29" s="33"/>
      <c r="TB29" s="33"/>
      <c r="TC29" s="33"/>
      <c r="TD29" s="33"/>
      <c r="TE29" s="33"/>
      <c r="TF29" s="33"/>
      <c r="TG29" s="33"/>
      <c r="TH29" s="33"/>
      <c r="TI29" s="33"/>
      <c r="TJ29" s="33"/>
      <c r="TK29" s="33"/>
      <c r="TL29" s="33"/>
      <c r="TM29" s="33"/>
      <c r="TN29" s="33"/>
      <c r="TO29" s="33"/>
      <c r="TP29" s="33"/>
      <c r="TQ29" s="33"/>
      <c r="TR29" s="33"/>
      <c r="TS29" s="33"/>
      <c r="TT29" s="33"/>
      <c r="TU29" s="33"/>
      <c r="TV29" s="33"/>
      <c r="TW29" s="33"/>
      <c r="TX29" s="33"/>
      <c r="TY29" s="33"/>
      <c r="TZ29" s="33"/>
      <c r="UA29" s="33"/>
      <c r="UB29" s="33"/>
      <c r="UC29" s="33"/>
      <c r="UD29" s="33"/>
      <c r="UE29" s="33"/>
      <c r="UF29" s="33"/>
      <c r="UG29" s="33"/>
      <c r="UH29" s="33"/>
      <c r="UI29" s="33"/>
      <c r="UJ29" s="33"/>
      <c r="UK29" s="33"/>
      <c r="UL29" s="33"/>
      <c r="UM29" s="33"/>
      <c r="UN29" s="33"/>
      <c r="UO29" s="33"/>
      <c r="UP29" s="33"/>
      <c r="UQ29" s="33"/>
      <c r="UR29" s="33"/>
      <c r="US29" s="33"/>
      <c r="UT29" s="33"/>
      <c r="UU29" s="33"/>
      <c r="UV29" s="33"/>
      <c r="UW29" s="33"/>
      <c r="UX29" s="33"/>
      <c r="UY29" s="33"/>
      <c r="UZ29" s="33"/>
      <c r="VA29" s="33"/>
      <c r="VB29" s="33"/>
      <c r="VC29" s="33"/>
      <c r="VD29" s="33"/>
      <c r="VE29" s="33"/>
      <c r="VF29" s="33"/>
      <c r="VG29" s="33"/>
      <c r="VH29" s="33"/>
      <c r="VI29" s="33"/>
      <c r="VJ29" s="33"/>
      <c r="VK29" s="33"/>
      <c r="VL29" s="33"/>
      <c r="VM29" s="33"/>
      <c r="VN29" s="33"/>
      <c r="VO29" s="33"/>
      <c r="VP29" s="33"/>
      <c r="VQ29" s="33"/>
      <c r="VR29" s="33"/>
      <c r="VS29" s="33"/>
      <c r="VT29" s="33"/>
      <c r="VU29" s="33"/>
      <c r="VV29" s="33"/>
      <c r="VW29" s="33"/>
      <c r="VX29" s="33"/>
      <c r="VY29" s="33"/>
      <c r="VZ29" s="33"/>
      <c r="WA29" s="33"/>
      <c r="WB29" s="33"/>
      <c r="WC29" s="33"/>
      <c r="WD29" s="33"/>
      <c r="WE29" s="33"/>
      <c r="WF29" s="33"/>
      <c r="WG29" s="33"/>
      <c r="WH29" s="33"/>
      <c r="WI29" s="33"/>
      <c r="WJ29" s="33"/>
      <c r="WK29" s="33"/>
      <c r="WL29" s="33"/>
      <c r="WM29" s="33"/>
      <c r="WN29" s="33"/>
      <c r="WO29" s="33"/>
      <c r="WP29" s="33"/>
      <c r="WQ29" s="33"/>
      <c r="WR29" s="33"/>
      <c r="WS29" s="33"/>
      <c r="WT29" s="33"/>
      <c r="WU29" s="33"/>
      <c r="WV29" s="33"/>
      <c r="WW29" s="33"/>
      <c r="WX29" s="33"/>
      <c r="WY29" s="33"/>
      <c r="WZ29" s="33"/>
      <c r="XA29" s="33"/>
      <c r="XB29" s="33"/>
      <c r="XC29" s="33"/>
      <c r="XD29" s="33"/>
      <c r="XE29" s="33"/>
      <c r="XF29" s="33"/>
      <c r="XG29" s="33"/>
      <c r="XH29" s="33"/>
      <c r="XI29" s="33"/>
      <c r="XJ29" s="33"/>
      <c r="XK29" s="33"/>
      <c r="XL29" s="33"/>
      <c r="XM29" s="33"/>
      <c r="XN29" s="33"/>
      <c r="XO29" s="33"/>
      <c r="XP29" s="33"/>
      <c r="XQ29" s="33"/>
      <c r="XR29" s="33"/>
      <c r="XS29" s="33"/>
      <c r="XT29" s="33"/>
      <c r="XU29" s="33"/>
      <c r="XV29" s="33"/>
      <c r="XW29" s="33"/>
      <c r="XX29" s="33"/>
      <c r="XY29" s="33"/>
      <c r="XZ29" s="33"/>
      <c r="YA29" s="33"/>
      <c r="YB29" s="33"/>
      <c r="YC29" s="33"/>
      <c r="YD29" s="33"/>
      <c r="YE29" s="33"/>
      <c r="YF29" s="33"/>
      <c r="YG29" s="33"/>
      <c r="YH29" s="33"/>
      <c r="YI29" s="33"/>
      <c r="YJ29" s="33"/>
      <c r="YK29" s="33"/>
      <c r="YL29" s="33"/>
      <c r="YM29" s="33"/>
      <c r="YN29" s="33"/>
      <c r="YO29" s="33"/>
      <c r="YP29" s="33"/>
      <c r="YQ29" s="33"/>
      <c r="YR29" s="33"/>
      <c r="YS29" s="33"/>
      <c r="YT29" s="33"/>
      <c r="YU29" s="33"/>
      <c r="YV29" s="33"/>
      <c r="YW29" s="33"/>
      <c r="YX29" s="33"/>
      <c r="YY29" s="33"/>
      <c r="YZ29" s="33"/>
      <c r="ZA29" s="33"/>
      <c r="ZB29" s="33"/>
      <c r="ZC29" s="33"/>
      <c r="ZD29" s="33"/>
      <c r="ZE29" s="33"/>
      <c r="ZF29" s="33"/>
      <c r="ZG29" s="33"/>
      <c r="ZH29" s="33"/>
      <c r="ZI29" s="33"/>
      <c r="ZJ29" s="33"/>
      <c r="ZK29" s="33"/>
      <c r="ZL29" s="33"/>
      <c r="ZM29" s="33"/>
      <c r="ZN29" s="33"/>
      <c r="ZO29" s="33"/>
      <c r="ZP29" s="33"/>
      <c r="ZQ29" s="33"/>
      <c r="ZR29" s="33"/>
      <c r="ZS29" s="33"/>
      <c r="ZT29" s="33"/>
      <c r="ZU29" s="33"/>
      <c r="ZV29" s="33"/>
      <c r="ZW29" s="33"/>
      <c r="ZX29" s="33"/>
      <c r="ZY29" s="33"/>
      <c r="ZZ29" s="33"/>
      <c r="AAA29" s="33"/>
      <c r="AAB29" s="33"/>
      <c r="AAC29" s="33"/>
      <c r="AAD29" s="33"/>
      <c r="AAE29" s="33"/>
      <c r="AAF29" s="33"/>
      <c r="AAG29" s="33"/>
      <c r="AAH29" s="33"/>
      <c r="AAI29" s="33"/>
      <c r="AAJ29" s="33"/>
      <c r="AAK29" s="33"/>
      <c r="AAL29" s="33"/>
      <c r="AAM29" s="33"/>
      <c r="AAN29" s="33"/>
      <c r="AAO29" s="33"/>
      <c r="AAP29" s="33"/>
      <c r="AAQ29" s="33"/>
      <c r="AAR29" s="33"/>
      <c r="AAS29" s="33"/>
      <c r="AAT29" s="33"/>
      <c r="AAU29" s="33"/>
      <c r="AAV29" s="33"/>
      <c r="AAW29" s="33"/>
      <c r="AAX29" s="33"/>
      <c r="AAY29" s="33"/>
      <c r="AAZ29" s="33"/>
      <c r="ABA29" s="33"/>
      <c r="ABB29" s="33"/>
      <c r="ABC29" s="33"/>
      <c r="ABD29" s="33"/>
      <c r="ABE29" s="33"/>
      <c r="ABF29" s="33"/>
      <c r="ABG29" s="33"/>
      <c r="ABH29" s="33"/>
      <c r="ABI29" s="33"/>
      <c r="ABJ29" s="33"/>
      <c r="ABK29" s="33"/>
      <c r="ABL29" s="33"/>
      <c r="ABM29" s="33"/>
      <c r="ABN29" s="33"/>
      <c r="ABO29" s="33"/>
      <c r="ABP29" s="33"/>
      <c r="ABQ29" s="33"/>
      <c r="ABR29" s="33"/>
      <c r="ABS29" s="33"/>
      <c r="ABT29" s="33"/>
      <c r="ABU29" s="33"/>
      <c r="ABV29" s="33"/>
      <c r="ABW29" s="33"/>
      <c r="ABX29" s="33"/>
      <c r="ABY29" s="33"/>
      <c r="ABZ29" s="33"/>
      <c r="ACA29" s="33"/>
      <c r="ACB29" s="33"/>
      <c r="ACC29" s="33"/>
      <c r="ACD29" s="33"/>
      <c r="ACE29" s="33"/>
      <c r="ACF29" s="33"/>
      <c r="ACG29" s="33"/>
      <c r="ACH29" s="33"/>
      <c r="ACI29" s="33"/>
      <c r="ACJ29" s="33"/>
      <c r="ACK29" s="33"/>
      <c r="ACL29" s="33"/>
      <c r="ACM29" s="33"/>
      <c r="ACN29" s="33"/>
      <c r="ACO29" s="33"/>
      <c r="ACP29" s="33"/>
      <c r="ACQ29" s="33"/>
      <c r="ACR29" s="33"/>
      <c r="ACS29" s="33"/>
      <c r="ACT29" s="33"/>
      <c r="ACU29" s="33"/>
      <c r="ACV29" s="33"/>
      <c r="ACW29" s="33"/>
      <c r="ACX29" s="33"/>
      <c r="ACY29" s="33"/>
      <c r="ACZ29" s="33"/>
      <c r="ADA29" s="33"/>
      <c r="ADB29" s="33"/>
      <c r="ADC29" s="33"/>
      <c r="ADD29" s="33"/>
      <c r="ADE29" s="33"/>
      <c r="ADF29" s="33"/>
      <c r="ADG29" s="33"/>
      <c r="ADH29" s="33"/>
      <c r="ADI29" s="33"/>
      <c r="ADJ29" s="33"/>
      <c r="ADK29" s="33"/>
      <c r="ADL29" s="33"/>
      <c r="ADM29" s="33"/>
      <c r="ADN29" s="33"/>
      <c r="ADO29" s="33"/>
      <c r="ADP29" s="33"/>
      <c r="ADQ29" s="33"/>
      <c r="ADR29" s="33"/>
      <c r="ADS29" s="33"/>
      <c r="ADT29" s="33"/>
      <c r="ADU29" s="33"/>
      <c r="ADV29" s="33"/>
      <c r="ADW29" s="33"/>
      <c r="ADX29" s="33"/>
      <c r="ADY29" s="33"/>
      <c r="ADZ29" s="33"/>
      <c r="AEA29" s="33"/>
      <c r="AEB29" s="33"/>
      <c r="AEC29" s="33"/>
      <c r="AED29" s="33"/>
      <c r="AEE29" s="33"/>
      <c r="AEF29" s="33"/>
      <c r="AEG29" s="33"/>
      <c r="AEH29" s="33"/>
      <c r="AEI29" s="33"/>
      <c r="AEJ29" s="33"/>
      <c r="AEK29" s="33"/>
      <c r="AEL29" s="33"/>
      <c r="AEM29" s="33"/>
      <c r="AEN29" s="33"/>
      <c r="AEO29" s="33"/>
      <c r="AEP29" s="33"/>
      <c r="AEQ29" s="33"/>
      <c r="AER29" s="33"/>
      <c r="AES29" s="33"/>
      <c r="AET29" s="33"/>
      <c r="AEU29" s="33"/>
      <c r="AEV29" s="33"/>
      <c r="AEW29" s="33"/>
      <c r="AEX29" s="33"/>
      <c r="AEY29" s="33"/>
      <c r="AEZ29" s="33"/>
      <c r="AFA29" s="33"/>
      <c r="AFB29" s="33"/>
      <c r="AFC29" s="33"/>
      <c r="AFD29" s="33"/>
      <c r="AFE29" s="33"/>
      <c r="AFF29" s="33"/>
      <c r="AFG29" s="33"/>
      <c r="AFH29" s="33"/>
      <c r="AFI29" s="33"/>
      <c r="AFJ29" s="33"/>
      <c r="AFK29" s="33"/>
      <c r="AFL29" s="33"/>
      <c r="AFM29" s="33"/>
      <c r="AFN29" s="33"/>
      <c r="AFO29" s="33"/>
      <c r="AFP29" s="33"/>
      <c r="AFQ29" s="33"/>
      <c r="AFR29" s="33"/>
      <c r="AFS29" s="33"/>
      <c r="AFT29" s="33"/>
      <c r="AFU29" s="33"/>
      <c r="AFV29" s="33"/>
      <c r="AFW29" s="33"/>
      <c r="AFX29" s="33"/>
      <c r="AFY29" s="33"/>
      <c r="AFZ29" s="33"/>
      <c r="AGA29" s="33"/>
      <c r="AGB29" s="33"/>
      <c r="AGC29" s="33"/>
      <c r="AGD29" s="33"/>
      <c r="AGE29" s="33"/>
      <c r="AGF29" s="33"/>
      <c r="AGG29" s="33"/>
      <c r="AGH29" s="33"/>
      <c r="AGI29" s="33"/>
      <c r="AGJ29" s="33"/>
      <c r="AGK29" s="33"/>
      <c r="AGL29" s="33"/>
      <c r="AGM29" s="33"/>
      <c r="AGN29" s="33"/>
      <c r="AGO29" s="33"/>
      <c r="AGP29" s="33"/>
      <c r="AGQ29" s="33"/>
      <c r="AGR29" s="33"/>
      <c r="AGS29" s="33"/>
      <c r="AGT29" s="33"/>
      <c r="AGU29" s="33"/>
      <c r="AGV29" s="33"/>
      <c r="AGW29" s="33"/>
      <c r="AGX29" s="33"/>
      <c r="AGY29" s="33"/>
      <c r="AGZ29" s="33"/>
      <c r="AHA29" s="33"/>
      <c r="AHB29" s="33"/>
      <c r="AHC29" s="33"/>
      <c r="AHD29" s="33"/>
      <c r="AHE29" s="33"/>
      <c r="AHF29" s="33"/>
      <c r="AHG29" s="33"/>
      <c r="AHH29" s="33"/>
      <c r="AHI29" s="33"/>
      <c r="AHJ29" s="33"/>
      <c r="AHK29" s="33"/>
      <c r="AHL29" s="33"/>
      <c r="AHM29" s="33"/>
      <c r="AHN29" s="33"/>
      <c r="AHO29" s="33"/>
      <c r="AHP29" s="33"/>
      <c r="AHQ29" s="33"/>
      <c r="AHR29" s="33"/>
      <c r="AHS29" s="33"/>
      <c r="AHT29" s="33"/>
      <c r="AHU29" s="33"/>
      <c r="AHV29" s="33"/>
      <c r="AHW29" s="33"/>
      <c r="AHX29" s="33"/>
      <c r="AHY29" s="33"/>
      <c r="AHZ29" s="33"/>
      <c r="AIA29" s="33"/>
      <c r="AIB29" s="33"/>
      <c r="AIC29" s="33"/>
      <c r="AID29" s="33"/>
      <c r="AIE29" s="33"/>
      <c r="AIF29" s="33"/>
      <c r="AIG29" s="33"/>
      <c r="AIH29" s="33"/>
      <c r="AII29" s="33"/>
      <c r="AIJ29" s="33"/>
      <c r="AIK29" s="33"/>
      <c r="AIL29" s="33"/>
      <c r="AIM29" s="33"/>
      <c r="AIN29" s="33"/>
      <c r="AIO29" s="33"/>
      <c r="AIP29" s="33"/>
      <c r="AIQ29" s="33"/>
      <c r="AIR29" s="33"/>
      <c r="AIS29" s="33"/>
      <c r="AIT29" s="33"/>
      <c r="AIU29" s="33"/>
      <c r="AIV29" s="33"/>
      <c r="AIW29" s="33"/>
      <c r="AIX29" s="33"/>
      <c r="AIY29" s="33"/>
      <c r="AIZ29" s="33"/>
      <c r="AJA29" s="33"/>
      <c r="AJB29" s="33"/>
      <c r="AJC29" s="33"/>
      <c r="AJD29" s="33"/>
      <c r="AJE29" s="33"/>
      <c r="AJF29" s="33"/>
      <c r="AJG29" s="33"/>
      <c r="AJH29" s="33"/>
      <c r="AJI29" s="33"/>
      <c r="AJJ29" s="33"/>
      <c r="AJK29" s="33"/>
      <c r="AJL29" s="33"/>
      <c r="AJM29" s="33"/>
      <c r="AJN29" s="33"/>
      <c r="AJO29" s="33"/>
      <c r="AJP29" s="33"/>
      <c r="AJQ29" s="33"/>
      <c r="AJR29" s="33"/>
      <c r="AJS29" s="33"/>
      <c r="AJT29" s="33"/>
      <c r="AJU29" s="33"/>
      <c r="AJV29" s="33"/>
      <c r="AJW29" s="33"/>
      <c r="AJX29" s="33"/>
      <c r="AJY29" s="33"/>
      <c r="AJZ29" s="33"/>
      <c r="AKA29" s="33"/>
      <c r="AKB29" s="33"/>
      <c r="AKC29" s="33"/>
      <c r="AKD29" s="33"/>
      <c r="AKE29" s="33"/>
      <c r="AKF29" s="33"/>
      <c r="AKG29" s="33"/>
      <c r="AKH29" s="33"/>
      <c r="AKI29" s="33"/>
      <c r="AKJ29" s="33"/>
      <c r="AKK29" s="33"/>
      <c r="AKL29" s="33"/>
      <c r="AKM29" s="33"/>
      <c r="AKN29" s="33"/>
      <c r="AKO29" s="33"/>
      <c r="AKP29" s="33"/>
      <c r="AKQ29" s="33"/>
      <c r="AKR29" s="33"/>
      <c r="AKS29" s="33"/>
      <c r="AKT29" s="33"/>
      <c r="AKU29" s="33"/>
      <c r="AKV29" s="33"/>
      <c r="AKW29" s="33"/>
      <c r="AKX29" s="33"/>
      <c r="AKY29" s="33"/>
      <c r="AKZ29" s="33"/>
      <c r="ALA29" s="33"/>
      <c r="ALB29" s="33"/>
      <c r="ALC29" s="33"/>
      <c r="ALD29" s="33"/>
      <c r="ALE29" s="33"/>
      <c r="ALF29" s="33"/>
      <c r="ALG29" s="33"/>
      <c r="ALH29" s="33"/>
      <c r="ALI29" s="33"/>
      <c r="ALJ29" s="33"/>
      <c r="ALK29" s="33"/>
      <c r="ALL29" s="33"/>
      <c r="ALM29" s="33"/>
      <c r="ALN29" s="33"/>
      <c r="ALO29" s="33"/>
      <c r="ALP29" s="33"/>
      <c r="ALQ29" s="33"/>
      <c r="ALR29" s="33"/>
      <c r="ALS29" s="33"/>
      <c r="ALT29" s="33"/>
      <c r="ALU29" s="33"/>
      <c r="ALV29" s="33"/>
      <c r="ALW29" s="33"/>
      <c r="ALX29" s="33"/>
      <c r="ALY29" s="33"/>
      <c r="ALZ29" s="33"/>
      <c r="AMA29" s="33"/>
      <c r="AMB29" s="33"/>
      <c r="AMC29" s="33"/>
      <c r="AMD29" s="33"/>
      <c r="AME29" s="33"/>
      <c r="AMF29" s="33"/>
      <c r="AMG29" s="33"/>
      <c r="AMH29" s="33"/>
      <c r="AMI29" s="33"/>
      <c r="AMJ29" s="33"/>
      <c r="AMK29" s="33"/>
      <c r="AML29" s="33"/>
      <c r="AMM29" s="33"/>
      <c r="AMN29" s="33"/>
      <c r="AMO29" s="33"/>
      <c r="AMP29" s="33"/>
      <c r="AMQ29" s="33"/>
      <c r="AMR29" s="33"/>
      <c r="AMS29" s="33"/>
      <c r="AMT29" s="33"/>
      <c r="AMU29" s="33"/>
      <c r="AMV29" s="33"/>
      <c r="AMW29" s="33"/>
      <c r="AMX29" s="33"/>
      <c r="AMY29" s="33"/>
      <c r="AMZ29" s="33"/>
      <c r="ANA29" s="33"/>
      <c r="ANB29" s="33"/>
      <c r="ANC29" s="33"/>
      <c r="AND29" s="33"/>
      <c r="ANE29" s="33"/>
      <c r="ANF29" s="33"/>
      <c r="ANG29" s="33"/>
      <c r="ANH29" s="33"/>
      <c r="ANI29" s="33"/>
      <c r="ANJ29" s="33"/>
      <c r="ANK29" s="33"/>
      <c r="ANL29" s="33"/>
      <c r="ANM29" s="33"/>
      <c r="ANN29" s="33"/>
      <c r="ANO29" s="33"/>
      <c r="ANP29" s="33"/>
      <c r="ANQ29" s="33"/>
      <c r="ANR29" s="33"/>
      <c r="ANS29" s="33"/>
      <c r="ANT29" s="33"/>
      <c r="ANU29" s="33"/>
      <c r="ANV29" s="33"/>
      <c r="ANW29" s="33"/>
      <c r="ANX29" s="33"/>
      <c r="ANY29" s="33"/>
      <c r="ANZ29" s="33"/>
      <c r="AOA29" s="33"/>
      <c r="AOB29" s="33"/>
      <c r="AOC29" s="33"/>
      <c r="AOD29" s="33"/>
      <c r="AOE29" s="33"/>
      <c r="AOF29" s="33"/>
      <c r="AOG29" s="33"/>
      <c r="AOH29" s="33"/>
      <c r="AOI29" s="33"/>
      <c r="AOJ29" s="33"/>
      <c r="AOK29" s="33"/>
      <c r="AOL29" s="33"/>
      <c r="AOM29" s="33"/>
      <c r="AON29" s="33"/>
      <c r="AOO29" s="33"/>
      <c r="AOP29" s="33"/>
      <c r="AOQ29" s="33"/>
      <c r="AOR29" s="33"/>
      <c r="AOS29" s="33"/>
      <c r="AOT29" s="33"/>
      <c r="AOU29" s="33"/>
      <c r="AOV29" s="33"/>
      <c r="AOW29" s="33"/>
      <c r="AOX29" s="33"/>
      <c r="AOY29" s="33"/>
      <c r="AOZ29" s="33"/>
      <c r="APA29" s="33"/>
      <c r="APB29" s="33"/>
      <c r="APC29" s="33"/>
      <c r="APD29" s="33"/>
      <c r="APE29" s="33"/>
      <c r="APF29" s="33"/>
      <c r="APG29" s="33"/>
      <c r="APH29" s="33"/>
      <c r="API29" s="33"/>
      <c r="APJ29" s="33"/>
      <c r="APK29" s="33"/>
      <c r="APL29" s="33"/>
      <c r="APM29" s="33"/>
      <c r="APN29" s="33"/>
      <c r="APO29" s="33"/>
      <c r="APP29" s="33"/>
      <c r="APQ29" s="33"/>
      <c r="APR29" s="33"/>
      <c r="APS29" s="33"/>
      <c r="APT29" s="33"/>
      <c r="APU29" s="33"/>
      <c r="APV29" s="33"/>
      <c r="APW29" s="33"/>
      <c r="APX29" s="33"/>
      <c r="APY29" s="33"/>
      <c r="APZ29" s="33"/>
      <c r="AQA29" s="33"/>
      <c r="AQB29" s="33"/>
      <c r="AQC29" s="33"/>
      <c r="AQD29" s="33"/>
      <c r="AQE29" s="33"/>
      <c r="AQF29" s="33"/>
      <c r="AQG29" s="33"/>
      <c r="AQH29" s="33"/>
      <c r="AQI29" s="33"/>
      <c r="AQJ29" s="33"/>
      <c r="AQK29" s="33"/>
      <c r="AQL29" s="33"/>
      <c r="AQM29" s="33"/>
      <c r="AQN29" s="33"/>
      <c r="AQO29" s="33"/>
      <c r="AQP29" s="33"/>
      <c r="AQQ29" s="33"/>
      <c r="AQR29" s="33"/>
      <c r="AQS29" s="33"/>
      <c r="AQT29" s="33"/>
      <c r="AQU29" s="33"/>
      <c r="AQV29" s="33"/>
      <c r="AQW29" s="33"/>
      <c r="AQX29" s="33"/>
      <c r="AQY29" s="33"/>
      <c r="AQZ29" s="33"/>
      <c r="ARA29" s="33"/>
      <c r="ARB29" s="33"/>
      <c r="ARC29" s="33"/>
      <c r="ARD29" s="33"/>
      <c r="ARE29" s="33"/>
      <c r="ARF29" s="33"/>
      <c r="ARG29" s="33"/>
      <c r="ARH29" s="33"/>
      <c r="ARI29" s="33"/>
      <c r="ARJ29" s="33"/>
      <c r="ARK29" s="33"/>
      <c r="ARL29" s="33"/>
      <c r="ARM29" s="33"/>
      <c r="ARN29" s="33"/>
      <c r="ARO29" s="33"/>
      <c r="ARP29" s="33"/>
      <c r="ARQ29" s="33"/>
      <c r="ARR29" s="33"/>
      <c r="ARS29" s="33"/>
      <c r="ART29" s="33"/>
      <c r="ARU29" s="33"/>
      <c r="ARV29" s="33"/>
      <c r="ARW29" s="33"/>
      <c r="ARX29" s="33"/>
      <c r="ARY29" s="33"/>
      <c r="ARZ29" s="33"/>
      <c r="ASA29" s="33"/>
      <c r="ASB29" s="33"/>
      <c r="ASC29" s="33"/>
      <c r="ASD29" s="33"/>
      <c r="ASE29" s="33"/>
      <c r="ASF29" s="33"/>
      <c r="ASG29" s="33"/>
      <c r="ASH29" s="33"/>
      <c r="ASI29" s="33"/>
      <c r="ASJ29" s="33"/>
      <c r="ASK29" s="33"/>
      <c r="ASL29" s="33"/>
      <c r="ASM29" s="33"/>
      <c r="ASN29" s="33"/>
      <c r="ASO29" s="33"/>
      <c r="ASP29" s="33"/>
      <c r="ASQ29" s="33"/>
      <c r="ASR29" s="33"/>
      <c r="ASS29" s="33"/>
      <c r="AST29" s="33"/>
      <c r="ASU29" s="33"/>
      <c r="ASV29" s="33"/>
      <c r="ASW29" s="33"/>
      <c r="ASX29" s="33"/>
      <c r="ASY29" s="33"/>
      <c r="ASZ29" s="33"/>
      <c r="ATA29" s="33"/>
      <c r="ATB29" s="33"/>
      <c r="ATC29" s="33"/>
      <c r="ATD29" s="33"/>
      <c r="ATE29" s="33"/>
      <c r="ATF29" s="33"/>
      <c r="ATG29" s="33"/>
      <c r="ATH29" s="33"/>
      <c r="ATI29" s="33"/>
      <c r="ATJ29" s="33"/>
      <c r="ATK29" s="33"/>
      <c r="ATL29" s="33"/>
      <c r="ATM29" s="33"/>
      <c r="ATN29" s="33"/>
      <c r="ATO29" s="33"/>
      <c r="ATP29" s="33"/>
      <c r="ATQ29" s="33"/>
      <c r="ATR29" s="33"/>
      <c r="ATS29" s="33"/>
      <c r="ATT29" s="33"/>
      <c r="ATU29" s="33"/>
      <c r="ATV29" s="33"/>
      <c r="ATW29" s="33"/>
      <c r="ATX29" s="33"/>
      <c r="ATY29" s="33"/>
      <c r="ATZ29" s="33"/>
      <c r="AUA29" s="33"/>
      <c r="AUB29" s="33"/>
      <c r="AUC29" s="33"/>
      <c r="AUD29" s="33"/>
      <c r="AUE29" s="33"/>
      <c r="AUF29" s="33"/>
      <c r="AUG29" s="33"/>
      <c r="AUH29" s="33"/>
      <c r="AUI29" s="33"/>
      <c r="AUJ29" s="33"/>
      <c r="AUK29" s="33"/>
      <c r="AUL29" s="33"/>
      <c r="AUM29" s="33"/>
      <c r="AUN29" s="33"/>
      <c r="AUO29" s="33"/>
      <c r="AUP29" s="33"/>
      <c r="AUQ29" s="33"/>
      <c r="AUR29" s="33"/>
      <c r="AUS29" s="33"/>
      <c r="AUT29" s="33"/>
      <c r="AUU29" s="33"/>
      <c r="AUV29" s="33"/>
      <c r="AUW29" s="33"/>
      <c r="AUX29" s="33"/>
      <c r="AUY29" s="33"/>
      <c r="AUZ29" s="33"/>
      <c r="AVA29" s="33"/>
      <c r="AVB29" s="33"/>
      <c r="AVC29" s="33"/>
      <c r="AVD29" s="33"/>
      <c r="AVE29" s="33"/>
      <c r="AVF29" s="33"/>
      <c r="AVG29" s="33"/>
      <c r="AVH29" s="33"/>
      <c r="AVI29" s="33"/>
      <c r="AVJ29" s="33"/>
      <c r="AVK29" s="33"/>
      <c r="AVL29" s="33"/>
      <c r="AVM29" s="33"/>
      <c r="AVN29" s="33"/>
      <c r="AVO29" s="33"/>
      <c r="AVP29" s="33"/>
      <c r="AVQ29" s="33"/>
      <c r="AVR29" s="33"/>
      <c r="AVS29" s="33"/>
      <c r="AVT29" s="33"/>
      <c r="AVU29" s="33"/>
      <c r="AVV29" s="33"/>
      <c r="AVW29" s="33"/>
      <c r="AVX29" s="33"/>
      <c r="AVY29" s="33"/>
      <c r="AVZ29" s="33"/>
      <c r="AWA29" s="33"/>
      <c r="AWB29" s="33"/>
      <c r="AWC29" s="33"/>
      <c r="AWD29" s="33"/>
      <c r="AWE29" s="33"/>
      <c r="AWF29" s="33"/>
      <c r="AWG29" s="33"/>
      <c r="AWH29" s="33"/>
      <c r="AWI29" s="33"/>
      <c r="AWJ29" s="33"/>
      <c r="AWK29" s="33"/>
      <c r="AWL29" s="33"/>
      <c r="AWM29" s="33"/>
      <c r="AWN29" s="33"/>
      <c r="AWO29" s="33"/>
      <c r="AWP29" s="33"/>
      <c r="AWQ29" s="33"/>
      <c r="AWR29" s="33"/>
      <c r="AWS29" s="33"/>
      <c r="AWT29" s="33"/>
      <c r="AWU29" s="33"/>
      <c r="AWV29" s="33"/>
      <c r="AWW29" s="33"/>
      <c r="AWX29" s="33"/>
      <c r="AWY29" s="33"/>
      <c r="AWZ29" s="33"/>
      <c r="AXA29" s="33"/>
      <c r="AXB29" s="33"/>
      <c r="AXC29" s="33"/>
      <c r="AXD29" s="33"/>
      <c r="AXE29" s="33"/>
      <c r="AXF29" s="33"/>
      <c r="AXG29" s="33"/>
      <c r="AXH29" s="33"/>
      <c r="AXI29" s="33"/>
      <c r="AXJ29" s="33"/>
      <c r="AXK29" s="33"/>
      <c r="AXL29" s="33"/>
      <c r="AXM29" s="33"/>
      <c r="AXN29" s="33"/>
      <c r="AXO29" s="33"/>
      <c r="AXP29" s="33"/>
      <c r="AXQ29" s="33"/>
      <c r="AXR29" s="33"/>
      <c r="AXS29" s="33"/>
      <c r="AXT29" s="33"/>
      <c r="AXU29" s="33"/>
      <c r="AXV29" s="33"/>
      <c r="AXW29" s="33"/>
      <c r="AXX29" s="33"/>
      <c r="AXY29" s="33"/>
      <c r="AXZ29" s="33"/>
      <c r="AYA29" s="33"/>
      <c r="AYB29" s="33"/>
      <c r="AYC29" s="33"/>
      <c r="AYD29" s="33"/>
      <c r="AYE29" s="33"/>
      <c r="AYF29" s="33"/>
      <c r="AYG29" s="33"/>
      <c r="AYH29" s="33"/>
      <c r="AYI29" s="33"/>
      <c r="AYJ29" s="33"/>
      <c r="AYK29" s="33"/>
      <c r="AYL29" s="33"/>
      <c r="AYM29" s="33"/>
      <c r="AYN29" s="33"/>
      <c r="AYO29" s="33"/>
      <c r="AYP29" s="33"/>
      <c r="AYQ29" s="33"/>
      <c r="AYR29" s="33"/>
      <c r="AYS29" s="33"/>
      <c r="AYT29" s="33"/>
      <c r="AYU29" s="33"/>
      <c r="AYV29" s="33"/>
      <c r="AYW29" s="33"/>
      <c r="AYX29" s="33"/>
      <c r="AYY29" s="33"/>
      <c r="AYZ29" s="33"/>
      <c r="AZA29" s="33"/>
      <c r="AZB29" s="33"/>
      <c r="AZC29" s="33"/>
      <c r="AZD29" s="33"/>
      <c r="AZE29" s="33"/>
      <c r="AZF29" s="33"/>
      <c r="AZG29" s="33"/>
      <c r="AZH29" s="33"/>
      <c r="AZI29" s="33"/>
      <c r="AZJ29" s="33"/>
      <c r="AZK29" s="33"/>
      <c r="AZL29" s="33"/>
      <c r="AZM29" s="33"/>
      <c r="AZN29" s="33"/>
      <c r="AZO29" s="33"/>
      <c r="AZP29" s="33"/>
      <c r="AZQ29" s="33"/>
      <c r="AZR29" s="33"/>
      <c r="AZS29" s="33"/>
      <c r="AZT29" s="33"/>
      <c r="AZU29" s="33"/>
      <c r="AZV29" s="33"/>
      <c r="AZW29" s="33"/>
      <c r="AZX29" s="33"/>
      <c r="AZY29" s="33"/>
      <c r="AZZ29" s="33"/>
      <c r="BAA29" s="33"/>
      <c r="BAB29" s="33"/>
      <c r="BAC29" s="33"/>
      <c r="BAD29" s="33"/>
      <c r="BAE29" s="33"/>
      <c r="BAF29" s="33"/>
      <c r="BAG29" s="33"/>
      <c r="BAH29" s="33"/>
      <c r="BAI29" s="33"/>
      <c r="BAJ29" s="33"/>
      <c r="BAK29" s="33"/>
      <c r="BAL29" s="33"/>
      <c r="BAM29" s="33"/>
      <c r="BAN29" s="33"/>
      <c r="BAO29" s="33"/>
      <c r="BAP29" s="33"/>
      <c r="BAQ29" s="33"/>
      <c r="BAR29" s="33"/>
      <c r="BAS29" s="33"/>
      <c r="BAT29" s="33"/>
      <c r="BAU29" s="33"/>
      <c r="BAV29" s="33"/>
      <c r="BAW29" s="33"/>
      <c r="BAX29" s="33"/>
      <c r="BAY29" s="33"/>
      <c r="BAZ29" s="33"/>
      <c r="BBA29" s="33"/>
      <c r="BBB29" s="33"/>
      <c r="BBC29" s="33"/>
      <c r="BBD29" s="33"/>
      <c r="BBE29" s="33"/>
      <c r="BBF29" s="33"/>
      <c r="BBG29" s="33"/>
      <c r="BBH29" s="33"/>
      <c r="BBI29" s="33"/>
      <c r="BBJ29" s="33"/>
      <c r="BBK29" s="33"/>
      <c r="BBL29" s="33"/>
      <c r="BBM29" s="33"/>
      <c r="BBN29" s="33"/>
      <c r="BBO29" s="33"/>
      <c r="BBP29" s="33"/>
      <c r="BBQ29" s="33"/>
      <c r="BBR29" s="33"/>
      <c r="BBS29" s="33"/>
      <c r="BBT29" s="33"/>
      <c r="BBU29" s="33"/>
      <c r="BBV29" s="33"/>
      <c r="BBW29" s="33"/>
      <c r="BBX29" s="33"/>
      <c r="BBY29" s="33"/>
      <c r="BBZ29" s="33"/>
      <c r="BCA29" s="33"/>
      <c r="BCB29" s="33"/>
      <c r="BCC29" s="33"/>
      <c r="BCD29" s="33"/>
      <c r="BCE29" s="33"/>
      <c r="BCF29" s="33"/>
      <c r="BCG29" s="33"/>
      <c r="BCH29" s="33"/>
      <c r="BCI29" s="33"/>
      <c r="BCJ29" s="33"/>
      <c r="BCK29" s="33"/>
      <c r="BCL29" s="33"/>
      <c r="BCM29" s="33"/>
      <c r="BCN29" s="33"/>
      <c r="BCO29" s="33"/>
      <c r="BCP29" s="33"/>
      <c r="BCQ29" s="33"/>
      <c r="BCR29" s="33"/>
      <c r="BCS29" s="33"/>
      <c r="BCT29" s="33"/>
      <c r="BCU29" s="33"/>
      <c r="BCV29" s="33"/>
      <c r="BCW29" s="33"/>
      <c r="BCX29" s="33"/>
      <c r="BCY29" s="33"/>
      <c r="BCZ29" s="33"/>
      <c r="BDA29" s="33"/>
      <c r="BDB29" s="33"/>
      <c r="BDC29" s="33"/>
      <c r="BDD29" s="33"/>
      <c r="BDE29" s="33"/>
      <c r="BDF29" s="33"/>
      <c r="BDG29" s="33"/>
      <c r="BDH29" s="33"/>
      <c r="BDI29" s="33"/>
      <c r="BDJ29" s="33"/>
      <c r="BDK29" s="33"/>
      <c r="BDL29" s="33"/>
      <c r="BDM29" s="33"/>
      <c r="BDN29" s="33"/>
      <c r="BDO29" s="33"/>
      <c r="BDP29" s="33"/>
      <c r="BDQ29" s="33"/>
      <c r="BDR29" s="33"/>
      <c r="BDS29" s="33"/>
      <c r="BDT29" s="33"/>
      <c r="BDU29" s="33"/>
      <c r="BDV29" s="33"/>
      <c r="BDW29" s="33"/>
      <c r="BDX29" s="33"/>
      <c r="BDY29" s="33"/>
      <c r="BDZ29" s="33"/>
      <c r="BEA29" s="33"/>
      <c r="BEB29" s="33"/>
      <c r="BEC29" s="33"/>
      <c r="BED29" s="33"/>
      <c r="BEE29" s="33"/>
      <c r="BEF29" s="33"/>
      <c r="BEG29" s="33"/>
      <c r="BEH29" s="33"/>
      <c r="BEI29" s="33"/>
      <c r="BEJ29" s="33"/>
      <c r="BEK29" s="33"/>
      <c r="BEL29" s="33"/>
      <c r="BEM29" s="33"/>
      <c r="BEN29" s="33"/>
      <c r="BEO29" s="33"/>
      <c r="BEP29" s="33"/>
      <c r="BEQ29" s="33"/>
      <c r="BER29" s="33"/>
      <c r="BES29" s="33"/>
      <c r="BET29" s="33"/>
      <c r="BEU29" s="33"/>
      <c r="BEV29" s="33"/>
      <c r="BEW29" s="33"/>
      <c r="BEX29" s="33"/>
      <c r="BEY29" s="33"/>
      <c r="BEZ29" s="33"/>
      <c r="BFA29" s="33"/>
      <c r="BFB29" s="33"/>
      <c r="BFC29" s="33"/>
      <c r="BFD29" s="33"/>
      <c r="BFE29" s="33"/>
      <c r="BFF29" s="33"/>
      <c r="BFG29" s="33"/>
      <c r="BFH29" s="33"/>
      <c r="BFI29" s="33"/>
      <c r="BFJ29" s="33"/>
      <c r="BFK29" s="33"/>
      <c r="BFL29" s="33"/>
      <c r="BFM29" s="33"/>
      <c r="BFN29" s="33"/>
      <c r="BFO29" s="33"/>
      <c r="BFP29" s="33"/>
      <c r="BFQ29" s="33"/>
      <c r="BFR29" s="33"/>
      <c r="BFS29" s="33"/>
      <c r="BFT29" s="33"/>
      <c r="BFU29" s="33"/>
      <c r="BFV29" s="33"/>
      <c r="BFW29" s="33"/>
      <c r="BFX29" s="33"/>
      <c r="BFY29" s="33"/>
      <c r="BFZ29" s="33"/>
      <c r="BGA29" s="33"/>
      <c r="BGB29" s="33"/>
      <c r="BGC29" s="33"/>
      <c r="BGD29" s="33"/>
      <c r="BGE29" s="33"/>
      <c r="BGF29" s="33"/>
      <c r="BGG29" s="33"/>
      <c r="BGH29" s="33"/>
      <c r="BGI29" s="33"/>
      <c r="BGJ29" s="33"/>
      <c r="BGK29" s="33"/>
      <c r="BGL29" s="33"/>
      <c r="BGM29" s="33"/>
      <c r="BGN29" s="33"/>
      <c r="BGO29" s="33"/>
      <c r="BGP29" s="33"/>
      <c r="BGQ29" s="33"/>
      <c r="BGR29" s="33"/>
      <c r="BGS29" s="33"/>
      <c r="BGT29" s="33"/>
      <c r="BGU29" s="33"/>
      <c r="BGV29" s="33"/>
      <c r="BGW29" s="33"/>
      <c r="BGX29" s="33"/>
      <c r="BGY29" s="33"/>
      <c r="BGZ29" s="33"/>
      <c r="BHA29" s="33"/>
      <c r="BHB29" s="33"/>
      <c r="BHC29" s="33"/>
      <c r="BHD29" s="33"/>
      <c r="BHE29" s="33"/>
      <c r="BHF29" s="33"/>
      <c r="BHG29" s="33"/>
      <c r="BHH29" s="33"/>
      <c r="BHI29" s="33"/>
      <c r="BHJ29" s="33"/>
      <c r="BHK29" s="33"/>
      <c r="BHL29" s="33"/>
      <c r="BHM29" s="33"/>
      <c r="BHN29" s="33"/>
      <c r="BHO29" s="33"/>
      <c r="BHP29" s="33"/>
      <c r="BHQ29" s="33"/>
      <c r="BHR29" s="33"/>
      <c r="BHS29" s="33"/>
      <c r="BHT29" s="33"/>
      <c r="BHU29" s="33"/>
      <c r="BHV29" s="33"/>
      <c r="BHW29" s="33"/>
      <c r="BHX29" s="33"/>
      <c r="BHY29" s="33"/>
      <c r="BHZ29" s="33"/>
      <c r="BIA29" s="33"/>
      <c r="BIB29" s="33"/>
      <c r="BIC29" s="33"/>
      <c r="BID29" s="33"/>
      <c r="BIE29" s="33"/>
      <c r="BIF29" s="33"/>
      <c r="BIG29" s="33"/>
      <c r="BIH29" s="33"/>
      <c r="BII29" s="33"/>
      <c r="BIJ29" s="33"/>
      <c r="BIK29" s="33"/>
      <c r="BIL29" s="33"/>
      <c r="BIM29" s="33"/>
      <c r="BIN29" s="33"/>
      <c r="BIO29" s="33"/>
      <c r="BIP29" s="33"/>
      <c r="BIQ29" s="33"/>
      <c r="BIR29" s="33"/>
      <c r="BIS29" s="33"/>
      <c r="BIT29" s="33"/>
      <c r="BIU29" s="33"/>
      <c r="BIV29" s="33"/>
      <c r="BIW29" s="33"/>
      <c r="BIX29" s="33"/>
      <c r="BIY29" s="33"/>
      <c r="BIZ29" s="33"/>
      <c r="BJA29" s="33"/>
      <c r="BJB29" s="33"/>
      <c r="BJC29" s="33"/>
      <c r="BJD29" s="33"/>
      <c r="BJE29" s="33"/>
      <c r="BJF29" s="33"/>
      <c r="BJG29" s="33"/>
      <c r="BJH29" s="33"/>
      <c r="BJI29" s="33"/>
      <c r="BJJ29" s="33"/>
      <c r="BJK29" s="33"/>
      <c r="BJL29" s="33"/>
      <c r="BJM29" s="33"/>
      <c r="BJN29" s="33"/>
      <c r="BJO29" s="33"/>
      <c r="BJP29" s="33"/>
      <c r="BJQ29" s="33"/>
      <c r="BJR29" s="33"/>
      <c r="BJS29" s="33"/>
      <c r="BJT29" s="33"/>
      <c r="BJU29" s="33"/>
      <c r="BJV29" s="33"/>
      <c r="BJW29" s="33"/>
      <c r="BJX29" s="33"/>
      <c r="BJY29" s="33"/>
      <c r="BJZ29" s="33"/>
      <c r="BKA29" s="33"/>
      <c r="BKB29" s="33"/>
      <c r="BKC29" s="33"/>
      <c r="BKD29" s="33"/>
      <c r="BKE29" s="33"/>
      <c r="BKF29" s="33"/>
      <c r="BKG29" s="33"/>
      <c r="BKH29" s="33"/>
      <c r="BKI29" s="33"/>
      <c r="BKJ29" s="33"/>
      <c r="BKK29" s="33"/>
      <c r="BKL29" s="33"/>
      <c r="BKM29" s="33"/>
      <c r="BKN29" s="33"/>
      <c r="BKO29" s="33"/>
      <c r="BKP29" s="33"/>
      <c r="BKQ29" s="33"/>
      <c r="BKR29" s="33"/>
      <c r="BKS29" s="33"/>
      <c r="BKT29" s="33"/>
      <c r="BKU29" s="33"/>
      <c r="BKV29" s="33"/>
      <c r="BKW29" s="33"/>
      <c r="BKX29" s="33"/>
      <c r="BKY29" s="33"/>
      <c r="BKZ29" s="33"/>
      <c r="BLA29" s="33"/>
      <c r="BLB29" s="33"/>
      <c r="BLC29" s="33"/>
      <c r="BLD29" s="33"/>
      <c r="BLE29" s="33"/>
      <c r="BLF29" s="33"/>
      <c r="BLG29" s="33"/>
      <c r="BLH29" s="33"/>
      <c r="BLI29" s="33"/>
      <c r="BLJ29" s="33"/>
      <c r="BLK29" s="33"/>
      <c r="BLL29" s="33"/>
      <c r="BLM29" s="33"/>
      <c r="BLN29" s="33"/>
      <c r="BLO29" s="33"/>
      <c r="BLP29" s="33"/>
      <c r="BLQ29" s="33"/>
      <c r="BLR29" s="33"/>
      <c r="BLS29" s="33"/>
      <c r="BLT29" s="33"/>
      <c r="BLU29" s="33"/>
      <c r="BLV29" s="33"/>
      <c r="BLW29" s="33"/>
      <c r="BLX29" s="33"/>
      <c r="BLY29" s="33"/>
      <c r="BLZ29" s="33"/>
      <c r="BMA29" s="33"/>
      <c r="BMB29" s="33"/>
      <c r="BMC29" s="33"/>
      <c r="BMD29" s="33"/>
      <c r="BME29" s="33"/>
      <c r="BMF29" s="33"/>
      <c r="BMG29" s="33"/>
      <c r="BMH29" s="33"/>
      <c r="BMI29" s="33"/>
      <c r="BMJ29" s="33"/>
      <c r="BMK29" s="33"/>
      <c r="BML29" s="33"/>
      <c r="BMM29" s="33"/>
      <c r="BMN29" s="33"/>
      <c r="BMO29" s="33"/>
      <c r="BMP29" s="33"/>
      <c r="BMQ29" s="33"/>
      <c r="BMR29" s="33"/>
      <c r="BMS29" s="33"/>
      <c r="BMT29" s="33"/>
      <c r="BMU29" s="33"/>
      <c r="BMV29" s="33"/>
      <c r="BMW29" s="33"/>
      <c r="BMX29" s="33"/>
      <c r="BMY29" s="33"/>
      <c r="BMZ29" s="33"/>
      <c r="BNA29" s="33"/>
      <c r="BNB29" s="33"/>
      <c r="BNC29" s="33"/>
      <c r="BND29" s="33"/>
      <c r="BNE29" s="33"/>
      <c r="BNF29" s="33"/>
      <c r="BNG29" s="33"/>
      <c r="BNH29" s="33"/>
      <c r="BNI29" s="33"/>
      <c r="BNJ29" s="33"/>
      <c r="BNK29" s="33"/>
      <c r="BNL29" s="33"/>
      <c r="BNM29" s="33"/>
      <c r="BNN29" s="33"/>
      <c r="BNO29" s="33"/>
      <c r="BNP29" s="33"/>
      <c r="BNQ29" s="33"/>
      <c r="BNR29" s="33"/>
      <c r="BNS29" s="33"/>
      <c r="BNT29" s="33"/>
      <c r="BNU29" s="33"/>
      <c r="BNV29" s="33"/>
      <c r="BNW29" s="33"/>
      <c r="BNX29" s="33"/>
      <c r="BNY29" s="33"/>
      <c r="BNZ29" s="33"/>
      <c r="BOA29" s="33"/>
      <c r="BOB29" s="33"/>
      <c r="BOC29" s="33"/>
      <c r="BOD29" s="33"/>
      <c r="BOE29" s="33"/>
      <c r="BOF29" s="33"/>
      <c r="BOG29" s="33"/>
      <c r="BOH29" s="33"/>
      <c r="BOI29" s="33"/>
      <c r="BOJ29" s="33"/>
      <c r="BOK29" s="33"/>
      <c r="BOL29" s="33"/>
      <c r="BOM29" s="33"/>
      <c r="BON29" s="33"/>
      <c r="BOO29" s="33"/>
      <c r="BOP29" s="33"/>
      <c r="BOQ29" s="33"/>
      <c r="BOR29" s="33"/>
      <c r="BOS29" s="33"/>
      <c r="BOT29" s="33"/>
      <c r="BOU29" s="33"/>
      <c r="BOV29" s="33"/>
      <c r="BOW29" s="33"/>
      <c r="BOX29" s="33"/>
      <c r="BOY29" s="33"/>
      <c r="BOZ29" s="33"/>
      <c r="BPA29" s="33"/>
      <c r="BPB29" s="33"/>
      <c r="BPC29" s="82"/>
    </row>
    <row r="30" s="35" customFormat="1" ht="60" customHeight="1" spans="1:1024 1025:1771">
      <c r="A30" s="78" t="s">
        <v>93</v>
      </c>
      <c r="B30" s="75" t="s">
        <v>94</v>
      </c>
      <c r="C30" s="75" t="s">
        <v>95</v>
      </c>
      <c r="D30" s="75" t="s">
        <v>96</v>
      </c>
      <c r="E30" s="75"/>
      <c r="F30" s="75"/>
      <c r="G30" s="79"/>
      <c r="H30" s="76">
        <f ca="1" t="shared" si="1"/>
        <v>46175</v>
      </c>
      <c r="I30" s="84" t="s">
        <v>10</v>
      </c>
      <c r="J30" s="37" t="s">
        <v>97</v>
      </c>
      <c r="K30" s="34" t="s">
        <v>98</v>
      </c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/>
      <c r="IS30" s="33"/>
      <c r="IT30" s="33"/>
      <c r="IU30" s="33"/>
      <c r="IV30" s="33"/>
      <c r="IW30" s="33"/>
      <c r="IX30" s="33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33"/>
      <c r="KF30" s="33"/>
      <c r="KG30" s="33"/>
      <c r="KH30" s="33"/>
      <c r="KI30" s="33"/>
      <c r="KJ30" s="33"/>
      <c r="KK30" s="33"/>
      <c r="KL30" s="33"/>
      <c r="KM30" s="33"/>
      <c r="KN30" s="33"/>
      <c r="KO30" s="33"/>
      <c r="KP30" s="33"/>
      <c r="KQ30" s="33"/>
      <c r="KR30" s="33"/>
      <c r="KS30" s="33"/>
      <c r="KT30" s="33"/>
      <c r="KU30" s="33"/>
      <c r="KV30" s="33"/>
      <c r="KW30" s="33"/>
      <c r="KX30" s="33"/>
      <c r="KY30" s="33"/>
      <c r="KZ30" s="33"/>
      <c r="LA30" s="33"/>
      <c r="LB30" s="33"/>
      <c r="LC30" s="33"/>
      <c r="LD30" s="33"/>
      <c r="LE30" s="33"/>
      <c r="LF30" s="33"/>
      <c r="LG30" s="33"/>
      <c r="LH30" s="33"/>
      <c r="LI30" s="33"/>
      <c r="LJ30" s="33"/>
      <c r="LK30" s="33"/>
      <c r="LL30" s="33"/>
      <c r="LM30" s="33"/>
      <c r="LN30" s="33"/>
      <c r="LO30" s="33"/>
      <c r="LP30" s="33"/>
      <c r="LQ30" s="33"/>
      <c r="LR30" s="33"/>
      <c r="LS30" s="33"/>
      <c r="LT30" s="33"/>
      <c r="LU30" s="33"/>
      <c r="LV30" s="33"/>
      <c r="LW30" s="33"/>
      <c r="LX30" s="33"/>
      <c r="LY30" s="33"/>
      <c r="LZ30" s="33"/>
      <c r="MA30" s="33"/>
      <c r="MB30" s="33"/>
      <c r="MC30" s="33"/>
      <c r="MD30" s="33"/>
      <c r="ME30" s="33"/>
      <c r="MF30" s="33"/>
      <c r="MG30" s="33"/>
      <c r="MH30" s="33"/>
      <c r="MI30" s="33"/>
      <c r="MJ30" s="33"/>
      <c r="MK30" s="33"/>
      <c r="ML30" s="33"/>
      <c r="MM30" s="33"/>
      <c r="MN30" s="33"/>
      <c r="MO30" s="33"/>
      <c r="MP30" s="33"/>
      <c r="MQ30" s="33"/>
      <c r="MR30" s="33"/>
      <c r="MS30" s="33"/>
      <c r="MT30" s="33"/>
      <c r="MU30" s="33"/>
      <c r="MV30" s="33"/>
      <c r="MW30" s="33"/>
      <c r="MX30" s="33"/>
      <c r="MY30" s="33"/>
      <c r="MZ30" s="33"/>
      <c r="NA30" s="33"/>
      <c r="NB30" s="33"/>
      <c r="NC30" s="33"/>
      <c r="ND30" s="33"/>
      <c r="NE30" s="33"/>
      <c r="NF30" s="33"/>
      <c r="NG30" s="33"/>
      <c r="NH30" s="33"/>
      <c r="NI30" s="33"/>
      <c r="NJ30" s="33"/>
      <c r="NK30" s="33"/>
      <c r="NL30" s="33"/>
      <c r="NM30" s="33"/>
      <c r="NN30" s="33"/>
      <c r="NO30" s="33"/>
      <c r="NP30" s="33"/>
      <c r="NQ30" s="33"/>
      <c r="NR30" s="33"/>
      <c r="NS30" s="33"/>
      <c r="NT30" s="33"/>
      <c r="NU30" s="33"/>
      <c r="NV30" s="33"/>
      <c r="NW30" s="33"/>
      <c r="NX30" s="33"/>
      <c r="NY30" s="33"/>
      <c r="NZ30" s="33"/>
      <c r="OA30" s="33"/>
      <c r="OB30" s="33"/>
      <c r="OC30" s="33"/>
      <c r="OD30" s="33"/>
      <c r="OE30" s="33"/>
      <c r="OF30" s="33"/>
      <c r="OG30" s="33"/>
      <c r="OH30" s="33"/>
      <c r="OI30" s="33"/>
      <c r="OJ30" s="33"/>
      <c r="OK30" s="33"/>
      <c r="OL30" s="33"/>
      <c r="OM30" s="33"/>
      <c r="ON30" s="33"/>
      <c r="OO30" s="33"/>
      <c r="OP30" s="33"/>
      <c r="OQ30" s="33"/>
      <c r="OR30" s="33"/>
      <c r="OS30" s="33"/>
      <c r="OT30" s="33"/>
      <c r="OU30" s="33"/>
      <c r="OV30" s="33"/>
      <c r="OW30" s="33"/>
      <c r="OX30" s="33"/>
      <c r="OY30" s="33"/>
      <c r="OZ30" s="33"/>
      <c r="PA30" s="33"/>
      <c r="PB30" s="33"/>
      <c r="PC30" s="33"/>
      <c r="PD30" s="33"/>
      <c r="PE30" s="33"/>
      <c r="PF30" s="33"/>
      <c r="PG30" s="33"/>
      <c r="PH30" s="33"/>
      <c r="PI30" s="33"/>
      <c r="PJ30" s="33"/>
      <c r="PK30" s="33"/>
      <c r="PL30" s="33"/>
      <c r="PM30" s="33"/>
      <c r="PN30" s="33"/>
      <c r="PO30" s="33"/>
      <c r="PP30" s="33"/>
      <c r="PQ30" s="33"/>
      <c r="PR30" s="33"/>
      <c r="PS30" s="33"/>
      <c r="PT30" s="33"/>
      <c r="PU30" s="33"/>
      <c r="PV30" s="33"/>
      <c r="PW30" s="33"/>
      <c r="PX30" s="33"/>
      <c r="PY30" s="33"/>
      <c r="PZ30" s="33"/>
      <c r="QA30" s="33"/>
      <c r="QB30" s="33"/>
      <c r="QC30" s="33"/>
      <c r="QD30" s="33"/>
      <c r="QE30" s="33"/>
      <c r="QF30" s="33"/>
      <c r="QG30" s="33"/>
      <c r="QH30" s="33"/>
      <c r="QI30" s="33"/>
      <c r="QJ30" s="33"/>
      <c r="QK30" s="33"/>
      <c r="QL30" s="33"/>
      <c r="QM30" s="33"/>
      <c r="QN30" s="33"/>
      <c r="QO30" s="33"/>
      <c r="QP30" s="33"/>
      <c r="QQ30" s="33"/>
      <c r="QR30" s="33"/>
      <c r="QS30" s="33"/>
      <c r="QT30" s="33"/>
      <c r="QU30" s="33"/>
      <c r="QV30" s="33"/>
      <c r="QW30" s="33"/>
      <c r="QX30" s="33"/>
      <c r="QY30" s="33"/>
      <c r="QZ30" s="33"/>
      <c r="RA30" s="33"/>
      <c r="RB30" s="33"/>
      <c r="RC30" s="33"/>
      <c r="RD30" s="33"/>
      <c r="RE30" s="33"/>
      <c r="RF30" s="33"/>
      <c r="RG30" s="33"/>
      <c r="RH30" s="33"/>
      <c r="RI30" s="33"/>
      <c r="RJ30" s="33"/>
      <c r="RK30" s="33"/>
      <c r="RL30" s="33"/>
      <c r="RM30" s="33"/>
      <c r="RN30" s="33"/>
      <c r="RO30" s="33"/>
      <c r="RP30" s="33"/>
      <c r="RQ30" s="33"/>
      <c r="RR30" s="33"/>
      <c r="RS30" s="33"/>
      <c r="RT30" s="33"/>
      <c r="RU30" s="33"/>
      <c r="RV30" s="33"/>
      <c r="RW30" s="33"/>
      <c r="RX30" s="33"/>
      <c r="RY30" s="33"/>
      <c r="RZ30" s="33"/>
      <c r="SA30" s="33"/>
      <c r="SB30" s="33"/>
      <c r="SC30" s="33"/>
      <c r="SD30" s="33"/>
      <c r="SE30" s="33"/>
      <c r="SF30" s="33"/>
      <c r="SG30" s="33"/>
      <c r="SH30" s="33"/>
      <c r="SI30" s="33"/>
      <c r="SJ30" s="33"/>
      <c r="SK30" s="33"/>
      <c r="SL30" s="33"/>
      <c r="SM30" s="33"/>
      <c r="SN30" s="33"/>
      <c r="SO30" s="33"/>
      <c r="SP30" s="33"/>
      <c r="SQ30" s="33"/>
      <c r="SR30" s="33"/>
      <c r="SS30" s="33"/>
      <c r="ST30" s="33"/>
      <c r="SU30" s="33"/>
      <c r="SV30" s="33"/>
      <c r="SW30" s="33"/>
      <c r="SX30" s="33"/>
      <c r="SY30" s="33"/>
      <c r="SZ30" s="33"/>
      <c r="TA30" s="33"/>
      <c r="TB30" s="33"/>
      <c r="TC30" s="33"/>
      <c r="TD30" s="33"/>
      <c r="TE30" s="33"/>
      <c r="TF30" s="33"/>
      <c r="TG30" s="33"/>
      <c r="TH30" s="33"/>
      <c r="TI30" s="33"/>
      <c r="TJ30" s="33"/>
      <c r="TK30" s="33"/>
      <c r="TL30" s="33"/>
      <c r="TM30" s="33"/>
      <c r="TN30" s="33"/>
      <c r="TO30" s="33"/>
      <c r="TP30" s="33"/>
      <c r="TQ30" s="33"/>
      <c r="TR30" s="33"/>
      <c r="TS30" s="33"/>
      <c r="TT30" s="33"/>
      <c r="TU30" s="33"/>
      <c r="TV30" s="33"/>
      <c r="TW30" s="33"/>
      <c r="TX30" s="33"/>
      <c r="TY30" s="33"/>
      <c r="TZ30" s="33"/>
      <c r="UA30" s="33"/>
      <c r="UB30" s="33"/>
      <c r="UC30" s="33"/>
      <c r="UD30" s="33"/>
      <c r="UE30" s="33"/>
      <c r="UF30" s="33"/>
      <c r="UG30" s="33"/>
      <c r="UH30" s="33"/>
      <c r="UI30" s="33"/>
      <c r="UJ30" s="33"/>
      <c r="UK30" s="33"/>
      <c r="UL30" s="33"/>
      <c r="UM30" s="33"/>
      <c r="UN30" s="33"/>
      <c r="UO30" s="33"/>
      <c r="UP30" s="33"/>
      <c r="UQ30" s="33"/>
      <c r="UR30" s="33"/>
      <c r="US30" s="33"/>
      <c r="UT30" s="33"/>
      <c r="UU30" s="33"/>
      <c r="UV30" s="33"/>
      <c r="UW30" s="33"/>
      <c r="UX30" s="33"/>
      <c r="UY30" s="33"/>
      <c r="UZ30" s="33"/>
      <c r="VA30" s="33"/>
      <c r="VB30" s="33"/>
      <c r="VC30" s="33"/>
      <c r="VD30" s="33"/>
      <c r="VE30" s="33"/>
      <c r="VF30" s="33"/>
      <c r="VG30" s="33"/>
      <c r="VH30" s="33"/>
      <c r="VI30" s="33"/>
      <c r="VJ30" s="33"/>
      <c r="VK30" s="33"/>
      <c r="VL30" s="33"/>
      <c r="VM30" s="33"/>
      <c r="VN30" s="33"/>
      <c r="VO30" s="33"/>
      <c r="VP30" s="33"/>
      <c r="VQ30" s="33"/>
      <c r="VR30" s="33"/>
      <c r="VS30" s="33"/>
      <c r="VT30" s="33"/>
      <c r="VU30" s="33"/>
      <c r="VV30" s="33"/>
      <c r="VW30" s="33"/>
      <c r="VX30" s="33"/>
      <c r="VY30" s="33"/>
      <c r="VZ30" s="33"/>
      <c r="WA30" s="33"/>
      <c r="WB30" s="33"/>
      <c r="WC30" s="33"/>
      <c r="WD30" s="33"/>
      <c r="WE30" s="33"/>
      <c r="WF30" s="33"/>
      <c r="WG30" s="33"/>
      <c r="WH30" s="33"/>
      <c r="WI30" s="33"/>
      <c r="WJ30" s="33"/>
      <c r="WK30" s="33"/>
      <c r="WL30" s="33"/>
      <c r="WM30" s="33"/>
      <c r="WN30" s="33"/>
      <c r="WO30" s="33"/>
      <c r="WP30" s="33"/>
      <c r="WQ30" s="33"/>
      <c r="WR30" s="33"/>
      <c r="WS30" s="33"/>
      <c r="WT30" s="33"/>
      <c r="WU30" s="33"/>
      <c r="WV30" s="33"/>
      <c r="WW30" s="33"/>
      <c r="WX30" s="33"/>
      <c r="WY30" s="33"/>
      <c r="WZ30" s="33"/>
      <c r="XA30" s="33"/>
      <c r="XB30" s="33"/>
      <c r="XC30" s="33"/>
      <c r="XD30" s="33"/>
      <c r="XE30" s="33"/>
      <c r="XF30" s="33"/>
      <c r="XG30" s="33"/>
      <c r="XH30" s="33"/>
      <c r="XI30" s="33"/>
      <c r="XJ30" s="33"/>
      <c r="XK30" s="33"/>
      <c r="XL30" s="33"/>
      <c r="XM30" s="33"/>
      <c r="XN30" s="33"/>
      <c r="XO30" s="33"/>
      <c r="XP30" s="33"/>
      <c r="XQ30" s="33"/>
      <c r="XR30" s="33"/>
      <c r="XS30" s="33"/>
      <c r="XT30" s="33"/>
      <c r="XU30" s="33"/>
      <c r="XV30" s="33"/>
      <c r="XW30" s="33"/>
      <c r="XX30" s="33"/>
      <c r="XY30" s="33"/>
      <c r="XZ30" s="33"/>
      <c r="YA30" s="33"/>
      <c r="YB30" s="33"/>
      <c r="YC30" s="33"/>
      <c r="YD30" s="33"/>
      <c r="YE30" s="33"/>
      <c r="YF30" s="33"/>
      <c r="YG30" s="33"/>
      <c r="YH30" s="33"/>
      <c r="YI30" s="33"/>
      <c r="YJ30" s="33"/>
      <c r="YK30" s="33"/>
      <c r="YL30" s="33"/>
      <c r="YM30" s="33"/>
      <c r="YN30" s="33"/>
      <c r="YO30" s="33"/>
      <c r="YP30" s="33"/>
      <c r="YQ30" s="33"/>
      <c r="YR30" s="33"/>
      <c r="YS30" s="33"/>
      <c r="YT30" s="33"/>
      <c r="YU30" s="33"/>
      <c r="YV30" s="33"/>
      <c r="YW30" s="33"/>
      <c r="YX30" s="33"/>
      <c r="YY30" s="33"/>
      <c r="YZ30" s="33"/>
      <c r="ZA30" s="33"/>
      <c r="ZB30" s="33"/>
      <c r="ZC30" s="33"/>
      <c r="ZD30" s="33"/>
      <c r="ZE30" s="33"/>
      <c r="ZF30" s="33"/>
      <c r="ZG30" s="33"/>
      <c r="ZH30" s="33"/>
      <c r="ZI30" s="33"/>
      <c r="ZJ30" s="33"/>
      <c r="ZK30" s="33"/>
      <c r="ZL30" s="33"/>
      <c r="ZM30" s="33"/>
      <c r="ZN30" s="33"/>
      <c r="ZO30" s="33"/>
      <c r="ZP30" s="33"/>
      <c r="ZQ30" s="33"/>
      <c r="ZR30" s="33"/>
      <c r="ZS30" s="33"/>
      <c r="ZT30" s="33"/>
      <c r="ZU30" s="33"/>
      <c r="ZV30" s="33"/>
      <c r="ZW30" s="33"/>
      <c r="ZX30" s="33"/>
      <c r="ZY30" s="33"/>
      <c r="ZZ30" s="33"/>
      <c r="AAA30" s="33"/>
      <c r="AAB30" s="33"/>
      <c r="AAC30" s="33"/>
      <c r="AAD30" s="33"/>
      <c r="AAE30" s="33"/>
      <c r="AAF30" s="33"/>
      <c r="AAG30" s="33"/>
      <c r="AAH30" s="33"/>
      <c r="AAI30" s="33"/>
      <c r="AAJ30" s="33"/>
      <c r="AAK30" s="33"/>
      <c r="AAL30" s="33"/>
      <c r="AAM30" s="33"/>
      <c r="AAN30" s="33"/>
      <c r="AAO30" s="33"/>
      <c r="AAP30" s="33"/>
      <c r="AAQ30" s="33"/>
      <c r="AAR30" s="33"/>
      <c r="AAS30" s="33"/>
      <c r="AAT30" s="33"/>
      <c r="AAU30" s="33"/>
      <c r="AAV30" s="33"/>
      <c r="AAW30" s="33"/>
      <c r="AAX30" s="33"/>
      <c r="AAY30" s="33"/>
      <c r="AAZ30" s="33"/>
      <c r="ABA30" s="33"/>
      <c r="ABB30" s="33"/>
      <c r="ABC30" s="33"/>
      <c r="ABD30" s="33"/>
      <c r="ABE30" s="33"/>
      <c r="ABF30" s="33"/>
      <c r="ABG30" s="33"/>
      <c r="ABH30" s="33"/>
      <c r="ABI30" s="33"/>
      <c r="ABJ30" s="33"/>
      <c r="ABK30" s="33"/>
      <c r="ABL30" s="33"/>
      <c r="ABM30" s="33"/>
      <c r="ABN30" s="33"/>
      <c r="ABO30" s="33"/>
      <c r="ABP30" s="33"/>
      <c r="ABQ30" s="33"/>
      <c r="ABR30" s="33"/>
      <c r="ABS30" s="33"/>
      <c r="ABT30" s="33"/>
      <c r="ABU30" s="33"/>
      <c r="ABV30" s="33"/>
      <c r="ABW30" s="33"/>
      <c r="ABX30" s="33"/>
      <c r="ABY30" s="33"/>
      <c r="ABZ30" s="33"/>
      <c r="ACA30" s="33"/>
      <c r="ACB30" s="33"/>
      <c r="ACC30" s="33"/>
      <c r="ACD30" s="33"/>
      <c r="ACE30" s="33"/>
      <c r="ACF30" s="33"/>
      <c r="ACG30" s="33"/>
      <c r="ACH30" s="33"/>
      <c r="ACI30" s="33"/>
      <c r="ACJ30" s="33"/>
      <c r="ACK30" s="33"/>
      <c r="ACL30" s="33"/>
      <c r="ACM30" s="33"/>
      <c r="ACN30" s="33"/>
      <c r="ACO30" s="33"/>
      <c r="ACP30" s="33"/>
      <c r="ACQ30" s="33"/>
      <c r="ACR30" s="33"/>
      <c r="ACS30" s="33"/>
      <c r="ACT30" s="33"/>
      <c r="ACU30" s="33"/>
      <c r="ACV30" s="33"/>
      <c r="ACW30" s="33"/>
      <c r="ACX30" s="33"/>
      <c r="ACY30" s="33"/>
      <c r="ACZ30" s="33"/>
      <c r="ADA30" s="33"/>
      <c r="ADB30" s="33"/>
      <c r="ADC30" s="33"/>
      <c r="ADD30" s="33"/>
      <c r="ADE30" s="33"/>
      <c r="ADF30" s="33"/>
      <c r="ADG30" s="33"/>
      <c r="ADH30" s="33"/>
      <c r="ADI30" s="33"/>
      <c r="ADJ30" s="33"/>
      <c r="ADK30" s="33"/>
      <c r="ADL30" s="33"/>
      <c r="ADM30" s="33"/>
      <c r="ADN30" s="33"/>
      <c r="ADO30" s="33"/>
      <c r="ADP30" s="33"/>
      <c r="ADQ30" s="33"/>
      <c r="ADR30" s="33"/>
      <c r="ADS30" s="33"/>
      <c r="ADT30" s="33"/>
      <c r="ADU30" s="33"/>
      <c r="ADV30" s="33"/>
      <c r="ADW30" s="33"/>
      <c r="ADX30" s="33"/>
      <c r="ADY30" s="33"/>
      <c r="ADZ30" s="33"/>
      <c r="AEA30" s="33"/>
      <c r="AEB30" s="33"/>
      <c r="AEC30" s="33"/>
      <c r="AED30" s="33"/>
      <c r="AEE30" s="33"/>
      <c r="AEF30" s="33"/>
      <c r="AEG30" s="33"/>
      <c r="AEH30" s="33"/>
      <c r="AEI30" s="33"/>
      <c r="AEJ30" s="33"/>
      <c r="AEK30" s="33"/>
      <c r="AEL30" s="33"/>
      <c r="AEM30" s="33"/>
      <c r="AEN30" s="33"/>
      <c r="AEO30" s="33"/>
      <c r="AEP30" s="33"/>
      <c r="AEQ30" s="33"/>
      <c r="AER30" s="33"/>
      <c r="AES30" s="33"/>
      <c r="AET30" s="33"/>
      <c r="AEU30" s="33"/>
      <c r="AEV30" s="33"/>
      <c r="AEW30" s="33"/>
      <c r="AEX30" s="33"/>
      <c r="AEY30" s="33"/>
      <c r="AEZ30" s="33"/>
      <c r="AFA30" s="33"/>
      <c r="AFB30" s="33"/>
      <c r="AFC30" s="33"/>
      <c r="AFD30" s="33"/>
      <c r="AFE30" s="33"/>
      <c r="AFF30" s="33"/>
      <c r="AFG30" s="33"/>
      <c r="AFH30" s="33"/>
      <c r="AFI30" s="33"/>
      <c r="AFJ30" s="33"/>
      <c r="AFK30" s="33"/>
      <c r="AFL30" s="33"/>
      <c r="AFM30" s="33"/>
      <c r="AFN30" s="33"/>
      <c r="AFO30" s="33"/>
      <c r="AFP30" s="33"/>
      <c r="AFQ30" s="33"/>
      <c r="AFR30" s="33"/>
      <c r="AFS30" s="33"/>
      <c r="AFT30" s="33"/>
      <c r="AFU30" s="33"/>
      <c r="AFV30" s="33"/>
      <c r="AFW30" s="33"/>
      <c r="AFX30" s="33"/>
      <c r="AFY30" s="33"/>
      <c r="AFZ30" s="33"/>
      <c r="AGA30" s="33"/>
      <c r="AGB30" s="33"/>
      <c r="AGC30" s="33"/>
      <c r="AGD30" s="33"/>
      <c r="AGE30" s="33"/>
      <c r="AGF30" s="33"/>
      <c r="AGG30" s="33"/>
      <c r="AGH30" s="33"/>
      <c r="AGI30" s="33"/>
      <c r="AGJ30" s="33"/>
      <c r="AGK30" s="33"/>
      <c r="AGL30" s="33"/>
      <c r="AGM30" s="33"/>
      <c r="AGN30" s="33"/>
      <c r="AGO30" s="33"/>
      <c r="AGP30" s="33"/>
      <c r="AGQ30" s="33"/>
      <c r="AGR30" s="33"/>
      <c r="AGS30" s="33"/>
      <c r="AGT30" s="33"/>
      <c r="AGU30" s="33"/>
      <c r="AGV30" s="33"/>
      <c r="AGW30" s="33"/>
      <c r="AGX30" s="33"/>
      <c r="AGY30" s="33"/>
      <c r="AGZ30" s="33"/>
      <c r="AHA30" s="33"/>
      <c r="AHB30" s="33"/>
      <c r="AHC30" s="33"/>
      <c r="AHD30" s="33"/>
      <c r="AHE30" s="33"/>
      <c r="AHF30" s="33"/>
      <c r="AHG30" s="33"/>
      <c r="AHH30" s="33"/>
      <c r="AHI30" s="33"/>
      <c r="AHJ30" s="33"/>
      <c r="AHK30" s="33"/>
      <c r="AHL30" s="33"/>
      <c r="AHM30" s="33"/>
      <c r="AHN30" s="33"/>
      <c r="AHO30" s="33"/>
      <c r="AHP30" s="33"/>
      <c r="AHQ30" s="33"/>
      <c r="AHR30" s="33"/>
      <c r="AHS30" s="33"/>
      <c r="AHT30" s="33"/>
      <c r="AHU30" s="33"/>
      <c r="AHV30" s="33"/>
      <c r="AHW30" s="33"/>
      <c r="AHX30" s="33"/>
      <c r="AHY30" s="33"/>
      <c r="AHZ30" s="33"/>
      <c r="AIA30" s="33"/>
      <c r="AIB30" s="33"/>
      <c r="AIC30" s="33"/>
      <c r="AID30" s="33"/>
      <c r="AIE30" s="33"/>
      <c r="AIF30" s="33"/>
      <c r="AIG30" s="33"/>
      <c r="AIH30" s="33"/>
      <c r="AII30" s="33"/>
      <c r="AIJ30" s="33"/>
      <c r="AIK30" s="33"/>
      <c r="AIL30" s="33"/>
      <c r="AIM30" s="33"/>
      <c r="AIN30" s="33"/>
      <c r="AIO30" s="33"/>
      <c r="AIP30" s="33"/>
      <c r="AIQ30" s="33"/>
      <c r="AIR30" s="33"/>
      <c r="AIS30" s="33"/>
      <c r="AIT30" s="33"/>
      <c r="AIU30" s="33"/>
      <c r="AIV30" s="33"/>
      <c r="AIW30" s="33"/>
      <c r="AIX30" s="33"/>
      <c r="AIY30" s="33"/>
      <c r="AIZ30" s="33"/>
      <c r="AJA30" s="33"/>
      <c r="AJB30" s="33"/>
      <c r="AJC30" s="33"/>
      <c r="AJD30" s="33"/>
      <c r="AJE30" s="33"/>
      <c r="AJF30" s="33"/>
      <c r="AJG30" s="33"/>
      <c r="AJH30" s="33"/>
      <c r="AJI30" s="33"/>
      <c r="AJJ30" s="33"/>
      <c r="AJK30" s="33"/>
      <c r="AJL30" s="33"/>
      <c r="AJM30" s="33"/>
      <c r="AJN30" s="33"/>
      <c r="AJO30" s="33"/>
      <c r="AJP30" s="33"/>
      <c r="AJQ30" s="33"/>
      <c r="AJR30" s="33"/>
      <c r="AJS30" s="33"/>
      <c r="AJT30" s="33"/>
      <c r="AJU30" s="33"/>
      <c r="AJV30" s="33"/>
      <c r="AJW30" s="33"/>
      <c r="AJX30" s="33"/>
      <c r="AJY30" s="33"/>
      <c r="AJZ30" s="33"/>
      <c r="AKA30" s="33"/>
      <c r="AKB30" s="33"/>
      <c r="AKC30" s="33"/>
      <c r="AKD30" s="33"/>
      <c r="AKE30" s="33"/>
      <c r="AKF30" s="33"/>
      <c r="AKG30" s="33"/>
      <c r="AKH30" s="33"/>
      <c r="AKI30" s="33"/>
      <c r="AKJ30" s="33"/>
      <c r="AKK30" s="33"/>
      <c r="AKL30" s="33"/>
      <c r="AKM30" s="33"/>
      <c r="AKN30" s="33"/>
      <c r="AKO30" s="33"/>
      <c r="AKP30" s="33"/>
      <c r="AKQ30" s="33"/>
      <c r="AKR30" s="33"/>
      <c r="AKS30" s="33"/>
      <c r="AKT30" s="33"/>
      <c r="AKU30" s="33"/>
      <c r="AKV30" s="33"/>
      <c r="AKW30" s="33"/>
      <c r="AKX30" s="33"/>
      <c r="AKY30" s="33"/>
      <c r="AKZ30" s="33"/>
      <c r="ALA30" s="33"/>
      <c r="ALB30" s="33"/>
      <c r="ALC30" s="33"/>
      <c r="ALD30" s="33"/>
      <c r="ALE30" s="33"/>
      <c r="ALF30" s="33"/>
      <c r="ALG30" s="33"/>
      <c r="ALH30" s="33"/>
      <c r="ALI30" s="33"/>
      <c r="ALJ30" s="33"/>
      <c r="ALK30" s="33"/>
      <c r="ALL30" s="33"/>
      <c r="ALM30" s="33"/>
      <c r="ALN30" s="33"/>
      <c r="ALO30" s="33"/>
      <c r="ALP30" s="33"/>
      <c r="ALQ30" s="33"/>
      <c r="ALR30" s="33"/>
      <c r="ALS30" s="33"/>
      <c r="ALT30" s="33"/>
      <c r="ALU30" s="33"/>
      <c r="ALV30" s="33"/>
      <c r="ALW30" s="33"/>
      <c r="ALX30" s="33"/>
      <c r="ALY30" s="33"/>
      <c r="ALZ30" s="33"/>
      <c r="AMA30" s="33"/>
      <c r="AMB30" s="33"/>
      <c r="AMC30" s="33"/>
      <c r="AMD30" s="33"/>
      <c r="AME30" s="33"/>
      <c r="AMF30" s="33"/>
      <c r="AMG30" s="33"/>
      <c r="AMH30" s="33"/>
      <c r="AMI30" s="33"/>
      <c r="AMJ30" s="33"/>
      <c r="AMK30" s="33"/>
      <c r="AML30" s="33"/>
      <c r="AMM30" s="33"/>
      <c r="AMN30" s="33"/>
      <c r="AMO30" s="33"/>
      <c r="AMP30" s="33"/>
      <c r="AMQ30" s="33"/>
      <c r="AMR30" s="33"/>
      <c r="AMS30" s="33"/>
      <c r="AMT30" s="33"/>
      <c r="AMU30" s="33"/>
      <c r="AMV30" s="33"/>
      <c r="AMW30" s="33"/>
      <c r="AMX30" s="33"/>
      <c r="AMY30" s="33"/>
      <c r="AMZ30" s="33"/>
      <c r="ANA30" s="33"/>
      <c r="ANB30" s="33"/>
      <c r="ANC30" s="33"/>
      <c r="AND30" s="33"/>
      <c r="ANE30" s="33"/>
      <c r="ANF30" s="33"/>
      <c r="ANG30" s="33"/>
      <c r="ANH30" s="33"/>
      <c r="ANI30" s="33"/>
      <c r="ANJ30" s="33"/>
      <c r="ANK30" s="33"/>
      <c r="ANL30" s="33"/>
      <c r="ANM30" s="33"/>
      <c r="ANN30" s="33"/>
      <c r="ANO30" s="33"/>
      <c r="ANP30" s="33"/>
      <c r="ANQ30" s="33"/>
      <c r="ANR30" s="33"/>
      <c r="ANS30" s="33"/>
      <c r="ANT30" s="33"/>
      <c r="ANU30" s="33"/>
      <c r="ANV30" s="33"/>
      <c r="ANW30" s="33"/>
      <c r="ANX30" s="33"/>
      <c r="ANY30" s="33"/>
      <c r="ANZ30" s="33"/>
      <c r="AOA30" s="33"/>
      <c r="AOB30" s="33"/>
      <c r="AOC30" s="33"/>
      <c r="AOD30" s="33"/>
      <c r="AOE30" s="33"/>
      <c r="AOF30" s="33"/>
      <c r="AOG30" s="33"/>
      <c r="AOH30" s="33"/>
      <c r="AOI30" s="33"/>
      <c r="AOJ30" s="33"/>
      <c r="AOK30" s="33"/>
      <c r="AOL30" s="33"/>
      <c r="AOM30" s="33"/>
      <c r="AON30" s="33"/>
      <c r="AOO30" s="33"/>
      <c r="AOP30" s="33"/>
      <c r="AOQ30" s="33"/>
      <c r="AOR30" s="33"/>
      <c r="AOS30" s="33"/>
      <c r="AOT30" s="33"/>
      <c r="AOU30" s="33"/>
      <c r="AOV30" s="33"/>
      <c r="AOW30" s="33"/>
      <c r="AOX30" s="33"/>
      <c r="AOY30" s="33"/>
      <c r="AOZ30" s="33"/>
      <c r="APA30" s="33"/>
      <c r="APB30" s="33"/>
      <c r="APC30" s="33"/>
      <c r="APD30" s="33"/>
      <c r="APE30" s="33"/>
      <c r="APF30" s="33"/>
      <c r="APG30" s="33"/>
      <c r="APH30" s="33"/>
      <c r="API30" s="33"/>
      <c r="APJ30" s="33"/>
      <c r="APK30" s="33"/>
      <c r="APL30" s="33"/>
      <c r="APM30" s="33"/>
      <c r="APN30" s="33"/>
      <c r="APO30" s="33"/>
      <c r="APP30" s="33"/>
      <c r="APQ30" s="33"/>
      <c r="APR30" s="33"/>
      <c r="APS30" s="33"/>
      <c r="APT30" s="33"/>
      <c r="APU30" s="33"/>
      <c r="APV30" s="33"/>
      <c r="APW30" s="33"/>
      <c r="APX30" s="33"/>
      <c r="APY30" s="33"/>
      <c r="APZ30" s="33"/>
      <c r="AQA30" s="33"/>
      <c r="AQB30" s="33"/>
      <c r="AQC30" s="33"/>
      <c r="AQD30" s="33"/>
      <c r="AQE30" s="33"/>
      <c r="AQF30" s="33"/>
      <c r="AQG30" s="33"/>
      <c r="AQH30" s="33"/>
      <c r="AQI30" s="33"/>
      <c r="AQJ30" s="33"/>
      <c r="AQK30" s="33"/>
      <c r="AQL30" s="33"/>
      <c r="AQM30" s="33"/>
      <c r="AQN30" s="33"/>
      <c r="AQO30" s="33"/>
      <c r="AQP30" s="33"/>
      <c r="AQQ30" s="33"/>
      <c r="AQR30" s="33"/>
      <c r="AQS30" s="33"/>
      <c r="AQT30" s="33"/>
      <c r="AQU30" s="33"/>
      <c r="AQV30" s="33"/>
      <c r="AQW30" s="33"/>
      <c r="AQX30" s="33"/>
      <c r="AQY30" s="33"/>
      <c r="AQZ30" s="33"/>
      <c r="ARA30" s="33"/>
      <c r="ARB30" s="33"/>
      <c r="ARC30" s="33"/>
      <c r="ARD30" s="33"/>
      <c r="ARE30" s="33"/>
      <c r="ARF30" s="33"/>
      <c r="ARG30" s="33"/>
      <c r="ARH30" s="33"/>
      <c r="ARI30" s="33"/>
      <c r="ARJ30" s="33"/>
      <c r="ARK30" s="33"/>
      <c r="ARL30" s="33"/>
      <c r="ARM30" s="33"/>
      <c r="ARN30" s="33"/>
      <c r="ARO30" s="33"/>
      <c r="ARP30" s="33"/>
      <c r="ARQ30" s="33"/>
      <c r="ARR30" s="33"/>
      <c r="ARS30" s="33"/>
      <c r="ART30" s="33"/>
      <c r="ARU30" s="33"/>
      <c r="ARV30" s="33"/>
      <c r="ARW30" s="33"/>
      <c r="ARX30" s="33"/>
      <c r="ARY30" s="33"/>
      <c r="ARZ30" s="33"/>
      <c r="ASA30" s="33"/>
      <c r="ASB30" s="33"/>
      <c r="ASC30" s="33"/>
      <c r="ASD30" s="33"/>
      <c r="ASE30" s="33"/>
      <c r="ASF30" s="33"/>
      <c r="ASG30" s="33"/>
      <c r="ASH30" s="33"/>
      <c r="ASI30" s="33"/>
      <c r="ASJ30" s="33"/>
      <c r="ASK30" s="33"/>
      <c r="ASL30" s="33"/>
      <c r="ASM30" s="33"/>
      <c r="ASN30" s="33"/>
      <c r="ASO30" s="33"/>
      <c r="ASP30" s="33"/>
      <c r="ASQ30" s="33"/>
      <c r="ASR30" s="33"/>
      <c r="ASS30" s="33"/>
      <c r="AST30" s="33"/>
      <c r="ASU30" s="33"/>
      <c r="ASV30" s="33"/>
      <c r="ASW30" s="33"/>
      <c r="ASX30" s="33"/>
      <c r="ASY30" s="33"/>
      <c r="ASZ30" s="33"/>
      <c r="ATA30" s="33"/>
      <c r="ATB30" s="33"/>
      <c r="ATC30" s="33"/>
      <c r="ATD30" s="33"/>
      <c r="ATE30" s="33"/>
      <c r="ATF30" s="33"/>
      <c r="ATG30" s="33"/>
      <c r="ATH30" s="33"/>
      <c r="ATI30" s="33"/>
      <c r="ATJ30" s="33"/>
      <c r="ATK30" s="33"/>
      <c r="ATL30" s="33"/>
      <c r="ATM30" s="33"/>
      <c r="ATN30" s="33"/>
      <c r="ATO30" s="33"/>
      <c r="ATP30" s="33"/>
      <c r="ATQ30" s="33"/>
      <c r="ATR30" s="33"/>
      <c r="ATS30" s="33"/>
      <c r="ATT30" s="33"/>
      <c r="ATU30" s="33"/>
      <c r="ATV30" s="33"/>
      <c r="ATW30" s="33"/>
      <c r="ATX30" s="33"/>
      <c r="ATY30" s="33"/>
      <c r="ATZ30" s="33"/>
      <c r="AUA30" s="33"/>
      <c r="AUB30" s="33"/>
      <c r="AUC30" s="33"/>
      <c r="AUD30" s="33"/>
      <c r="AUE30" s="33"/>
      <c r="AUF30" s="33"/>
      <c r="AUG30" s="33"/>
      <c r="AUH30" s="33"/>
      <c r="AUI30" s="33"/>
      <c r="AUJ30" s="33"/>
      <c r="AUK30" s="33"/>
      <c r="AUL30" s="33"/>
      <c r="AUM30" s="33"/>
      <c r="AUN30" s="33"/>
      <c r="AUO30" s="33"/>
      <c r="AUP30" s="33"/>
      <c r="AUQ30" s="33"/>
      <c r="AUR30" s="33"/>
      <c r="AUS30" s="33"/>
      <c r="AUT30" s="33"/>
      <c r="AUU30" s="33"/>
      <c r="AUV30" s="33"/>
      <c r="AUW30" s="33"/>
      <c r="AUX30" s="33"/>
      <c r="AUY30" s="33"/>
      <c r="AUZ30" s="33"/>
      <c r="AVA30" s="33"/>
      <c r="AVB30" s="33"/>
      <c r="AVC30" s="33"/>
      <c r="AVD30" s="33"/>
      <c r="AVE30" s="33"/>
      <c r="AVF30" s="33"/>
      <c r="AVG30" s="33"/>
      <c r="AVH30" s="33"/>
      <c r="AVI30" s="33"/>
      <c r="AVJ30" s="33"/>
      <c r="AVK30" s="33"/>
      <c r="AVL30" s="33"/>
      <c r="AVM30" s="33"/>
      <c r="AVN30" s="33"/>
      <c r="AVO30" s="33"/>
      <c r="AVP30" s="33"/>
      <c r="AVQ30" s="33"/>
      <c r="AVR30" s="33"/>
      <c r="AVS30" s="33"/>
      <c r="AVT30" s="33"/>
      <c r="AVU30" s="33"/>
      <c r="AVV30" s="33"/>
      <c r="AVW30" s="33"/>
      <c r="AVX30" s="33"/>
      <c r="AVY30" s="33"/>
      <c r="AVZ30" s="33"/>
      <c r="AWA30" s="33"/>
      <c r="AWB30" s="33"/>
      <c r="AWC30" s="33"/>
      <c r="AWD30" s="33"/>
      <c r="AWE30" s="33"/>
      <c r="AWF30" s="33"/>
      <c r="AWG30" s="33"/>
      <c r="AWH30" s="33"/>
      <c r="AWI30" s="33"/>
      <c r="AWJ30" s="33"/>
      <c r="AWK30" s="33"/>
      <c r="AWL30" s="33"/>
      <c r="AWM30" s="33"/>
      <c r="AWN30" s="33"/>
      <c r="AWO30" s="33"/>
      <c r="AWP30" s="33"/>
      <c r="AWQ30" s="33"/>
      <c r="AWR30" s="33"/>
      <c r="AWS30" s="33"/>
      <c r="AWT30" s="33"/>
      <c r="AWU30" s="33"/>
      <c r="AWV30" s="33"/>
      <c r="AWW30" s="33"/>
      <c r="AWX30" s="33"/>
      <c r="AWY30" s="33"/>
      <c r="AWZ30" s="33"/>
      <c r="AXA30" s="33"/>
      <c r="AXB30" s="33"/>
      <c r="AXC30" s="33"/>
      <c r="AXD30" s="33"/>
      <c r="AXE30" s="33"/>
      <c r="AXF30" s="33"/>
      <c r="AXG30" s="33"/>
      <c r="AXH30" s="33"/>
      <c r="AXI30" s="33"/>
      <c r="AXJ30" s="33"/>
      <c r="AXK30" s="33"/>
      <c r="AXL30" s="33"/>
      <c r="AXM30" s="33"/>
      <c r="AXN30" s="33"/>
      <c r="AXO30" s="33"/>
      <c r="AXP30" s="33"/>
      <c r="AXQ30" s="33"/>
      <c r="AXR30" s="33"/>
      <c r="AXS30" s="33"/>
      <c r="AXT30" s="33"/>
      <c r="AXU30" s="33"/>
      <c r="AXV30" s="33"/>
      <c r="AXW30" s="33"/>
      <c r="AXX30" s="33"/>
      <c r="AXY30" s="33"/>
      <c r="AXZ30" s="33"/>
      <c r="AYA30" s="33"/>
      <c r="AYB30" s="33"/>
      <c r="AYC30" s="33"/>
      <c r="AYD30" s="33"/>
      <c r="AYE30" s="33"/>
      <c r="AYF30" s="33"/>
      <c r="AYG30" s="33"/>
      <c r="AYH30" s="33"/>
      <c r="AYI30" s="33"/>
      <c r="AYJ30" s="33"/>
      <c r="AYK30" s="33"/>
      <c r="AYL30" s="33"/>
      <c r="AYM30" s="33"/>
      <c r="AYN30" s="33"/>
      <c r="AYO30" s="33"/>
      <c r="AYP30" s="33"/>
      <c r="AYQ30" s="33"/>
      <c r="AYR30" s="33"/>
      <c r="AYS30" s="33"/>
      <c r="AYT30" s="33"/>
      <c r="AYU30" s="33"/>
      <c r="AYV30" s="33"/>
      <c r="AYW30" s="33"/>
      <c r="AYX30" s="33"/>
      <c r="AYY30" s="33"/>
      <c r="AYZ30" s="33"/>
      <c r="AZA30" s="33"/>
      <c r="AZB30" s="33"/>
      <c r="AZC30" s="33"/>
      <c r="AZD30" s="33"/>
      <c r="AZE30" s="33"/>
      <c r="AZF30" s="33"/>
      <c r="AZG30" s="33"/>
      <c r="AZH30" s="33"/>
      <c r="AZI30" s="33"/>
      <c r="AZJ30" s="33"/>
      <c r="AZK30" s="33"/>
      <c r="AZL30" s="33"/>
      <c r="AZM30" s="33"/>
      <c r="AZN30" s="33"/>
      <c r="AZO30" s="33"/>
      <c r="AZP30" s="33"/>
      <c r="AZQ30" s="33"/>
      <c r="AZR30" s="33"/>
      <c r="AZS30" s="33"/>
      <c r="AZT30" s="33"/>
      <c r="AZU30" s="33"/>
      <c r="AZV30" s="33"/>
      <c r="AZW30" s="33"/>
      <c r="AZX30" s="33"/>
      <c r="AZY30" s="33"/>
      <c r="AZZ30" s="33"/>
      <c r="BAA30" s="33"/>
      <c r="BAB30" s="33"/>
      <c r="BAC30" s="33"/>
      <c r="BAD30" s="33"/>
      <c r="BAE30" s="33"/>
      <c r="BAF30" s="33"/>
      <c r="BAG30" s="33"/>
      <c r="BAH30" s="33"/>
      <c r="BAI30" s="33"/>
      <c r="BAJ30" s="33"/>
      <c r="BAK30" s="33"/>
      <c r="BAL30" s="33"/>
      <c r="BAM30" s="33"/>
      <c r="BAN30" s="33"/>
      <c r="BAO30" s="33"/>
      <c r="BAP30" s="33"/>
      <c r="BAQ30" s="33"/>
      <c r="BAR30" s="33"/>
      <c r="BAS30" s="33"/>
      <c r="BAT30" s="33"/>
      <c r="BAU30" s="33"/>
      <c r="BAV30" s="33"/>
      <c r="BAW30" s="33"/>
      <c r="BAX30" s="33"/>
      <c r="BAY30" s="33"/>
      <c r="BAZ30" s="33"/>
      <c r="BBA30" s="33"/>
      <c r="BBB30" s="33"/>
      <c r="BBC30" s="33"/>
      <c r="BBD30" s="33"/>
      <c r="BBE30" s="33"/>
      <c r="BBF30" s="33"/>
      <c r="BBG30" s="33"/>
      <c r="BBH30" s="33"/>
      <c r="BBI30" s="33"/>
      <c r="BBJ30" s="33"/>
      <c r="BBK30" s="33"/>
      <c r="BBL30" s="33"/>
      <c r="BBM30" s="33"/>
      <c r="BBN30" s="33"/>
      <c r="BBO30" s="33"/>
      <c r="BBP30" s="33"/>
      <c r="BBQ30" s="33"/>
      <c r="BBR30" s="33"/>
      <c r="BBS30" s="33"/>
      <c r="BBT30" s="33"/>
      <c r="BBU30" s="33"/>
      <c r="BBV30" s="33"/>
      <c r="BBW30" s="33"/>
      <c r="BBX30" s="33"/>
      <c r="BBY30" s="33"/>
      <c r="BBZ30" s="33"/>
      <c r="BCA30" s="33"/>
      <c r="BCB30" s="33"/>
      <c r="BCC30" s="33"/>
      <c r="BCD30" s="33"/>
      <c r="BCE30" s="33"/>
      <c r="BCF30" s="33"/>
      <c r="BCG30" s="33"/>
      <c r="BCH30" s="33"/>
      <c r="BCI30" s="33"/>
      <c r="BCJ30" s="33"/>
      <c r="BCK30" s="33"/>
      <c r="BCL30" s="33"/>
      <c r="BCM30" s="33"/>
      <c r="BCN30" s="33"/>
      <c r="BCO30" s="33"/>
      <c r="BCP30" s="33"/>
      <c r="BCQ30" s="33"/>
      <c r="BCR30" s="33"/>
      <c r="BCS30" s="33"/>
      <c r="BCT30" s="33"/>
      <c r="BCU30" s="33"/>
      <c r="BCV30" s="33"/>
      <c r="BCW30" s="33"/>
      <c r="BCX30" s="33"/>
      <c r="BCY30" s="33"/>
      <c r="BCZ30" s="33"/>
      <c r="BDA30" s="33"/>
      <c r="BDB30" s="33"/>
      <c r="BDC30" s="33"/>
      <c r="BDD30" s="33"/>
      <c r="BDE30" s="33"/>
      <c r="BDF30" s="33"/>
      <c r="BDG30" s="33"/>
      <c r="BDH30" s="33"/>
      <c r="BDI30" s="33"/>
      <c r="BDJ30" s="33"/>
      <c r="BDK30" s="33"/>
      <c r="BDL30" s="33"/>
      <c r="BDM30" s="33"/>
      <c r="BDN30" s="33"/>
      <c r="BDO30" s="33"/>
      <c r="BDP30" s="33"/>
      <c r="BDQ30" s="33"/>
      <c r="BDR30" s="33"/>
      <c r="BDS30" s="33"/>
      <c r="BDT30" s="33"/>
      <c r="BDU30" s="33"/>
      <c r="BDV30" s="33"/>
      <c r="BDW30" s="33"/>
      <c r="BDX30" s="33"/>
      <c r="BDY30" s="33"/>
      <c r="BDZ30" s="33"/>
      <c r="BEA30" s="33"/>
      <c r="BEB30" s="33"/>
      <c r="BEC30" s="33"/>
      <c r="BED30" s="33"/>
      <c r="BEE30" s="33"/>
      <c r="BEF30" s="33"/>
      <c r="BEG30" s="33"/>
      <c r="BEH30" s="33"/>
      <c r="BEI30" s="33"/>
      <c r="BEJ30" s="33"/>
      <c r="BEK30" s="33"/>
      <c r="BEL30" s="33"/>
      <c r="BEM30" s="33"/>
      <c r="BEN30" s="33"/>
      <c r="BEO30" s="33"/>
      <c r="BEP30" s="33"/>
      <c r="BEQ30" s="33"/>
      <c r="BER30" s="33"/>
      <c r="BES30" s="33"/>
      <c r="BET30" s="33"/>
      <c r="BEU30" s="33"/>
      <c r="BEV30" s="33"/>
      <c r="BEW30" s="33"/>
      <c r="BEX30" s="33"/>
      <c r="BEY30" s="33"/>
      <c r="BEZ30" s="33"/>
      <c r="BFA30" s="33"/>
      <c r="BFB30" s="33"/>
      <c r="BFC30" s="33"/>
      <c r="BFD30" s="33"/>
      <c r="BFE30" s="33"/>
      <c r="BFF30" s="33"/>
      <c r="BFG30" s="33"/>
      <c r="BFH30" s="33"/>
      <c r="BFI30" s="33"/>
      <c r="BFJ30" s="33"/>
      <c r="BFK30" s="33"/>
      <c r="BFL30" s="33"/>
      <c r="BFM30" s="33"/>
      <c r="BFN30" s="33"/>
      <c r="BFO30" s="33"/>
      <c r="BFP30" s="33"/>
      <c r="BFQ30" s="33"/>
      <c r="BFR30" s="33"/>
      <c r="BFS30" s="33"/>
      <c r="BFT30" s="33"/>
      <c r="BFU30" s="33"/>
      <c r="BFV30" s="33"/>
      <c r="BFW30" s="33"/>
      <c r="BFX30" s="33"/>
      <c r="BFY30" s="33"/>
      <c r="BFZ30" s="33"/>
      <c r="BGA30" s="33"/>
      <c r="BGB30" s="33"/>
      <c r="BGC30" s="33"/>
      <c r="BGD30" s="33"/>
      <c r="BGE30" s="33"/>
      <c r="BGF30" s="33"/>
      <c r="BGG30" s="33"/>
      <c r="BGH30" s="33"/>
      <c r="BGI30" s="33"/>
      <c r="BGJ30" s="33"/>
      <c r="BGK30" s="33"/>
      <c r="BGL30" s="33"/>
      <c r="BGM30" s="33"/>
      <c r="BGN30" s="33"/>
      <c r="BGO30" s="33"/>
      <c r="BGP30" s="33"/>
      <c r="BGQ30" s="33"/>
      <c r="BGR30" s="33"/>
      <c r="BGS30" s="33"/>
      <c r="BGT30" s="33"/>
      <c r="BGU30" s="33"/>
      <c r="BGV30" s="33"/>
      <c r="BGW30" s="33"/>
      <c r="BGX30" s="33"/>
      <c r="BGY30" s="33"/>
      <c r="BGZ30" s="33"/>
      <c r="BHA30" s="33"/>
      <c r="BHB30" s="33"/>
      <c r="BHC30" s="33"/>
      <c r="BHD30" s="33"/>
      <c r="BHE30" s="33"/>
      <c r="BHF30" s="33"/>
      <c r="BHG30" s="33"/>
      <c r="BHH30" s="33"/>
      <c r="BHI30" s="33"/>
      <c r="BHJ30" s="33"/>
      <c r="BHK30" s="33"/>
      <c r="BHL30" s="33"/>
      <c r="BHM30" s="33"/>
      <c r="BHN30" s="33"/>
      <c r="BHO30" s="33"/>
      <c r="BHP30" s="33"/>
      <c r="BHQ30" s="33"/>
      <c r="BHR30" s="33"/>
      <c r="BHS30" s="33"/>
      <c r="BHT30" s="33"/>
      <c r="BHU30" s="33"/>
      <c r="BHV30" s="33"/>
      <c r="BHW30" s="33"/>
      <c r="BHX30" s="33"/>
      <c r="BHY30" s="33"/>
      <c r="BHZ30" s="33"/>
      <c r="BIA30" s="33"/>
      <c r="BIB30" s="33"/>
      <c r="BIC30" s="33"/>
      <c r="BID30" s="33"/>
      <c r="BIE30" s="33"/>
      <c r="BIF30" s="33"/>
      <c r="BIG30" s="33"/>
      <c r="BIH30" s="33"/>
      <c r="BII30" s="33"/>
      <c r="BIJ30" s="33"/>
      <c r="BIK30" s="33"/>
      <c r="BIL30" s="33"/>
      <c r="BIM30" s="33"/>
      <c r="BIN30" s="33"/>
      <c r="BIO30" s="33"/>
      <c r="BIP30" s="33"/>
      <c r="BIQ30" s="33"/>
      <c r="BIR30" s="33"/>
      <c r="BIS30" s="33"/>
      <c r="BIT30" s="33"/>
      <c r="BIU30" s="33"/>
      <c r="BIV30" s="33"/>
      <c r="BIW30" s="33"/>
      <c r="BIX30" s="33"/>
      <c r="BIY30" s="33"/>
      <c r="BIZ30" s="33"/>
      <c r="BJA30" s="33"/>
      <c r="BJB30" s="33"/>
      <c r="BJC30" s="33"/>
      <c r="BJD30" s="33"/>
      <c r="BJE30" s="33"/>
      <c r="BJF30" s="33"/>
      <c r="BJG30" s="33"/>
      <c r="BJH30" s="33"/>
      <c r="BJI30" s="33"/>
      <c r="BJJ30" s="33"/>
      <c r="BJK30" s="33"/>
      <c r="BJL30" s="33"/>
      <c r="BJM30" s="33"/>
      <c r="BJN30" s="33"/>
      <c r="BJO30" s="33"/>
      <c r="BJP30" s="33"/>
      <c r="BJQ30" s="33"/>
      <c r="BJR30" s="33"/>
      <c r="BJS30" s="33"/>
      <c r="BJT30" s="33"/>
      <c r="BJU30" s="33"/>
      <c r="BJV30" s="33"/>
      <c r="BJW30" s="33"/>
      <c r="BJX30" s="33"/>
      <c r="BJY30" s="33"/>
      <c r="BJZ30" s="33"/>
      <c r="BKA30" s="33"/>
      <c r="BKB30" s="33"/>
      <c r="BKC30" s="33"/>
      <c r="BKD30" s="33"/>
      <c r="BKE30" s="33"/>
      <c r="BKF30" s="33"/>
      <c r="BKG30" s="33"/>
      <c r="BKH30" s="33"/>
      <c r="BKI30" s="33"/>
      <c r="BKJ30" s="33"/>
      <c r="BKK30" s="33"/>
      <c r="BKL30" s="33"/>
      <c r="BKM30" s="33"/>
      <c r="BKN30" s="33"/>
      <c r="BKO30" s="33"/>
      <c r="BKP30" s="33"/>
      <c r="BKQ30" s="33"/>
      <c r="BKR30" s="33"/>
      <c r="BKS30" s="33"/>
      <c r="BKT30" s="33"/>
      <c r="BKU30" s="33"/>
      <c r="BKV30" s="33"/>
      <c r="BKW30" s="33"/>
      <c r="BKX30" s="33"/>
      <c r="BKY30" s="33"/>
      <c r="BKZ30" s="33"/>
      <c r="BLA30" s="33"/>
      <c r="BLB30" s="33"/>
      <c r="BLC30" s="33"/>
      <c r="BLD30" s="33"/>
      <c r="BLE30" s="33"/>
      <c r="BLF30" s="33"/>
      <c r="BLG30" s="33"/>
      <c r="BLH30" s="33"/>
      <c r="BLI30" s="33"/>
      <c r="BLJ30" s="33"/>
      <c r="BLK30" s="33"/>
      <c r="BLL30" s="33"/>
      <c r="BLM30" s="33"/>
      <c r="BLN30" s="33"/>
      <c r="BLO30" s="33"/>
      <c r="BLP30" s="33"/>
      <c r="BLQ30" s="33"/>
      <c r="BLR30" s="33"/>
      <c r="BLS30" s="33"/>
      <c r="BLT30" s="33"/>
      <c r="BLU30" s="33"/>
      <c r="BLV30" s="33"/>
      <c r="BLW30" s="33"/>
      <c r="BLX30" s="33"/>
      <c r="BLY30" s="33"/>
      <c r="BLZ30" s="33"/>
      <c r="BMA30" s="33"/>
      <c r="BMB30" s="33"/>
      <c r="BMC30" s="33"/>
      <c r="BMD30" s="33"/>
      <c r="BME30" s="33"/>
      <c r="BMF30" s="33"/>
      <c r="BMG30" s="33"/>
      <c r="BMH30" s="33"/>
      <c r="BMI30" s="33"/>
      <c r="BMJ30" s="33"/>
      <c r="BMK30" s="33"/>
      <c r="BML30" s="33"/>
      <c r="BMM30" s="33"/>
      <c r="BMN30" s="33"/>
      <c r="BMO30" s="33"/>
      <c r="BMP30" s="33"/>
      <c r="BMQ30" s="33"/>
      <c r="BMR30" s="33"/>
      <c r="BMS30" s="33"/>
      <c r="BMT30" s="33"/>
      <c r="BMU30" s="33"/>
      <c r="BMV30" s="33"/>
      <c r="BMW30" s="33"/>
      <c r="BMX30" s="33"/>
      <c r="BMY30" s="33"/>
      <c r="BMZ30" s="33"/>
      <c r="BNA30" s="33"/>
      <c r="BNB30" s="33"/>
      <c r="BNC30" s="33"/>
      <c r="BND30" s="33"/>
      <c r="BNE30" s="33"/>
      <c r="BNF30" s="33"/>
      <c r="BNG30" s="33"/>
      <c r="BNH30" s="33"/>
      <c r="BNI30" s="33"/>
      <c r="BNJ30" s="33"/>
      <c r="BNK30" s="33"/>
      <c r="BNL30" s="33"/>
      <c r="BNM30" s="33"/>
      <c r="BNN30" s="33"/>
      <c r="BNO30" s="33"/>
      <c r="BNP30" s="33"/>
      <c r="BNQ30" s="33"/>
      <c r="BNR30" s="33"/>
      <c r="BNS30" s="33"/>
      <c r="BNT30" s="33"/>
      <c r="BNU30" s="33"/>
      <c r="BNV30" s="33"/>
      <c r="BNW30" s="33"/>
      <c r="BNX30" s="33"/>
      <c r="BNY30" s="33"/>
      <c r="BNZ30" s="33"/>
      <c r="BOA30" s="33"/>
      <c r="BOB30" s="33"/>
      <c r="BOC30" s="33"/>
      <c r="BOD30" s="33"/>
      <c r="BOE30" s="33"/>
      <c r="BOF30" s="33"/>
      <c r="BOG30" s="33"/>
      <c r="BOH30" s="33"/>
      <c r="BOI30" s="33"/>
      <c r="BOJ30" s="33"/>
      <c r="BOK30" s="33"/>
      <c r="BOL30" s="33"/>
      <c r="BOM30" s="33"/>
      <c r="BON30" s="33"/>
      <c r="BOO30" s="33"/>
      <c r="BOP30" s="33"/>
      <c r="BOQ30" s="33"/>
      <c r="BOR30" s="33"/>
      <c r="BOS30" s="33"/>
      <c r="BOT30" s="33"/>
      <c r="BOU30" s="33"/>
      <c r="BOV30" s="33"/>
      <c r="BOW30" s="33"/>
      <c r="BOX30" s="33"/>
      <c r="BOY30" s="33"/>
      <c r="BOZ30" s="33"/>
      <c r="BPA30" s="33"/>
      <c r="BPB30" s="33"/>
      <c r="BPC30" s="82"/>
    </row>
    <row r="31" s="33" customFormat="1" ht="60" customHeight="1" spans="1:1024 1025:1771">
      <c r="A31" s="74" t="s">
        <v>99</v>
      </c>
      <c r="B31" s="75" t="s">
        <v>100</v>
      </c>
      <c r="C31" s="75" t="s">
        <v>101</v>
      </c>
      <c r="D31" s="75" t="s">
        <v>102</v>
      </c>
      <c r="E31" s="75"/>
      <c r="F31" s="75"/>
      <c r="G31" s="75"/>
      <c r="H31" s="76">
        <f ca="1" t="shared" si="1"/>
        <v>46175</v>
      </c>
      <c r="I31" s="85" t="s">
        <v>10</v>
      </c>
      <c r="J31" s="37" t="s">
        <v>103</v>
      </c>
      <c r="K31" s="34" t="s">
        <v>104</v>
      </c>
    </row>
    <row r="32" s="33" customFormat="1" ht="60" customHeight="1" spans="1:1024 1025:1771">
      <c r="A32" s="78" t="s">
        <v>105</v>
      </c>
      <c r="B32" s="86" t="s">
        <v>106</v>
      </c>
      <c r="C32" s="86" t="s">
        <v>107</v>
      </c>
      <c r="D32" s="75" t="s">
        <v>108</v>
      </c>
      <c r="E32" s="75"/>
      <c r="F32" s="75"/>
      <c r="G32" s="79"/>
      <c r="H32" s="76">
        <f ca="1" t="shared" si="1"/>
        <v>46175</v>
      </c>
      <c r="I32" s="84" t="s">
        <v>10</v>
      </c>
      <c r="J32" s="37" t="s">
        <v>109</v>
      </c>
      <c r="K32" s="34" t="s">
        <v>110</v>
      </c>
    </row>
    <row r="33" s="33" customFormat="1" ht="60" customHeight="1" spans="1:11">
      <c r="A33" s="78" t="s">
        <v>111</v>
      </c>
      <c r="B33" s="86" t="s">
        <v>112</v>
      </c>
      <c r="C33" s="86" t="s">
        <v>113</v>
      </c>
      <c r="D33" s="75" t="s">
        <v>114</v>
      </c>
      <c r="E33" s="75"/>
      <c r="F33" s="75"/>
      <c r="G33" s="79"/>
      <c r="H33" s="76">
        <f ca="1" t="shared" si="1"/>
        <v>46175</v>
      </c>
      <c r="I33" s="84" t="s">
        <v>10</v>
      </c>
      <c r="J33" s="37" t="s">
        <v>115</v>
      </c>
      <c r="K33" s="34" t="s">
        <v>116</v>
      </c>
    </row>
    <row r="34" s="33" customFormat="1" ht="60" customHeight="1" spans="1:11">
      <c r="A34" s="78" t="s">
        <v>117</v>
      </c>
      <c r="B34" s="86" t="s">
        <v>118</v>
      </c>
      <c r="C34" s="86" t="s">
        <v>119</v>
      </c>
      <c r="D34" s="75" t="s">
        <v>120</v>
      </c>
      <c r="E34" s="75"/>
      <c r="F34" s="75"/>
      <c r="G34" s="79"/>
      <c r="H34" s="76">
        <f ca="1" t="shared" si="1"/>
        <v>46175</v>
      </c>
      <c r="I34" s="87" t="s">
        <v>10</v>
      </c>
      <c r="J34" s="79" t="s">
        <v>121</v>
      </c>
      <c r="K34" s="34" t="s">
        <v>122</v>
      </c>
    </row>
    <row r="35" s="33" customFormat="1" ht="60" customHeight="1" spans="1:11">
      <c r="A35" s="78" t="s">
        <v>123</v>
      </c>
      <c r="B35" s="86" t="s">
        <v>124</v>
      </c>
      <c r="C35" s="86" t="s">
        <v>125</v>
      </c>
      <c r="D35" s="75" t="s">
        <v>126</v>
      </c>
      <c r="E35" s="75"/>
      <c r="F35" s="75"/>
      <c r="G35" s="88"/>
      <c r="H35" s="76">
        <f ca="1" t="shared" si="1"/>
        <v>46175</v>
      </c>
      <c r="I35" s="87" t="s">
        <v>10</v>
      </c>
      <c r="J35" s="89" t="s">
        <v>127</v>
      </c>
      <c r="K35" s="34" t="s">
        <v>128</v>
      </c>
    </row>
    <row r="36" s="33" customFormat="1" ht="60" customHeight="1" spans="1:11">
      <c r="A36" s="78" t="s">
        <v>129</v>
      </c>
      <c r="B36" s="86" t="s">
        <v>130</v>
      </c>
      <c r="C36" s="86" t="s">
        <v>131</v>
      </c>
      <c r="D36" s="75" t="s">
        <v>132</v>
      </c>
      <c r="E36" s="75"/>
      <c r="F36" s="75"/>
      <c r="G36" s="88"/>
      <c r="H36" s="76">
        <f ca="1" t="shared" si="1"/>
        <v>46175</v>
      </c>
      <c r="I36" s="87" t="s">
        <v>10</v>
      </c>
      <c r="J36" s="79" t="s">
        <v>121</v>
      </c>
      <c r="K36" s="34" t="s">
        <v>133</v>
      </c>
    </row>
    <row r="37" s="33" customFormat="1" ht="60" customHeight="1" spans="1:11">
      <c r="A37" s="78" t="s">
        <v>134</v>
      </c>
      <c r="B37" s="86" t="s">
        <v>135</v>
      </c>
      <c r="C37" s="86" t="s">
        <v>136</v>
      </c>
      <c r="D37" s="75" t="s">
        <v>137</v>
      </c>
      <c r="E37" s="75"/>
      <c r="F37" s="75"/>
      <c r="G37" s="90"/>
      <c r="H37" s="76">
        <f ca="1" t="shared" si="1"/>
        <v>46175</v>
      </c>
      <c r="I37" s="87" t="s">
        <v>10</v>
      </c>
      <c r="J37" s="37" t="s">
        <v>138</v>
      </c>
      <c r="K37" s="34" t="s">
        <v>139</v>
      </c>
    </row>
    <row r="38" s="33" customFormat="1" ht="60" customHeight="1" spans="1:11">
      <c r="A38" s="78" t="s">
        <v>140</v>
      </c>
      <c r="B38" s="86" t="s">
        <v>141</v>
      </c>
      <c r="C38" s="86" t="s">
        <v>142</v>
      </c>
      <c r="D38" s="75" t="s">
        <v>143</v>
      </c>
      <c r="E38" s="75"/>
      <c r="F38" s="75"/>
      <c r="G38" s="88"/>
      <c r="H38" s="76">
        <f ca="1" t="shared" si="1"/>
        <v>46175</v>
      </c>
      <c r="I38" s="87" t="s">
        <v>10</v>
      </c>
      <c r="J38" s="79" t="s">
        <v>144</v>
      </c>
      <c r="K38" s="34" t="s">
        <v>145</v>
      </c>
    </row>
    <row r="39" s="33" customFormat="1" ht="60" customHeight="1" spans="1:11">
      <c r="A39" s="78" t="s">
        <v>146</v>
      </c>
      <c r="B39" s="86" t="s">
        <v>147</v>
      </c>
      <c r="C39" s="86" t="s">
        <v>148</v>
      </c>
      <c r="D39" s="75" t="s">
        <v>149</v>
      </c>
      <c r="E39" s="75"/>
      <c r="F39" s="75"/>
      <c r="G39" s="88"/>
      <c r="H39" s="76">
        <f ca="1" t="shared" si="1"/>
        <v>46175</v>
      </c>
      <c r="I39" s="87" t="s">
        <v>10</v>
      </c>
      <c r="J39" s="79" t="s">
        <v>86</v>
      </c>
      <c r="K39" s="34" t="s">
        <v>150</v>
      </c>
    </row>
    <row r="40" s="33" customFormat="1" ht="60" customHeight="1" spans="1:11">
      <c r="A40" s="78" t="s">
        <v>151</v>
      </c>
      <c r="B40" s="86" t="s">
        <v>152</v>
      </c>
      <c r="C40" s="86" t="s">
        <v>153</v>
      </c>
      <c r="D40" s="75" t="s">
        <v>154</v>
      </c>
      <c r="E40" s="75"/>
      <c r="F40" s="75"/>
      <c r="G40" s="88"/>
      <c r="H40" s="76">
        <f ca="1" t="shared" si="1"/>
        <v>46175</v>
      </c>
      <c r="I40" s="87" t="s">
        <v>10</v>
      </c>
      <c r="J40" s="79" t="s">
        <v>86</v>
      </c>
      <c r="K40" s="34" t="s">
        <v>155</v>
      </c>
    </row>
    <row r="41" s="33" customFormat="1" ht="60" customHeight="1" spans="1:11">
      <c r="A41" s="78" t="s">
        <v>156</v>
      </c>
      <c r="B41" s="86" t="s">
        <v>157</v>
      </c>
      <c r="C41" s="86" t="s">
        <v>158</v>
      </c>
      <c r="D41" s="75" t="s">
        <v>159</v>
      </c>
      <c r="E41" s="75"/>
      <c r="F41" s="75"/>
      <c r="G41" s="88"/>
      <c r="H41" s="76">
        <f ca="1" t="shared" si="1"/>
        <v>46175</v>
      </c>
      <c r="I41" s="87" t="s">
        <v>10</v>
      </c>
      <c r="J41" s="91" t="s">
        <v>160</v>
      </c>
      <c r="K41" s="34" t="s">
        <v>161</v>
      </c>
    </row>
    <row r="42" s="33" customFormat="1" ht="60" customHeight="1" spans="1:11">
      <c r="A42" s="78" t="s">
        <v>162</v>
      </c>
      <c r="B42" s="86" t="s">
        <v>163</v>
      </c>
      <c r="C42" s="86" t="s">
        <v>164</v>
      </c>
      <c r="D42" s="75" t="s">
        <v>165</v>
      </c>
      <c r="E42" s="75"/>
      <c r="F42" s="75"/>
      <c r="G42" s="88"/>
      <c r="H42" s="76">
        <f ca="1" t="shared" si="1"/>
        <v>46175</v>
      </c>
      <c r="I42" s="87" t="s">
        <v>10</v>
      </c>
      <c r="J42" s="91" t="s">
        <v>166</v>
      </c>
      <c r="K42" s="34" t="s">
        <v>167</v>
      </c>
    </row>
    <row r="43" s="33" customFormat="1" ht="24" customHeight="1" spans="1:11">
      <c r="A43" s="83" t="s">
        <v>168</v>
      </c>
      <c r="B43" s="73"/>
      <c r="C43" s="73"/>
      <c r="D43" s="73"/>
      <c r="E43" s="73"/>
      <c r="F43" s="73"/>
      <c r="G43" s="73"/>
      <c r="H43" s="73"/>
      <c r="I43" s="73"/>
      <c r="J43" s="73"/>
      <c r="K43" s="34"/>
    </row>
    <row r="44" s="33" customFormat="1" ht="60" customHeight="1" spans="1:11">
      <c r="A44" s="78" t="s">
        <v>169</v>
      </c>
      <c r="B44" s="86" t="s">
        <v>170</v>
      </c>
      <c r="C44" s="86" t="s">
        <v>171</v>
      </c>
      <c r="D44" s="75" t="s">
        <v>172</v>
      </c>
      <c r="E44" s="75"/>
      <c r="F44" s="75"/>
      <c r="G44" s="88"/>
      <c r="H44" s="90"/>
      <c r="I44" s="87" t="s">
        <v>10</v>
      </c>
      <c r="J44" s="90"/>
      <c r="K44" s="34"/>
    </row>
    <row r="45" s="33" customFormat="1" ht="60" customHeight="1" spans="1:11">
      <c r="A45" s="78" t="s">
        <v>173</v>
      </c>
      <c r="B45" s="86" t="s">
        <v>174</v>
      </c>
      <c r="C45" s="86" t="s">
        <v>175</v>
      </c>
      <c r="D45" s="75" t="s">
        <v>176</v>
      </c>
      <c r="E45" s="75"/>
      <c r="F45" s="75"/>
      <c r="G45" s="88"/>
      <c r="H45" s="90"/>
      <c r="I45" s="87" t="s">
        <v>10</v>
      </c>
      <c r="J45" s="90"/>
      <c r="K45" s="34"/>
    </row>
    <row r="46" s="33" customFormat="1" ht="60" customHeight="1" spans="1:11">
      <c r="A46" s="78" t="s">
        <v>177</v>
      </c>
      <c r="B46" s="86" t="s">
        <v>178</v>
      </c>
      <c r="C46" s="86" t="s">
        <v>179</v>
      </c>
      <c r="D46" s="75" t="s">
        <v>180</v>
      </c>
      <c r="E46" s="75"/>
      <c r="F46" s="75"/>
      <c r="G46" s="88"/>
      <c r="H46" s="90"/>
      <c r="I46" s="87" t="s">
        <v>10</v>
      </c>
      <c r="J46" s="90"/>
      <c r="K46" s="34"/>
    </row>
    <row r="47" s="33" customFormat="1" ht="60" customHeight="1" spans="1:11">
      <c r="A47" s="74" t="s">
        <v>181</v>
      </c>
      <c r="B47" s="75" t="s">
        <v>182</v>
      </c>
      <c r="C47" s="75" t="s">
        <v>183</v>
      </c>
      <c r="D47" s="75" t="s">
        <v>184</v>
      </c>
      <c r="E47" s="75"/>
      <c r="F47" s="75"/>
      <c r="G47" s="75"/>
      <c r="H47" s="75"/>
      <c r="I47" s="87" t="s">
        <v>10</v>
      </c>
      <c r="J47" s="75"/>
      <c r="K47" s="34"/>
    </row>
    <row r="48" s="33" customFormat="1" ht="60" customHeight="1" spans="1:11">
      <c r="A48" s="78" t="s">
        <v>185</v>
      </c>
      <c r="B48" s="86" t="s">
        <v>186</v>
      </c>
      <c r="C48" s="86" t="s">
        <v>187</v>
      </c>
      <c r="D48" s="75" t="s">
        <v>188</v>
      </c>
      <c r="E48" s="75"/>
      <c r="F48" s="75"/>
      <c r="G48" s="86"/>
      <c r="H48" s="92"/>
      <c r="I48" s="87" t="s">
        <v>10</v>
      </c>
      <c r="J48" s="93"/>
      <c r="K48" s="34"/>
    </row>
    <row r="49" s="33" customFormat="1" ht="60" customHeight="1" spans="1:14">
      <c r="A49" s="78" t="s">
        <v>189</v>
      </c>
      <c r="B49" s="86" t="s">
        <v>190</v>
      </c>
      <c r="C49" s="86" t="s">
        <v>191</v>
      </c>
      <c r="D49" s="75" t="s">
        <v>192</v>
      </c>
      <c r="E49" s="75"/>
      <c r="F49" s="75"/>
      <c r="G49" s="86"/>
      <c r="H49" s="92"/>
      <c r="I49" s="94" t="s">
        <v>7</v>
      </c>
      <c r="J49" s="93"/>
      <c r="K49" s="34"/>
    </row>
    <row r="50" s="33" customFormat="1" ht="60" customHeight="1" spans="1:14">
      <c r="A50" s="78" t="s">
        <v>193</v>
      </c>
      <c r="B50" s="86" t="s">
        <v>194</v>
      </c>
      <c r="C50" s="86" t="s">
        <v>195</v>
      </c>
      <c r="D50" s="75" t="s">
        <v>196</v>
      </c>
      <c r="E50" s="75"/>
      <c r="F50" s="75"/>
      <c r="G50" s="86"/>
      <c r="H50" s="86"/>
      <c r="I50" s="94" t="s">
        <v>7</v>
      </c>
      <c r="J50" s="93"/>
      <c r="K50" s="34"/>
    </row>
    <row r="51" s="33" customFormat="1" ht="60" customHeight="1" spans="1:14">
      <c r="A51" s="78" t="s">
        <v>197</v>
      </c>
      <c r="B51" s="86" t="s">
        <v>198</v>
      </c>
      <c r="C51" s="86" t="s">
        <v>199</v>
      </c>
      <c r="D51" s="75" t="s">
        <v>200</v>
      </c>
      <c r="E51" s="75"/>
      <c r="F51" s="75"/>
      <c r="G51" s="88"/>
      <c r="H51" s="90"/>
      <c r="I51" s="87" t="s">
        <v>10</v>
      </c>
      <c r="J51" s="90"/>
      <c r="K51" s="34"/>
    </row>
    <row r="52" s="36" customFormat="1" ht="60" customHeight="1" spans="1:14">
      <c r="A52" s="78" t="s">
        <v>201</v>
      </c>
      <c r="B52" s="86" t="s">
        <v>202</v>
      </c>
      <c r="C52" s="86" t="s">
        <v>203</v>
      </c>
      <c r="D52" s="75" t="s">
        <v>204</v>
      </c>
      <c r="E52" s="75"/>
      <c r="F52" s="75"/>
      <c r="G52" s="86"/>
      <c r="H52" s="86"/>
      <c r="I52" s="94" t="s">
        <v>7</v>
      </c>
      <c r="J52" s="93"/>
      <c r="K52" s="95"/>
    </row>
    <row r="53" s="36" customFormat="1" ht="60" customHeight="1" spans="1:14">
      <c r="A53" s="78" t="s">
        <v>205</v>
      </c>
      <c r="B53" s="86" t="s">
        <v>206</v>
      </c>
      <c r="C53" s="86" t="s">
        <v>207</v>
      </c>
      <c r="D53" s="75" t="s">
        <v>208</v>
      </c>
      <c r="E53" s="75"/>
      <c r="F53" s="75"/>
      <c r="G53" s="86"/>
      <c r="H53" s="86"/>
      <c r="I53" s="96" t="s">
        <v>10</v>
      </c>
      <c r="J53" s="93"/>
      <c r="K53" s="95"/>
    </row>
    <row r="54" s="36" customFormat="1" ht="60" customHeight="1" spans="1:14">
      <c r="A54" s="78" t="s">
        <v>209</v>
      </c>
      <c r="B54" s="86" t="s">
        <v>210</v>
      </c>
      <c r="C54" s="86" t="s">
        <v>211</v>
      </c>
      <c r="D54" s="75" t="s">
        <v>212</v>
      </c>
      <c r="E54" s="75"/>
      <c r="F54" s="75"/>
      <c r="G54" s="86"/>
      <c r="H54" s="86"/>
      <c r="I54" s="94" t="s">
        <v>7</v>
      </c>
      <c r="J54" s="93"/>
      <c r="K54" s="97"/>
      <c r="L54" s="98"/>
      <c r="M54" s="98"/>
      <c r="N54" s="98"/>
    </row>
    <row r="55" s="36" customFormat="1" ht="60" customHeight="1" spans="1:14">
      <c r="A55" s="78" t="s">
        <v>213</v>
      </c>
      <c r="B55" s="86" t="s">
        <v>214</v>
      </c>
      <c r="C55" s="86" t="s">
        <v>215</v>
      </c>
      <c r="D55" s="75" t="s">
        <v>216</v>
      </c>
      <c r="E55" s="75"/>
      <c r="F55" s="75"/>
      <c r="G55" s="86"/>
      <c r="H55" s="86"/>
      <c r="I55" s="94" t="s">
        <v>7</v>
      </c>
      <c r="J55" s="93"/>
      <c r="K55" s="95"/>
    </row>
    <row r="56" s="33" customFormat="1" ht="60" customHeight="1" spans="1:14">
      <c r="A56" s="78" t="s">
        <v>217</v>
      </c>
      <c r="B56" s="86" t="s">
        <v>218</v>
      </c>
      <c r="C56" s="86" t="s">
        <v>219</v>
      </c>
      <c r="D56" s="75" t="s">
        <v>220</v>
      </c>
      <c r="E56" s="75"/>
      <c r="F56" s="75"/>
      <c r="G56" s="86"/>
      <c r="H56" s="86"/>
      <c r="I56" s="96" t="s">
        <v>10</v>
      </c>
      <c r="J56" s="93"/>
      <c r="K56" s="34"/>
    </row>
    <row r="57" s="33" customFormat="1" ht="60" customHeight="1" spans="1:14">
      <c r="A57" s="78" t="s">
        <v>221</v>
      </c>
      <c r="B57" s="86" t="s">
        <v>222</v>
      </c>
      <c r="C57" s="86" t="s">
        <v>223</v>
      </c>
      <c r="D57" s="75" t="s">
        <v>224</v>
      </c>
      <c r="E57" s="75"/>
      <c r="F57" s="75"/>
      <c r="G57" s="86"/>
      <c r="H57" s="86"/>
      <c r="I57" s="96" t="s">
        <v>10</v>
      </c>
      <c r="J57" s="93"/>
      <c r="K57" s="34"/>
    </row>
    <row r="58" s="36" customFormat="1" ht="60" customHeight="1" spans="1:14">
      <c r="A58" s="78" t="s">
        <v>225</v>
      </c>
      <c r="B58" s="86" t="s">
        <v>226</v>
      </c>
      <c r="C58" s="86" t="s">
        <v>227</v>
      </c>
      <c r="D58" s="75" t="s">
        <v>228</v>
      </c>
      <c r="E58" s="75"/>
      <c r="F58" s="75"/>
      <c r="G58" s="86"/>
      <c r="H58" s="86"/>
      <c r="I58" s="94" t="s">
        <v>7</v>
      </c>
      <c r="J58" s="93"/>
      <c r="K58" s="95"/>
    </row>
    <row r="59" s="36" customFormat="1" ht="24" customHeight="1" spans="1:14">
      <c r="A59" s="83" t="s">
        <v>229</v>
      </c>
      <c r="B59" s="73"/>
      <c r="C59" s="73"/>
      <c r="D59" s="73"/>
      <c r="E59" s="73"/>
      <c r="F59" s="73"/>
      <c r="G59" s="73"/>
      <c r="H59" s="73"/>
      <c r="I59" s="73"/>
      <c r="J59" s="73"/>
      <c r="K59" s="95"/>
    </row>
    <row r="60" s="36" customFormat="1" ht="60" customHeight="1" spans="1:14">
      <c r="A60" s="78" t="s">
        <v>230</v>
      </c>
      <c r="B60" s="86" t="s">
        <v>231</v>
      </c>
      <c r="C60" s="86" t="s">
        <v>232</v>
      </c>
      <c r="D60" s="75" t="s">
        <v>233</v>
      </c>
      <c r="E60" s="75"/>
      <c r="F60" s="75"/>
      <c r="G60" s="86"/>
      <c r="H60" s="86"/>
      <c r="I60" s="86" t="s">
        <v>7</v>
      </c>
      <c r="J60" s="93"/>
      <c r="K60" s="95"/>
    </row>
    <row r="61" s="36" customFormat="1" ht="60" customHeight="1" spans="1:14">
      <c r="A61" s="78" t="s">
        <v>234</v>
      </c>
      <c r="B61" s="86" t="s">
        <v>235</v>
      </c>
      <c r="C61" s="86" t="s">
        <v>236</v>
      </c>
      <c r="D61" s="75" t="s">
        <v>237</v>
      </c>
      <c r="E61" s="75"/>
      <c r="F61" s="75"/>
      <c r="G61" s="86"/>
      <c r="H61" s="86"/>
      <c r="I61" s="86" t="s">
        <v>7</v>
      </c>
      <c r="J61" s="93"/>
      <c r="K61" s="95"/>
    </row>
    <row r="62" s="36" customFormat="1" ht="60" customHeight="1" spans="1:14">
      <c r="A62" s="78" t="s">
        <v>238</v>
      </c>
      <c r="B62" s="86" t="s">
        <v>239</v>
      </c>
      <c r="C62" s="86" t="s">
        <v>240</v>
      </c>
      <c r="D62" s="75" t="s">
        <v>241</v>
      </c>
      <c r="E62" s="75"/>
      <c r="F62" s="75"/>
      <c r="G62" s="86"/>
      <c r="H62" s="86"/>
      <c r="I62" s="86" t="s">
        <v>7</v>
      </c>
      <c r="J62" s="93"/>
      <c r="K62" s="95"/>
    </row>
    <row r="63" s="36" customFormat="1" ht="60" customHeight="1" spans="1:14">
      <c r="A63" s="78" t="s">
        <v>242</v>
      </c>
      <c r="B63" s="86" t="s">
        <v>243</v>
      </c>
      <c r="C63" s="86" t="s">
        <v>244</v>
      </c>
      <c r="D63" s="75" t="s">
        <v>245</v>
      </c>
      <c r="E63" s="75"/>
      <c r="F63" s="75"/>
      <c r="G63" s="86"/>
      <c r="H63" s="86"/>
      <c r="I63" s="86" t="s">
        <v>7</v>
      </c>
      <c r="J63" s="86"/>
      <c r="K63" s="95"/>
    </row>
    <row r="64" s="36" customFormat="1" ht="60" customHeight="1" spans="1:14">
      <c r="A64" s="78" t="s">
        <v>246</v>
      </c>
      <c r="B64" s="86" t="s">
        <v>247</v>
      </c>
      <c r="C64" s="86" t="s">
        <v>248</v>
      </c>
      <c r="D64" s="75" t="s">
        <v>249</v>
      </c>
      <c r="E64" s="75"/>
      <c r="F64" s="75"/>
      <c r="G64" s="86"/>
      <c r="H64" s="86"/>
      <c r="I64" s="86" t="s">
        <v>7</v>
      </c>
      <c r="J64" s="93"/>
      <c r="K64" s="95"/>
    </row>
    <row r="65" s="33" customFormat="1" ht="60" customHeight="1" spans="1:11">
      <c r="A65" s="78" t="s">
        <v>250</v>
      </c>
      <c r="B65" s="86" t="s">
        <v>251</v>
      </c>
      <c r="C65" s="86" t="s">
        <v>252</v>
      </c>
      <c r="D65" s="75" t="s">
        <v>253</v>
      </c>
      <c r="E65" s="75"/>
      <c r="F65" s="75"/>
      <c r="G65" s="86"/>
      <c r="H65" s="86"/>
      <c r="I65" s="86" t="s">
        <v>10</v>
      </c>
      <c r="J65" s="93"/>
      <c r="K65" s="34"/>
    </row>
    <row r="66" s="36" customFormat="1" ht="60" customHeight="1" spans="1:11">
      <c r="A66" s="78" t="s">
        <v>254</v>
      </c>
      <c r="B66" s="86" t="s">
        <v>255</v>
      </c>
      <c r="C66" s="86" t="s">
        <v>256</v>
      </c>
      <c r="D66" s="75" t="s">
        <v>257</v>
      </c>
      <c r="E66" s="75"/>
      <c r="F66" s="75"/>
      <c r="G66" s="86"/>
      <c r="H66" s="86"/>
      <c r="I66" s="86" t="s">
        <v>10</v>
      </c>
      <c r="J66" s="93"/>
      <c r="K66" s="95"/>
    </row>
    <row r="67" s="33" customFormat="1" ht="60" customHeight="1" spans="1:11">
      <c r="A67" s="78" t="s">
        <v>258</v>
      </c>
      <c r="B67" s="86" t="s">
        <v>259</v>
      </c>
      <c r="C67" s="86" t="s">
        <v>260</v>
      </c>
      <c r="D67" s="75" t="s">
        <v>261</v>
      </c>
      <c r="E67" s="75"/>
      <c r="F67" s="75"/>
      <c r="G67" s="86"/>
      <c r="H67" s="86"/>
      <c r="I67" s="86" t="s">
        <v>10</v>
      </c>
      <c r="J67" s="93"/>
      <c r="K67" s="34"/>
    </row>
    <row r="68" s="36" customFormat="1" ht="60" customHeight="1" spans="1:11">
      <c r="A68" s="78" t="s">
        <v>262</v>
      </c>
      <c r="B68" s="86" t="s">
        <v>263</v>
      </c>
      <c r="C68" s="86" t="s">
        <v>264</v>
      </c>
      <c r="D68" s="75" t="s">
        <v>265</v>
      </c>
      <c r="E68" s="75"/>
      <c r="F68" s="75"/>
      <c r="G68" s="86"/>
      <c r="H68" s="86"/>
      <c r="I68" s="86" t="s">
        <v>10</v>
      </c>
      <c r="J68" s="93"/>
      <c r="K68" s="95"/>
    </row>
    <row r="69" s="36" customFormat="1" ht="60" customHeight="1" spans="1:11">
      <c r="A69" s="78" t="s">
        <v>266</v>
      </c>
      <c r="B69" s="86" t="s">
        <v>267</v>
      </c>
      <c r="C69" s="86" t="s">
        <v>268</v>
      </c>
      <c r="D69" s="75" t="s">
        <v>269</v>
      </c>
      <c r="E69" s="75"/>
      <c r="F69" s="75"/>
      <c r="G69" s="86"/>
      <c r="H69" s="86"/>
      <c r="I69" s="86" t="s">
        <v>7</v>
      </c>
      <c r="J69" s="93"/>
      <c r="K69" s="95"/>
    </row>
    <row r="70" s="36" customFormat="1" ht="24" customHeight="1" spans="1:11">
      <c r="A70" s="83" t="s">
        <v>270</v>
      </c>
      <c r="B70" s="73"/>
      <c r="C70" s="73"/>
      <c r="D70" s="73"/>
      <c r="E70" s="73"/>
      <c r="F70" s="73"/>
      <c r="G70" s="73"/>
      <c r="H70" s="73"/>
      <c r="I70" s="73"/>
      <c r="J70" s="73"/>
      <c r="K70" s="95"/>
    </row>
    <row r="71" s="33" customFormat="1" ht="60" customHeight="1" spans="1:11">
      <c r="A71" s="74" t="s">
        <v>271</v>
      </c>
      <c r="B71" s="75" t="s">
        <v>272</v>
      </c>
      <c r="C71" s="75" t="s">
        <v>273</v>
      </c>
      <c r="D71" s="75" t="s">
        <v>274</v>
      </c>
      <c r="E71" s="75"/>
      <c r="F71" s="75"/>
      <c r="G71" s="86"/>
      <c r="H71" s="86"/>
      <c r="I71" s="86" t="s">
        <v>10</v>
      </c>
      <c r="J71" s="93"/>
      <c r="K71" s="34"/>
    </row>
    <row r="72" s="36" customFormat="1" ht="60" customHeight="1" spans="1:11">
      <c r="A72" s="74" t="s">
        <v>275</v>
      </c>
      <c r="B72" s="75" t="s">
        <v>276</v>
      </c>
      <c r="C72" s="75" t="s">
        <v>277</v>
      </c>
      <c r="D72" s="75" t="s">
        <v>278</v>
      </c>
      <c r="E72" s="75"/>
      <c r="F72" s="75"/>
      <c r="G72" s="86"/>
      <c r="H72" s="86"/>
      <c r="I72" s="86" t="s">
        <v>10</v>
      </c>
      <c r="J72" s="93"/>
      <c r="K72" s="95"/>
    </row>
    <row r="73" s="36" customFormat="1" ht="60" customHeight="1" spans="1:11">
      <c r="A73" s="74" t="s">
        <v>279</v>
      </c>
      <c r="B73" s="75" t="s">
        <v>280</v>
      </c>
      <c r="C73" s="75" t="s">
        <v>281</v>
      </c>
      <c r="D73" s="75" t="s">
        <v>282</v>
      </c>
      <c r="E73" s="75"/>
      <c r="F73" s="75"/>
      <c r="G73" s="86"/>
      <c r="H73" s="86"/>
      <c r="I73" s="86" t="s">
        <v>7</v>
      </c>
      <c r="J73" s="93"/>
      <c r="K73" s="95"/>
    </row>
    <row r="74" s="36" customFormat="1" ht="60" customHeight="1" spans="1:11">
      <c r="A74" s="74" t="s">
        <v>283</v>
      </c>
      <c r="B74" s="75" t="s">
        <v>284</v>
      </c>
      <c r="C74" s="75" t="s">
        <v>285</v>
      </c>
      <c r="D74" s="75" t="s">
        <v>286</v>
      </c>
      <c r="E74" s="75"/>
      <c r="F74" s="75"/>
      <c r="G74" s="86"/>
      <c r="H74" s="86"/>
      <c r="I74" s="86" t="s">
        <v>7</v>
      </c>
      <c r="J74" s="93"/>
      <c r="K74" s="95"/>
    </row>
    <row r="75" s="33" customFormat="1" ht="60" customHeight="1" spans="1:11">
      <c r="A75" s="74" t="s">
        <v>287</v>
      </c>
      <c r="B75" s="75" t="s">
        <v>288</v>
      </c>
      <c r="C75" s="75" t="s">
        <v>289</v>
      </c>
      <c r="D75" s="75" t="s">
        <v>290</v>
      </c>
      <c r="E75" s="75"/>
      <c r="F75" s="75"/>
      <c r="G75" s="74"/>
      <c r="H75" s="74"/>
      <c r="I75" s="86" t="s">
        <v>10</v>
      </c>
      <c r="J75" s="93"/>
      <c r="K75" s="34"/>
    </row>
    <row r="76" s="33" customFormat="1" ht="60" customHeight="1" spans="1:11">
      <c r="A76" s="74" t="s">
        <v>291</v>
      </c>
      <c r="B76" s="75" t="s">
        <v>292</v>
      </c>
      <c r="C76" s="75" t="s">
        <v>293</v>
      </c>
      <c r="D76" s="75" t="s">
        <v>294</v>
      </c>
      <c r="E76" s="75"/>
      <c r="F76" s="75"/>
      <c r="G76" s="75"/>
      <c r="H76" s="75"/>
      <c r="I76" s="75" t="s">
        <v>10</v>
      </c>
      <c r="J76" s="75"/>
      <c r="K76" s="34"/>
    </row>
    <row r="77" s="36" customFormat="1" ht="60" customHeight="1" spans="1:11">
      <c r="A77" s="74" t="s">
        <v>295</v>
      </c>
      <c r="B77" s="75" t="s">
        <v>296</v>
      </c>
      <c r="C77" s="75" t="s">
        <v>297</v>
      </c>
      <c r="D77" s="75" t="s">
        <v>298</v>
      </c>
      <c r="E77" s="75"/>
      <c r="F77" s="75"/>
      <c r="G77" s="75"/>
      <c r="H77" s="75"/>
      <c r="I77" s="75" t="s">
        <v>10</v>
      </c>
      <c r="J77" s="75"/>
      <c r="K77" s="95"/>
    </row>
    <row r="78" s="36" customFormat="1" ht="60" customHeight="1" spans="1:11">
      <c r="A78" s="74" t="s">
        <v>299</v>
      </c>
      <c r="B78" s="75" t="s">
        <v>300</v>
      </c>
      <c r="C78" s="75" t="s">
        <v>301</v>
      </c>
      <c r="D78" s="75" t="s">
        <v>302</v>
      </c>
      <c r="E78" s="75"/>
      <c r="F78" s="75"/>
      <c r="G78" s="75"/>
      <c r="H78" s="75"/>
      <c r="I78" s="75" t="s">
        <v>7</v>
      </c>
      <c r="J78" s="75"/>
      <c r="K78" s="95"/>
    </row>
    <row r="79" s="33" customFormat="1" ht="24" customHeight="1" spans="1:11">
      <c r="A79" s="73" t="s">
        <v>303</v>
      </c>
      <c r="B79" s="73"/>
      <c r="C79" s="73"/>
      <c r="D79" s="73"/>
      <c r="E79" s="73"/>
      <c r="F79" s="73"/>
      <c r="G79" s="73"/>
      <c r="H79" s="73"/>
      <c r="I79" s="73"/>
      <c r="J79" s="73"/>
      <c r="K79" s="34"/>
    </row>
    <row r="80" s="36" customFormat="1" ht="60" customHeight="1" spans="1:11">
      <c r="A80" s="74" t="s">
        <v>304</v>
      </c>
      <c r="B80" s="75" t="s">
        <v>305</v>
      </c>
      <c r="C80" s="75" t="s">
        <v>306</v>
      </c>
      <c r="D80" s="75" t="s">
        <v>307</v>
      </c>
      <c r="E80" s="75"/>
      <c r="F80" s="75"/>
      <c r="G80" s="75"/>
      <c r="H80" s="75"/>
      <c r="I80" s="75" t="s">
        <v>7</v>
      </c>
      <c r="J80" s="75"/>
      <c r="K80" s="95"/>
    </row>
    <row r="81" s="36" customFormat="1" ht="87.75" customHeight="1" spans="1:11">
      <c r="A81" s="74" t="s">
        <v>308</v>
      </c>
      <c r="B81" s="75" t="s">
        <v>309</v>
      </c>
      <c r="C81" s="75" t="s">
        <v>310</v>
      </c>
      <c r="D81" s="75" t="s">
        <v>311</v>
      </c>
      <c r="E81" s="75"/>
      <c r="F81" s="75"/>
      <c r="G81" s="75"/>
      <c r="H81" s="75"/>
      <c r="I81" s="75" t="s">
        <v>7</v>
      </c>
      <c r="J81" s="75"/>
      <c r="K81" s="95"/>
    </row>
    <row r="82" s="33" customFormat="1" ht="60" customHeight="1" spans="1:11">
      <c r="A82" s="74" t="s">
        <v>312</v>
      </c>
      <c r="B82" s="75" t="s">
        <v>313</v>
      </c>
      <c r="C82" s="75" t="s">
        <v>314</v>
      </c>
      <c r="D82" s="75" t="s">
        <v>315</v>
      </c>
      <c r="E82" s="75"/>
      <c r="F82" s="75"/>
      <c r="G82" s="75"/>
      <c r="H82" s="75"/>
      <c r="I82" s="75" t="s">
        <v>10</v>
      </c>
      <c r="J82" s="75"/>
      <c r="K82" s="34"/>
    </row>
    <row r="83" s="36" customFormat="1" ht="24" customHeight="1" spans="1:11">
      <c r="A83" s="73" t="s">
        <v>316</v>
      </c>
      <c r="B83" s="73"/>
      <c r="C83" s="73"/>
      <c r="D83" s="73"/>
      <c r="E83" s="73"/>
      <c r="F83" s="73"/>
      <c r="G83" s="73"/>
      <c r="H83" s="73"/>
      <c r="I83" s="73"/>
      <c r="J83" s="73"/>
      <c r="K83" s="95"/>
    </row>
    <row r="84" s="36" customFormat="1" ht="65" customHeight="1" spans="1:11">
      <c r="A84" s="74" t="s">
        <v>317</v>
      </c>
      <c r="B84" s="75" t="s">
        <v>318</v>
      </c>
      <c r="C84" s="75" t="s">
        <v>319</v>
      </c>
      <c r="D84" s="75" t="s">
        <v>320</v>
      </c>
      <c r="E84" s="75"/>
      <c r="F84" s="75"/>
      <c r="G84" s="75"/>
      <c r="H84" s="75"/>
      <c r="I84" s="75" t="s">
        <v>10</v>
      </c>
      <c r="J84" s="75"/>
      <c r="K84" s="95"/>
    </row>
    <row r="85" s="33" customFormat="1" ht="60" customHeight="1" spans="1:11">
      <c r="A85" s="74" t="s">
        <v>321</v>
      </c>
      <c r="B85" s="75" t="s">
        <v>322</v>
      </c>
      <c r="C85" s="75" t="s">
        <v>323</v>
      </c>
      <c r="D85" s="75" t="s">
        <v>324</v>
      </c>
      <c r="E85" s="75"/>
      <c r="F85" s="75"/>
      <c r="G85" s="75"/>
      <c r="H85" s="75"/>
      <c r="I85" s="75" t="s">
        <v>10</v>
      </c>
      <c r="J85" s="75"/>
      <c r="K85" s="34"/>
    </row>
    <row r="86" s="36" customFormat="1" ht="60" customHeight="1" spans="1:11">
      <c r="A86" s="99" t="s">
        <v>325</v>
      </c>
      <c r="B86" s="75" t="s">
        <v>326</v>
      </c>
      <c r="C86" s="75" t="s">
        <v>327</v>
      </c>
      <c r="D86" s="100" t="s">
        <v>328</v>
      </c>
      <c r="E86" s="100"/>
      <c r="F86" s="100"/>
      <c r="G86" s="75"/>
      <c r="H86" s="75"/>
      <c r="I86" s="75" t="s">
        <v>10</v>
      </c>
      <c r="J86" s="75"/>
      <c r="K86" s="95"/>
    </row>
    <row r="87" s="36" customFormat="1" ht="25" customHeight="1" spans="1:11">
      <c r="A87" s="101" t="s">
        <v>329</v>
      </c>
      <c r="B87" s="101"/>
      <c r="C87" s="101"/>
      <c r="D87" s="101"/>
      <c r="E87" s="101"/>
      <c r="F87" s="101"/>
      <c r="G87" s="101"/>
      <c r="H87" s="101"/>
      <c r="I87" s="101"/>
      <c r="J87" s="102"/>
      <c r="K87" s="95"/>
    </row>
    <row r="88" s="36" customFormat="1" ht="85" customHeight="1" spans="1:11">
      <c r="A88" s="99" t="s">
        <v>330</v>
      </c>
      <c r="B88" s="103" t="s">
        <v>331</v>
      </c>
      <c r="C88" s="103" t="s">
        <v>332</v>
      </c>
      <c r="D88" s="103" t="s">
        <v>333</v>
      </c>
      <c r="E88" s="103"/>
      <c r="F88" s="103"/>
      <c r="G88" s="103"/>
      <c r="H88" s="104">
        <f ca="1">TODAY()</f>
        <v>46175</v>
      </c>
      <c r="I88" s="77" t="s">
        <v>7</v>
      </c>
      <c r="J88" s="103"/>
      <c r="K88" s="95"/>
    </row>
    <row r="89" s="36" customFormat="1" ht="41" customHeight="1" spans="1:11">
      <c r="A89" s="99" t="s">
        <v>334</v>
      </c>
      <c r="B89" s="103" t="s">
        <v>335</v>
      </c>
      <c r="C89" s="103" t="s">
        <v>336</v>
      </c>
      <c r="D89" s="103" t="s">
        <v>337</v>
      </c>
      <c r="E89" s="103"/>
      <c r="F89" s="103"/>
      <c r="G89" s="103"/>
      <c r="H89" s="104">
        <f ca="1" t="shared" ref="H89:H98" si="2">TODAY()</f>
        <v>46175</v>
      </c>
      <c r="I89" s="77" t="s">
        <v>7</v>
      </c>
      <c r="J89" s="103"/>
      <c r="K89" s="95"/>
    </row>
    <row r="90" ht="53" customHeight="1" spans="1:11">
      <c r="A90" s="99" t="s">
        <v>338</v>
      </c>
      <c r="B90" s="103" t="s">
        <v>339</v>
      </c>
      <c r="C90" s="103" t="s">
        <v>340</v>
      </c>
      <c r="D90" s="103" t="s">
        <v>341</v>
      </c>
      <c r="E90" s="103"/>
      <c r="F90" s="103"/>
      <c r="G90" s="103"/>
      <c r="H90" s="104">
        <f ca="1" t="shared" si="2"/>
        <v>46175</v>
      </c>
      <c r="I90" s="77" t="s">
        <v>7</v>
      </c>
      <c r="J90" s="103"/>
      <c r="K90" s="37"/>
    </row>
    <row r="91" ht="54" customHeight="1" spans="1:11">
      <c r="A91" s="99" t="s">
        <v>342</v>
      </c>
      <c r="B91" s="103" t="s">
        <v>343</v>
      </c>
      <c r="C91" s="103" t="s">
        <v>344</v>
      </c>
      <c r="D91" s="103" t="s">
        <v>345</v>
      </c>
      <c r="E91" s="103"/>
      <c r="F91" s="103"/>
      <c r="G91" s="103"/>
      <c r="H91" s="104">
        <f ca="1" t="shared" si="2"/>
        <v>46175</v>
      </c>
      <c r="I91" s="77" t="s">
        <v>7</v>
      </c>
      <c r="J91" s="103"/>
      <c r="K91" s="37"/>
    </row>
    <row r="92" ht="55" customHeight="1" spans="1:11">
      <c r="A92" s="99" t="s">
        <v>346</v>
      </c>
      <c r="B92" s="103" t="s">
        <v>347</v>
      </c>
      <c r="C92" s="103" t="s">
        <v>348</v>
      </c>
      <c r="D92" s="103" t="s">
        <v>349</v>
      </c>
      <c r="E92" s="103"/>
      <c r="F92" s="103"/>
      <c r="G92" s="103"/>
      <c r="H92" s="104">
        <f ca="1" t="shared" si="2"/>
        <v>46175</v>
      </c>
      <c r="I92" s="77" t="s">
        <v>7</v>
      </c>
      <c r="J92" s="103"/>
      <c r="K92" s="37"/>
    </row>
    <row r="93" ht="49" customHeight="1" spans="1:11">
      <c r="A93" s="99" t="s">
        <v>350</v>
      </c>
      <c r="B93" s="103" t="s">
        <v>351</v>
      </c>
      <c r="C93" s="103" t="s">
        <v>352</v>
      </c>
      <c r="D93" s="103" t="s">
        <v>353</v>
      </c>
      <c r="E93" s="103"/>
      <c r="F93" s="103"/>
      <c r="G93" s="103"/>
      <c r="H93" s="104">
        <f ca="1" t="shared" si="2"/>
        <v>46175</v>
      </c>
      <c r="I93" s="77" t="s">
        <v>7</v>
      </c>
      <c r="J93" s="103"/>
      <c r="K93" s="37"/>
    </row>
    <row r="94" ht="47" customHeight="1" spans="1:11">
      <c r="A94" s="99" t="s">
        <v>354</v>
      </c>
      <c r="B94" s="103" t="s">
        <v>355</v>
      </c>
      <c r="C94" s="103" t="s">
        <v>356</v>
      </c>
      <c r="D94" s="103" t="s">
        <v>357</v>
      </c>
      <c r="E94" s="103"/>
      <c r="F94" s="103"/>
      <c r="G94" s="103"/>
      <c r="H94" s="104">
        <f ca="1" t="shared" si="2"/>
        <v>46175</v>
      </c>
      <c r="I94" s="77" t="s">
        <v>7</v>
      </c>
      <c r="J94" s="103"/>
      <c r="K94" s="37"/>
    </row>
    <row r="95" ht="47" customHeight="1" spans="1:11">
      <c r="A95" s="99" t="s">
        <v>358</v>
      </c>
      <c r="B95" s="103" t="s">
        <v>359</v>
      </c>
      <c r="C95" s="103" t="s">
        <v>360</v>
      </c>
      <c r="D95" s="103" t="s">
        <v>361</v>
      </c>
      <c r="E95" s="103"/>
      <c r="F95" s="103"/>
      <c r="G95" s="103"/>
      <c r="H95" s="104">
        <f ca="1" t="shared" si="2"/>
        <v>46175</v>
      </c>
      <c r="I95" s="77" t="s">
        <v>7</v>
      </c>
      <c r="J95" s="103"/>
      <c r="K95" s="37"/>
    </row>
    <row r="96" ht="53" customHeight="1" spans="1:11">
      <c r="A96" s="99" t="s">
        <v>362</v>
      </c>
      <c r="B96" s="103" t="s">
        <v>363</v>
      </c>
      <c r="C96" s="103" t="s">
        <v>364</v>
      </c>
      <c r="D96" s="103" t="s">
        <v>365</v>
      </c>
      <c r="E96" s="103"/>
      <c r="F96" s="103"/>
      <c r="G96" s="103"/>
      <c r="H96" s="104">
        <f ca="1" t="shared" si="2"/>
        <v>46175</v>
      </c>
      <c r="I96" s="77" t="s">
        <v>7</v>
      </c>
      <c r="J96" s="103"/>
      <c r="K96" s="37"/>
    </row>
    <row r="97" ht="58" customHeight="1" spans="1:11">
      <c r="A97" s="99" t="s">
        <v>366</v>
      </c>
      <c r="B97" s="103" t="s">
        <v>367</v>
      </c>
      <c r="C97" s="103" t="s">
        <v>368</v>
      </c>
      <c r="D97" s="103" t="s">
        <v>369</v>
      </c>
      <c r="E97" s="103"/>
      <c r="F97" s="103"/>
      <c r="G97" s="103"/>
      <c r="H97" s="104">
        <f ca="1" t="shared" si="2"/>
        <v>46175</v>
      </c>
      <c r="I97" s="77" t="s">
        <v>7</v>
      </c>
      <c r="J97" s="103"/>
      <c r="K97" s="37"/>
    </row>
    <row r="98" ht="70" customHeight="1" spans="1:11">
      <c r="A98" s="99" t="s">
        <v>370</v>
      </c>
      <c r="B98" s="103" t="s">
        <v>371</v>
      </c>
      <c r="C98" s="103" t="s">
        <v>372</v>
      </c>
      <c r="D98" s="103" t="s">
        <v>373</v>
      </c>
      <c r="E98" s="103"/>
      <c r="F98" s="103"/>
      <c r="G98" s="103"/>
      <c r="H98" s="104">
        <f ca="1" t="shared" si="2"/>
        <v>46175</v>
      </c>
      <c r="I98" s="77" t="s">
        <v>7</v>
      </c>
      <c r="J98" s="103"/>
      <c r="K98" s="37"/>
    </row>
    <row r="99" ht="12" customHeight="1" spans="1:11">
      <c r="I99" s="32"/>
      <c r="J99" s="67"/>
    </row>
    <row r="100" ht="12" customHeight="1" spans="1:11">
      <c r="I100" s="32"/>
      <c r="J100" s="67"/>
    </row>
    <row r="101" ht="12" customHeight="1" spans="1:11">
      <c r="I101" s="32"/>
      <c r="J101" s="67"/>
    </row>
    <row r="102" ht="12" customHeight="1" spans="1:11">
      <c r="I102" s="32"/>
      <c r="J102" s="67"/>
    </row>
    <row r="103" ht="12" customHeight="1" spans="1:11">
      <c r="I103" s="32"/>
      <c r="J103" s="67"/>
    </row>
    <row r="104" ht="12" customHeight="1" spans="1:11">
      <c r="I104" s="32"/>
      <c r="J104" s="67"/>
    </row>
    <row r="105" ht="12" customHeight="1" spans="1:11">
      <c r="I105" s="32"/>
      <c r="J105" s="67"/>
    </row>
    <row r="106" ht="12" customHeight="1" spans="1:11">
      <c r="I106" s="32"/>
      <c r="J106" s="67"/>
    </row>
    <row r="107" ht="12" customHeight="1" spans="1:11">
      <c r="I107" s="32"/>
      <c r="J107" s="67"/>
    </row>
    <row r="108" ht="12" customHeight="1" spans="1:11">
      <c r="I108" s="32"/>
      <c r="J108" s="67"/>
    </row>
    <row r="109" ht="12" customHeight="1" spans="1:11">
      <c r="I109" s="32"/>
      <c r="J109" s="67"/>
    </row>
    <row r="110" ht="12" customHeight="1" spans="1:11">
      <c r="I110" s="32"/>
      <c r="J110" s="67"/>
    </row>
    <row r="111" ht="12" customHeight="1" spans="1:11">
      <c r="I111" s="32"/>
      <c r="J111" s="67"/>
    </row>
    <row r="112" ht="12" customHeight="1" spans="1:11">
      <c r="I112" s="32"/>
      <c r="J112" s="67"/>
    </row>
    <row r="113" ht="12" customHeight="1" spans="9:10">
      <c r="I113" s="32"/>
      <c r="J113" s="67"/>
    </row>
    <row r="114" ht="12" customHeight="1" spans="9:10">
      <c r="I114" s="32"/>
      <c r="J114" s="67"/>
    </row>
    <row r="115" ht="12" customHeight="1" spans="9:10">
      <c r="I115" s="32"/>
      <c r="J115" s="67"/>
    </row>
    <row r="116" ht="12" customHeight="1" spans="9:10">
      <c r="I116" s="32"/>
      <c r="J116" s="67"/>
    </row>
    <row r="117" ht="12" customHeight="1" spans="9:10">
      <c r="I117" s="32"/>
      <c r="J117" s="67"/>
    </row>
    <row r="118" ht="12" customHeight="1" spans="9:10">
      <c r="I118" s="32"/>
      <c r="J118" s="67"/>
    </row>
    <row r="119" ht="12" customHeight="1" spans="9:10">
      <c r="I119" s="32"/>
      <c r="J119" s="67"/>
    </row>
    <row r="120" ht="12" customHeight="1" spans="9:10">
      <c r="I120" s="32"/>
      <c r="J120" s="67"/>
    </row>
    <row r="121" ht="12" customHeight="1" spans="9:10">
      <c r="I121" s="32"/>
      <c r="J121" s="67"/>
    </row>
    <row r="122" ht="12" customHeight="1" spans="9:10">
      <c r="I122" s="32"/>
      <c r="J122" s="67"/>
    </row>
    <row r="123" ht="12" customHeight="1" spans="9:10">
      <c r="I123" s="32"/>
      <c r="J123" s="67"/>
    </row>
    <row r="124" ht="12" customHeight="1" spans="9:10">
      <c r="I124" s="32"/>
      <c r="J124" s="67"/>
    </row>
    <row r="125" ht="12" customHeight="1" spans="9:10">
      <c r="I125" s="32"/>
      <c r="J125" s="67"/>
    </row>
    <row r="126" ht="12" customHeight="1" spans="9:10">
      <c r="I126" s="32"/>
      <c r="J126" s="67"/>
    </row>
    <row r="127" ht="12" customHeight="1" spans="9:10">
      <c r="I127" s="32"/>
      <c r="J127" s="67"/>
    </row>
    <row r="128" spans="9:10">
      <c r="I128" s="32"/>
      <c r="J128" s="67"/>
    </row>
    <row r="129" spans="9:10">
      <c r="I129" s="32"/>
      <c r="J129" s="67"/>
    </row>
    <row r="130" spans="9:10">
      <c r="I130" s="32"/>
      <c r="J130" s="67"/>
    </row>
    <row r="131" spans="9:10">
      <c r="I131" s="32"/>
      <c r="J131" s="67"/>
    </row>
    <row r="132" spans="9:10">
      <c r="I132" s="32"/>
      <c r="J132" s="67"/>
    </row>
    <row r="133" spans="9:10">
      <c r="I133" s="32"/>
      <c r="J133" s="67"/>
    </row>
    <row r="134" spans="9:10">
      <c r="I134" s="32"/>
      <c r="J134" s="67"/>
    </row>
    <row r="135" spans="9:10">
      <c r="I135" s="32"/>
      <c r="J135" s="67"/>
    </row>
    <row r="136" spans="9:10">
      <c r="I136" s="32"/>
      <c r="J136" s="67"/>
    </row>
    <row r="137" spans="9:10">
      <c r="I137" s="32"/>
      <c r="J137" s="67"/>
    </row>
    <row r="138" spans="9:10">
      <c r="I138" s="32"/>
      <c r="J138" s="67"/>
    </row>
    <row r="139" spans="9:10">
      <c r="I139" s="32"/>
      <c r="J139" s="67"/>
    </row>
    <row r="140" spans="9:10">
      <c r="I140" s="32"/>
      <c r="J140" s="67"/>
    </row>
    <row r="141" spans="9:10">
      <c r="I141" s="32"/>
      <c r="J141" s="67"/>
    </row>
    <row r="142" spans="9:10">
      <c r="I142" s="32"/>
      <c r="J142" s="67"/>
    </row>
    <row r="143" spans="9:10">
      <c r="I143" s="32"/>
      <c r="J143" s="67"/>
    </row>
    <row r="144" spans="9:10">
      <c r="I144" s="32"/>
      <c r="J144" s="67"/>
    </row>
    <row r="145" spans="9:10">
      <c r="I145" s="32"/>
      <c r="J145" s="67"/>
    </row>
    <row r="146" spans="9:10">
      <c r="I146" s="32"/>
      <c r="J146" s="67"/>
    </row>
    <row r="147" spans="9:10">
      <c r="I147" s="32"/>
      <c r="J147" s="67"/>
    </row>
    <row r="148" spans="9:10">
      <c r="I148" s="32"/>
      <c r="J148" s="67"/>
    </row>
    <row r="149" spans="9:10">
      <c r="I149" s="32"/>
      <c r="J149" s="67"/>
    </row>
    <row r="150" spans="9:10">
      <c r="I150" s="32"/>
      <c r="J150" s="67"/>
    </row>
    <row r="151" spans="9:10">
      <c r="I151" s="32"/>
      <c r="J151" s="67"/>
    </row>
    <row r="152" spans="9:10">
      <c r="I152" s="32"/>
      <c r="J152" s="67"/>
    </row>
    <row r="153" spans="9:10">
      <c r="I153" s="32"/>
      <c r="J153" s="67"/>
    </row>
    <row r="154" spans="9:10">
      <c r="I154" s="32"/>
      <c r="J154" s="67"/>
    </row>
    <row r="155" spans="9:10">
      <c r="I155" s="32"/>
      <c r="J155" s="67"/>
    </row>
    <row r="156" spans="9:10">
      <c r="I156" s="32"/>
      <c r="J156" s="67"/>
    </row>
    <row r="157" spans="9:10">
      <c r="I157" s="32"/>
      <c r="J157" s="67"/>
    </row>
    <row r="158" spans="9:10">
      <c r="I158" s="32"/>
      <c r="J158" s="67"/>
    </row>
    <row r="159" spans="9:10">
      <c r="I159" s="32"/>
      <c r="J159" s="67"/>
    </row>
    <row r="160" spans="9:10">
      <c r="I160" s="32"/>
      <c r="J160" s="67"/>
    </row>
    <row r="161" spans="9:10">
      <c r="I161" s="67"/>
      <c r="J161" s="67"/>
    </row>
    <row r="162" spans="9:10">
      <c r="I162" s="67"/>
      <c r="J162" s="67"/>
    </row>
    <row r="163" spans="9:10">
      <c r="I163" s="67"/>
      <c r="J163" s="67"/>
    </row>
    <row r="164" spans="9:10">
      <c r="I164" s="67"/>
      <c r="J164" s="67"/>
    </row>
    <row r="165" spans="9:10">
      <c r="I165" s="67"/>
      <c r="J165" s="67"/>
    </row>
    <row r="166" spans="9:10">
      <c r="I166" s="67"/>
      <c r="J166" s="67"/>
    </row>
    <row r="167" spans="9:10">
      <c r="I167" s="67"/>
      <c r="J167" s="67"/>
    </row>
    <row r="168" spans="9:10">
      <c r="I168" s="67"/>
      <c r="J168" s="67"/>
    </row>
    <row r="169" spans="9:10">
      <c r="I169" s="67"/>
      <c r="J169" s="67"/>
    </row>
    <row r="170" spans="9:10">
      <c r="I170" s="67"/>
      <c r="J170" s="67"/>
    </row>
    <row r="171" spans="9:10">
      <c r="I171" s="67"/>
      <c r="J171" s="67"/>
    </row>
    <row r="172" spans="9:10">
      <c r="I172" s="67"/>
      <c r="J172" s="67"/>
    </row>
    <row r="173" spans="9:10">
      <c r="I173" s="67"/>
      <c r="J173" s="67"/>
    </row>
    <row r="174" spans="9:10">
      <c r="I174" s="67"/>
      <c r="J174" s="67"/>
    </row>
    <row r="175" spans="9:10">
      <c r="I175" s="67"/>
      <c r="J175" s="67"/>
    </row>
    <row r="176" spans="9:10">
      <c r="I176" s="67"/>
      <c r="J176" s="67"/>
    </row>
    <row r="177" spans="9:10">
      <c r="I177" s="67"/>
      <c r="J177" s="67"/>
    </row>
    <row r="178" spans="9:10">
      <c r="I178" s="67"/>
      <c r="J178" s="67"/>
    </row>
    <row r="179" spans="9:10">
      <c r="I179" s="67"/>
      <c r="J179" s="67"/>
    </row>
    <row r="180" spans="9:10">
      <c r="I180" s="67"/>
      <c r="J180" s="67"/>
    </row>
    <row r="181" spans="9:10">
      <c r="I181" s="67"/>
      <c r="J181" s="67"/>
    </row>
    <row r="182" spans="9:10">
      <c r="I182" s="67"/>
      <c r="J182" s="67"/>
    </row>
    <row r="183" spans="9:10">
      <c r="I183" s="67"/>
      <c r="J183" s="67"/>
    </row>
    <row r="184" spans="9:10">
      <c r="I184" s="67"/>
      <c r="J184" s="67"/>
    </row>
    <row r="185" spans="9:10">
      <c r="I185" s="67"/>
      <c r="J185" s="67"/>
    </row>
    <row r="186" spans="9:10">
      <c r="I186" s="67"/>
      <c r="J186" s="67"/>
    </row>
    <row r="187" spans="9:10">
      <c r="I187" s="67"/>
      <c r="J187" s="67"/>
    </row>
    <row r="188" spans="9:10">
      <c r="I188" s="67"/>
      <c r="J188" s="67"/>
    </row>
    <row r="189" spans="9:10">
      <c r="I189" s="67"/>
      <c r="J189" s="67"/>
    </row>
    <row r="190" spans="9:10">
      <c r="I190" s="67"/>
      <c r="J190" s="67"/>
    </row>
    <row r="191" spans="9:10">
      <c r="I191" s="67"/>
      <c r="J191" s="67"/>
    </row>
    <row r="192" spans="9:10">
      <c r="I192" s="67"/>
      <c r="J192" s="67"/>
    </row>
    <row r="193" spans="9:10">
      <c r="I193" s="67"/>
      <c r="J193" s="67"/>
    </row>
    <row r="194" spans="9:10">
      <c r="I194" s="67"/>
      <c r="J194" s="67"/>
    </row>
    <row r="195" spans="9:10">
      <c r="I195" s="67"/>
      <c r="J195" s="67"/>
    </row>
    <row r="196" spans="9:10">
      <c r="I196" s="67"/>
      <c r="J196" s="67"/>
    </row>
    <row r="197" spans="9:10">
      <c r="I197" s="67"/>
      <c r="J197" s="67"/>
    </row>
    <row r="198" spans="9:10">
      <c r="I198" s="67"/>
      <c r="J198" s="67"/>
    </row>
    <row r="199" spans="9:10">
      <c r="I199" s="67"/>
      <c r="J199" s="67"/>
    </row>
    <row r="200" spans="9:10">
      <c r="I200" s="67"/>
      <c r="J200" s="67"/>
    </row>
    <row r="201" spans="9:10">
      <c r="I201" s="67"/>
      <c r="J201" s="67"/>
    </row>
    <row r="202" spans="9:10">
      <c r="I202" s="67"/>
      <c r="J202" s="67"/>
    </row>
    <row r="203" spans="9:10">
      <c r="I203" s="67"/>
      <c r="J203" s="67"/>
    </row>
    <row r="204" spans="9:10">
      <c r="I204" s="67"/>
      <c r="J204" s="67"/>
    </row>
    <row r="205" spans="9:10">
      <c r="I205" s="67"/>
      <c r="J205" s="67"/>
    </row>
    <row r="206" spans="9:10">
      <c r="I206" s="67"/>
      <c r="J206" s="67"/>
    </row>
    <row r="207" spans="9:10">
      <c r="I207" s="67"/>
      <c r="J207" s="67"/>
    </row>
    <row r="208" spans="9:10">
      <c r="I208" s="67"/>
      <c r="J208" s="67"/>
    </row>
    <row r="209" spans="9:10">
      <c r="I209" s="67"/>
      <c r="J209" s="67"/>
    </row>
    <row r="210" spans="9:10">
      <c r="I210" s="67"/>
      <c r="J210" s="67"/>
    </row>
    <row r="211" spans="9:10">
      <c r="I211" s="67"/>
      <c r="J211" s="67"/>
    </row>
    <row r="212" spans="9:10">
      <c r="I212" s="67"/>
      <c r="J212" s="67"/>
    </row>
    <row r="213" spans="9:10">
      <c r="I213" s="67"/>
      <c r="J213" s="67"/>
    </row>
    <row r="214" spans="9:10">
      <c r="I214" s="67"/>
      <c r="J214" s="67"/>
    </row>
    <row r="215" spans="9:10">
      <c r="I215" s="67"/>
      <c r="J215" s="67"/>
    </row>
    <row r="216" spans="9:10">
      <c r="I216" s="67"/>
      <c r="J216" s="67"/>
    </row>
    <row r="217" spans="9:10">
      <c r="I217" s="67"/>
      <c r="J217" s="67"/>
    </row>
    <row r="218" spans="9:10">
      <c r="I218" s="67"/>
      <c r="J218" s="67"/>
    </row>
    <row r="219" spans="9:10">
      <c r="I219" s="67"/>
      <c r="J219" s="67"/>
    </row>
    <row r="220" spans="9:10">
      <c r="I220" s="67"/>
      <c r="J220" s="67"/>
    </row>
    <row r="221" spans="9:10">
      <c r="I221" s="67"/>
      <c r="J221" s="67"/>
    </row>
    <row r="222" spans="9:10">
      <c r="I222" s="67"/>
      <c r="J222" s="67"/>
    </row>
    <row r="223" spans="9:10">
      <c r="I223" s="67"/>
      <c r="J223" s="67"/>
    </row>
    <row r="224" spans="9:10">
      <c r="I224" s="67"/>
      <c r="J224" s="67"/>
    </row>
    <row r="225" spans="9:10">
      <c r="I225" s="67"/>
      <c r="J225" s="67"/>
    </row>
    <row r="226" spans="9:10">
      <c r="I226" s="67"/>
      <c r="J226" s="67"/>
    </row>
    <row r="227" spans="9:10">
      <c r="I227" s="67"/>
      <c r="J227" s="67"/>
    </row>
    <row r="228" spans="9:10">
      <c r="I228" s="67"/>
      <c r="J228" s="67"/>
    </row>
    <row r="229" spans="9:10">
      <c r="I229" s="67"/>
      <c r="J229" s="67"/>
    </row>
    <row r="230" spans="9:10">
      <c r="I230" s="67"/>
      <c r="J230" s="67"/>
    </row>
    <row r="231" spans="9:10">
      <c r="I231" s="67"/>
      <c r="J231" s="67"/>
    </row>
    <row r="232" spans="9:10">
      <c r="I232" s="67"/>
      <c r="J232" s="67"/>
    </row>
    <row r="233" spans="9:10">
      <c r="I233" s="67"/>
      <c r="J233" s="67"/>
    </row>
    <row r="234" spans="9:10">
      <c r="I234" s="67"/>
      <c r="J234" s="67"/>
    </row>
    <row r="235" spans="9:10">
      <c r="I235" s="67"/>
      <c r="J235" s="67"/>
    </row>
    <row r="236" spans="9:10">
      <c r="I236" s="67"/>
      <c r="J236" s="67"/>
    </row>
    <row r="237" spans="9:10">
      <c r="I237" s="67"/>
      <c r="J237" s="67"/>
    </row>
    <row r="238" spans="9:10">
      <c r="I238" s="67"/>
      <c r="J238" s="67"/>
    </row>
    <row r="239" spans="9:10">
      <c r="I239" s="67"/>
      <c r="J239" s="67"/>
    </row>
    <row r="240" spans="9:10">
      <c r="I240" s="67"/>
      <c r="J240" s="67"/>
    </row>
    <row r="241" spans="9:10">
      <c r="I241" s="67"/>
      <c r="J241" s="67"/>
    </row>
    <row r="242" spans="9:10">
      <c r="I242" s="67"/>
      <c r="J242" s="67"/>
    </row>
    <row r="243" spans="9:10">
      <c r="I243" s="67"/>
      <c r="J243" s="67"/>
    </row>
    <row r="244" spans="9:10">
      <c r="I244" s="67"/>
      <c r="J244" s="67"/>
    </row>
    <row r="245" spans="9:10">
      <c r="I245" s="67"/>
      <c r="J245" s="67"/>
    </row>
    <row r="246" spans="9:10">
      <c r="I246" s="67"/>
      <c r="J246" s="67"/>
    </row>
    <row r="247" spans="9:10">
      <c r="I247" s="67"/>
      <c r="J247" s="67"/>
    </row>
    <row r="248" spans="9:10">
      <c r="I248" s="67"/>
      <c r="J248" s="67"/>
    </row>
    <row r="249" spans="9:10">
      <c r="I249" s="67"/>
      <c r="J249" s="67"/>
    </row>
    <row r="250" spans="9:10">
      <c r="I250" s="67"/>
      <c r="J250" s="67"/>
    </row>
    <row r="251" spans="9:10">
      <c r="I251" s="67"/>
      <c r="J251" s="67"/>
    </row>
    <row r="252" spans="9:10">
      <c r="I252" s="67"/>
      <c r="J252" s="67"/>
    </row>
    <row r="253" spans="9:10">
      <c r="I253" s="67"/>
      <c r="J253" s="67"/>
    </row>
    <row r="254" spans="9:10">
      <c r="I254" s="67"/>
      <c r="J254" s="67"/>
    </row>
    <row r="255" spans="9:10">
      <c r="I255" s="67"/>
      <c r="J255" s="67"/>
    </row>
    <row r="256" spans="9:10">
      <c r="I256" s="67"/>
      <c r="J256" s="67"/>
    </row>
    <row r="257" spans="9:10">
      <c r="I257" s="67"/>
      <c r="J257" s="67"/>
    </row>
    <row r="258" spans="9:10">
      <c r="I258" s="67"/>
      <c r="J258" s="67"/>
    </row>
    <row r="259" spans="9:10">
      <c r="I259" s="67"/>
      <c r="J259" s="67"/>
    </row>
    <row r="260" spans="9:10">
      <c r="I260" s="67"/>
      <c r="J260" s="67"/>
    </row>
    <row r="261" spans="9:10">
      <c r="I261" s="67"/>
      <c r="J261" s="67"/>
    </row>
    <row r="262" spans="9:10">
      <c r="I262" s="67"/>
      <c r="J262" s="67"/>
    </row>
    <row r="263" spans="9:10">
      <c r="I263" s="67"/>
      <c r="J263" s="67"/>
    </row>
    <row r="264" spans="9:10">
      <c r="I264" s="67"/>
      <c r="J264" s="67"/>
    </row>
    <row r="265" spans="9:10">
      <c r="I265" s="67"/>
      <c r="J265" s="67"/>
    </row>
    <row r="266" spans="9:10">
      <c r="I266" s="67"/>
      <c r="J266" s="67"/>
    </row>
    <row r="267" spans="9:10">
      <c r="I267" s="67"/>
      <c r="J267" s="67"/>
    </row>
    <row r="268" spans="9:10">
      <c r="I268" s="67"/>
      <c r="J268" s="67"/>
    </row>
    <row r="269" spans="9:10">
      <c r="I269" s="67"/>
      <c r="J269" s="67"/>
    </row>
    <row r="270" spans="9:10">
      <c r="I270" s="67"/>
      <c r="J270" s="67"/>
    </row>
    <row r="271" spans="9:10">
      <c r="I271" s="67"/>
      <c r="J271" s="67"/>
    </row>
    <row r="272" spans="9:10">
      <c r="I272" s="67"/>
      <c r="J272" s="67"/>
    </row>
    <row r="273" spans="9:10">
      <c r="I273" s="67"/>
      <c r="J273" s="67"/>
    </row>
    <row r="274" spans="9:10">
      <c r="I274" s="67"/>
      <c r="J274" s="67"/>
    </row>
    <row r="275" spans="9:10">
      <c r="I275" s="67"/>
      <c r="J275" s="67"/>
    </row>
    <row r="276" spans="9:10">
      <c r="I276" s="67"/>
      <c r="J276" s="67"/>
    </row>
    <row r="277" spans="9:10">
      <c r="I277" s="67"/>
      <c r="J277" s="67"/>
    </row>
    <row r="278" spans="9:10">
      <c r="I278" s="67"/>
      <c r="J278" s="67"/>
    </row>
    <row r="279" spans="9:10">
      <c r="I279" s="67"/>
      <c r="J279" s="67"/>
    </row>
    <row r="280" spans="9:10">
      <c r="I280" s="67"/>
      <c r="J280" s="67"/>
    </row>
    <row r="281" spans="9:10">
      <c r="I281" s="67"/>
      <c r="J281" s="67"/>
    </row>
    <row r="282" spans="9:10">
      <c r="I282" s="105"/>
      <c r="J282" s="105"/>
    </row>
  </sheetData>
  <mergeCells count="106">
    <mergeCell ref="B3:D3"/>
    <mergeCell ref="H3:J3"/>
    <mergeCell ref="B4:D4"/>
    <mergeCell ref="H4:J4"/>
    <mergeCell ref="B5:D5"/>
    <mergeCell ref="H5:J5"/>
    <mergeCell ref="H6:J6"/>
    <mergeCell ref="H7:J7"/>
    <mergeCell ref="A8:D8"/>
    <mergeCell ref="A11:K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A27:J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A43:J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A59:J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A70:J70"/>
    <mergeCell ref="D71:F71"/>
    <mergeCell ref="D72:F72"/>
    <mergeCell ref="D73:F73"/>
    <mergeCell ref="D74:F74"/>
    <mergeCell ref="D75:F75"/>
    <mergeCell ref="D76:F76"/>
    <mergeCell ref="D77:F77"/>
    <mergeCell ref="D78:F78"/>
    <mergeCell ref="A79:J79"/>
    <mergeCell ref="D80:F80"/>
    <mergeCell ref="D81:F81"/>
    <mergeCell ref="D82:F82"/>
    <mergeCell ref="A83:J83"/>
    <mergeCell ref="D84:F84"/>
    <mergeCell ref="D85:F85"/>
    <mergeCell ref="D86:F86"/>
    <mergeCell ref="A87:I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A9:A10"/>
    <mergeCell ref="B9:B10"/>
    <mergeCell ref="C9:C10"/>
    <mergeCell ref="H9:H10"/>
    <mergeCell ref="I9:I10"/>
    <mergeCell ref="J9:J10"/>
    <mergeCell ref="K9:K10"/>
    <mergeCell ref="D9:G10"/>
    <mergeCell ref="B1:D2"/>
  </mergeCells>
  <dataValidations count="1">
    <dataValidation type="list" sqref="I12:I43 I44:I48 I49:I98">
      <formula1>"Pass,Fail,Pending,Blocked,N/A"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H3" sqref="H3"/>
    </sheetView>
  </sheetViews>
  <sheetFormatPr defaultColWidth="9" defaultRowHeight="13.2" outlineLevelCol="6"/>
  <cols>
    <col min="3" max="3" width="22.8796296296296" customWidth="1"/>
    <col min="7" max="7" width="18.8796296296296" customWidth="1"/>
  </cols>
  <sheetData>
    <row r="1" ht="22.2" customHeight="1" spans="1:7">
      <c r="A1" s="2" t="s">
        <v>374</v>
      </c>
      <c r="B1" s="3"/>
      <c r="C1" s="4"/>
      <c r="D1" s="4"/>
      <c r="E1" s="4"/>
      <c r="F1" s="4"/>
      <c r="G1" s="5"/>
    </row>
    <row r="2" ht="14.25" customHeight="1" spans="1:7">
      <c r="A2" s="2"/>
      <c r="B2" s="3" t="s">
        <v>375</v>
      </c>
      <c r="C2" s="4">
        <v>1</v>
      </c>
      <c r="D2" s="4"/>
      <c r="E2" s="4"/>
      <c r="F2" s="4"/>
      <c r="G2" s="5"/>
    </row>
    <row r="3" spans="1:7">
      <c r="B3" s="6" t="s">
        <v>376</v>
      </c>
      <c r="C3" s="4"/>
      <c r="D3" s="4"/>
      <c r="E3" s="4"/>
      <c r="F3" s="4"/>
      <c r="G3" s="5"/>
    </row>
    <row r="4" spans="1:7">
      <c r="B4" s="6" t="s">
        <v>377</v>
      </c>
      <c r="C4" s="7"/>
      <c r="D4" s="6"/>
      <c r="E4" s="6"/>
      <c r="F4" s="6"/>
      <c r="G4" s="6"/>
    </row>
    <row r="5" spans="1:7">
      <c r="A5" s="6"/>
      <c r="B5" s="6"/>
      <c r="C5" s="6"/>
      <c r="D5" s="6"/>
      <c r="E5" s="6"/>
      <c r="F5" s="6"/>
      <c r="G5" s="6"/>
    </row>
    <row r="6" spans="1:7">
      <c r="A6" s="6"/>
      <c r="B6" s="6"/>
      <c r="C6" s="6"/>
      <c r="D6" s="6"/>
      <c r="E6" s="6"/>
      <c r="F6" s="6"/>
      <c r="G6" s="6"/>
    </row>
    <row r="7" ht="26.4" customHeight="1" spans="1:7">
      <c r="A7" s="6"/>
      <c r="B7" s="8" t="s">
        <v>378</v>
      </c>
      <c r="C7" s="9" t="s">
        <v>379</v>
      </c>
      <c r="D7" s="10" t="s">
        <v>7</v>
      </c>
      <c r="E7" s="9" t="s">
        <v>10</v>
      </c>
      <c r="F7" s="9" t="s">
        <v>8</v>
      </c>
      <c r="G7" s="11" t="s">
        <v>380</v>
      </c>
    </row>
    <row r="8" s="1" customFormat="1" ht="26.4" spans="1:7">
      <c r="A8" s="12"/>
      <c r="B8" s="13">
        <v>1</v>
      </c>
      <c r="C8" s="14" t="s">
        <v>381</v>
      </c>
      <c r="D8" s="15">
        <v>0</v>
      </c>
      <c r="E8" s="14">
        <v>0</v>
      </c>
      <c r="F8" s="14">
        <v>0</v>
      </c>
      <c r="G8" s="15">
        <v>70</v>
      </c>
    </row>
    <row r="9" spans="1:7">
      <c r="A9" s="6"/>
      <c r="B9" s="16"/>
      <c r="C9" s="17"/>
      <c r="D9" s="18"/>
      <c r="E9" s="19"/>
      <c r="F9" s="19"/>
      <c r="G9" s="20"/>
    </row>
    <row r="10" spans="1:7">
      <c r="A10" s="6"/>
      <c r="B10" s="21"/>
      <c r="C10" s="22" t="s">
        <v>382</v>
      </c>
      <c r="D10" s="23">
        <v>0</v>
      </c>
      <c r="E10" s="23">
        <v>0</v>
      </c>
      <c r="F10" s="23">
        <v>0</v>
      </c>
      <c r="G10" s="24">
        <v>70</v>
      </c>
    </row>
    <row r="11" spans="1:7">
      <c r="A11" s="6"/>
      <c r="B11" s="25"/>
      <c r="C11" s="6"/>
      <c r="D11" s="26"/>
      <c r="E11" s="27"/>
      <c r="F11" s="27"/>
      <c r="G11" s="27"/>
    </row>
    <row r="12" spans="1:7">
      <c r="A12" s="6"/>
      <c r="B12" s="6"/>
      <c r="C12" s="6" t="s">
        <v>383</v>
      </c>
      <c r="D12" s="6"/>
      <c r="E12" s="28">
        <f>(D10+E10)*100/G10</f>
        <v>0</v>
      </c>
      <c r="F12" s="6" t="s">
        <v>384</v>
      </c>
      <c r="G12" s="29"/>
    </row>
    <row r="13" spans="1:7">
      <c r="A13" s="6"/>
      <c r="B13" s="6"/>
      <c r="C13" s="6" t="s">
        <v>385</v>
      </c>
      <c r="D13" s="6"/>
      <c r="E13" s="28">
        <f>D10*100/G10</f>
        <v>0</v>
      </c>
      <c r="F13" s="6" t="s">
        <v>384</v>
      </c>
      <c r="G13" s="2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chức năng Báo cáo thống kê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THUY DUONG</cp:lastModifiedBy>
  <dcterms:created xsi:type="dcterms:W3CDTF">2026-05-19T13:22:00Z</dcterms:created>
  <dcterms:modified xsi:type="dcterms:W3CDTF">2026-06-01T17:53:20Z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DEF7AEBAA8A1431C9FF018C261E93AE3_12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