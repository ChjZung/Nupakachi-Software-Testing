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Test Report" sheetId="3" r:id="rId1"/>
    <sheet name="chức năng Báo cáo thống kê" sheetId="2" r:id="rId2"/>
    <sheet name="Chức năng Quản lý Sản phẩm " sheetId="6" r:id="rId3"/>
    <sheet name="Chức năng giỏ hàng" sheetId="7" r:id="rId4"/>
    <sheet name="Chức năng Quản lý tài khoản" sheetId="8" r:id="rId5"/>
    <sheet name="Chức năng thanh toán" sheetId="9" r:id="rId6"/>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<sst xmlns="http://schemas.openxmlformats.org/spreadsheetml/2006/main" count="3001" uniqueCount="1502">
  <si>
    <t>TEST REPORT</t>
  </si>
  <si>
    <t>version:</t>
  </si>
  <si>
    <t>Note:</t>
  </si>
  <si>
    <t>done</t>
  </si>
  <si>
    <t>Date</t>
  </si>
  <si>
    <t>No</t>
  </si>
  <si>
    <t>Module code</t>
  </si>
  <si>
    <t>Pass</t>
  </si>
  <si>
    <t>Fail</t>
  </si>
  <si>
    <t>Pending</t>
  </si>
  <si>
    <t>Number of  test cases</t>
  </si>
  <si>
    <t xml:space="preserve">CR101 - Chức năng Quản lý Sản phẩm </t>
  </si>
  <si>
    <t>CR102 - Chức năng Giỏ hàng</t>
  </si>
  <si>
    <t>CR103 - Chức năng Quản lý tài khoản</t>
  </si>
  <si>
    <t xml:space="preserve">CR104 </t>
  </si>
  <si>
    <t>CR105 -chức năng Báo cáo thống kê</t>
  </si>
  <si>
    <t>Sub total</t>
  </si>
  <si>
    <t>Test coverage</t>
  </si>
  <si>
    <t>%</t>
  </si>
  <si>
    <t>Test successful coverage</t>
  </si>
  <si>
    <t>TEST CASE</t>
  </si>
  <si>
    <r>
      <rPr>
        <b/>
        <sz val="13"/>
        <rFont val="Times New Roman"/>
        <charset val="134"/>
      </rPr>
      <t>System Name</t>
    </r>
    <r>
      <rPr>
        <b/>
        <sz val="13"/>
        <rFont val="SimSun"/>
        <charset val="134"/>
      </rPr>
      <t>：</t>
    </r>
  </si>
  <si>
    <t>Nupakachi Shop - Online Shopping Website</t>
  </si>
  <si>
    <r>
      <rPr>
        <b/>
        <sz val="13"/>
        <rFont val="Times New Roman"/>
        <charset val="134"/>
      </rPr>
      <t>Module Code</t>
    </r>
    <r>
      <rPr>
        <b/>
        <sz val="13"/>
        <rFont val="SimSun"/>
        <charset val="134"/>
      </rPr>
      <t>：</t>
    </r>
  </si>
  <si>
    <t>CR500 - Reporting &amp; System Reliability</t>
  </si>
  <si>
    <t>Test requirement:</t>
  </si>
  <si>
    <t>CR5 - Báo cáo doanh thu, báo cáo thống kê, Reliability, Performance, Endurance</t>
  </si>
  <si>
    <t>By: Nguyễn Thị Thùy Dương</t>
  </si>
  <si>
    <t>Number of test cases:</t>
  </si>
  <si>
    <t>ID</t>
  </si>
  <si>
    <t>Test Case Description</t>
  </si>
  <si>
    <t>Test Case Procedure</t>
  </si>
  <si>
    <t>Expected Output</t>
  </si>
  <si>
    <t>Test date</t>
  </si>
  <si>
    <t>Result</t>
  </si>
  <si>
    <t>Note</t>
  </si>
  <si>
    <t>BUG ID</t>
  </si>
  <si>
    <t>Tester</t>
  </si>
  <si>
    <t>1. UNIT TEST CASES - RevenueService / StatisticsService / ReportService</t>
  </si>
  <si>
    <t>TC01</t>
  </si>
  <si>
    <t>Unit Test - Tính tổng doanh thu hợp lệ</t>
  </si>
  <si>
    <t>1. Chuẩn bị dữ liệu kiểm thử_ danh sách đơn hàng đã thanh toán
2.Thực thi gọi RevenueService.CalculateTotalRevenue().
3.trả về  tổng doanh thu .</t>
  </si>
  <si>
    <t>Tổng doanh thu bằng tổng tiền của các đơn hàng đã thanh toán.</t>
  </si>
  <si>
    <t xml:space="preserve"> Nguyễn Thị Thùy Dương</t>
  </si>
  <si>
    <t>TC02</t>
  </si>
  <si>
    <t>Unit Test - Không tính đơn hàng đã hủy</t>
  </si>
  <si>
    <t>1.chuẩn bị  danh sách gồm đơn đã thanh toán và đơn đã hủy.
2. gọi hàm tính tổng doanh thu.
3. trả về kết quả.</t>
  </si>
  <si>
    <t>Doanh thu chỉ tính đơn đã thanh toán, bỏ qua đơn đã hủy.</t>
  </si>
  <si>
    <t>TC03</t>
  </si>
  <si>
    <t>Unit Test - Doanh thu khi không có dữ liệu</t>
  </si>
  <si>
    <t>1. chuẩn bị danh sách đơn hàng rỗng.
2. thực hiện gọi hàm tính doanh thu.
3.trả về kết quả.</t>
  </si>
  <si>
    <t>Hệ thống trả về 0, không phát sinh exception.</t>
  </si>
  <si>
    <t>TC04</t>
  </si>
  <si>
    <t>Unit Test - Validate khoảng ngày hợp lệ</t>
  </si>
  <si>
    <t>1. chọn  FromDate nhỏ hơn hoặc bằng ToDate.
2.  gọi ReportService.ValidateDateRange().
3.  kết quả.</t>
  </si>
  <si>
    <t>Validate trả về true hoặc không có lỗi.</t>
  </si>
  <si>
    <t>TC05</t>
  </si>
  <si>
    <t>Unit Test - Validate ngày bắt đầu lớn hơn ngày kết thúc</t>
  </si>
  <si>
    <t>1. chọn FromDate &gt; ToDate.
2.  gọi ValidateDateRange().
3. kết quả trả về.</t>
  </si>
  <si>
    <t>Hệ thống trả về lỗi ngày bắt đầu không được lớn hơn ngày kết thúc.</t>
  </si>
  <si>
    <t>TC06</t>
  </si>
  <si>
    <t>Unit Test - Validate ngày tương lai</t>
  </si>
  <si>
    <t>1. chọn ToDate lớn hơn ngày hiện tại.
2. gọi ValidateDateRange().
3.  kết quả trả về.</t>
  </si>
  <si>
    <t>Hệ thống trả về lỗi không cho chọn ngày sau ngày hiện tại.</t>
  </si>
  <si>
    <t>TC07</t>
  </si>
  <si>
    <t>Unit Test - Đếm số đơn hàng</t>
  </si>
  <si>
    <t>1. chuẩn bị danh sách đơn hàng theo trạng thái.
2. gọi StatisticsService.CountOrders().
3.  số lượng.</t>
  </si>
  <si>
    <t>Số đơn hàng trả về đúng theo dữ liệu đầu vào.</t>
  </si>
  <si>
    <t>TC08</t>
  </si>
  <si>
    <t>Unit Test - Đếm đơn hàng theo trạng thái</t>
  </si>
  <si>
    <t>1. danh sách đơn hàng: Chờ xác nhận, Đã giao, Đã hủy.
2. gọi CountOrdersByStatus().
3. kết quả từng nhóm.</t>
  </si>
  <si>
    <t>Số đơn theo từng trạng thái chính xác.</t>
  </si>
  <si>
    <t>TC09</t>
  </si>
  <si>
    <t>Unit Test - Lấy top sản phẩm bán chạy</t>
  </si>
  <si>
    <t>1.  danh sách chi tiết đơn hàng có số lượng bán.
2.  gọi GetTopSellingProducts().
3. kết quả thứ tự.</t>
  </si>
  <si>
    <t>Sản phẩm bán nhiều nhất đứng đầu danh sách.</t>
  </si>
  <si>
    <t>TC10</t>
  </si>
  <si>
    <t>Unit Test - Top sản phẩm khi trùng số lượng bán</t>
  </si>
  <si>
    <t>1.danh sách 2 sản phẩm có cùng số lượng bán.
2.  lấy top sản phẩm.
3.  kết quả.</t>
  </si>
  <si>
    <t>Hệ thống vẫn trả về danh sách hợp lệ, không lỗi sắp xếp.</t>
  </si>
  <si>
    <t>TC11</t>
  </si>
  <si>
    <t>Unit Test - Thống kê tồn kho hợp lệ</t>
  </si>
  <si>
    <t>1.  danh sách sản phẩm có SOLUONGTON.
2. gọi GetInventoryStatistics().
3.  kết quả.</t>
  </si>
  <si>
    <t>Số lượng tồn kho hiển thị đúng, không có số âm.</t>
  </si>
  <si>
    <t>TC12</t>
  </si>
  <si>
    <t>Unit Test - Tồn kho âm không hợp lệ</t>
  </si>
  <si>
    <t>1. sản phẩm có SOLUONGTON = -1.
2.  gọi validate tồn kho.
3. kết quả.</t>
  </si>
  <si>
    <t>Hệ thống trả về lỗi số lượng tồn kho phải &gt;= 0.</t>
  </si>
  <si>
    <t>TC13</t>
  </si>
  <si>
    <t>Unit Test - ReportService xử lý database exception</t>
  </si>
  <si>
    <t>1.  mock repository ném DbException.
2.  gọi GenerateRevenueReport().
3.  kết quả.</t>
  </si>
  <si>
    <t>Service bắt lỗi và trả thông báo lỗi phù hợp, không làm crash hệ thống.</t>
  </si>
  <si>
    <t>TC14</t>
  </si>
  <si>
    <t>Unit Test - Large dataset 10.000 đơn hàng</t>
  </si>
  <si>
    <t>1.  10.000 đơn hàng hợp lệ.
2.  tính doanh thu/thống kê.
3.  thời gian và kết quả.</t>
  </si>
  <si>
    <t>Kết quả đúng và xử lý trong thời gian chấp nhận được.</t>
  </si>
  <si>
    <t>TC15</t>
  </si>
  <si>
    <t>Unit Test - Xuất báo cáo không có dữ liệu</t>
  </si>
  <si>
    <t>1.  danh sách báo cáo rỗng.
2.  gọi ReportService.ExportReport().
3. file/kết quả.</t>
  </si>
  <si>
    <t>Hệ thống trả về file rỗng có header hoặc thông báo không có dữ liệu, không lỗi.</t>
  </si>
  <si>
    <t>2. POSTMAN API TEST CASES - Report APIs</t>
  </si>
  <si>
    <t>TC16</t>
  </si>
  <si>
    <t>API - Lấy báo cáo doanh thu hợp lệ</t>
  </si>
  <si>
    <t>1. Gửi GET /api/reports/revenue với fromDate/toDate hợp lệ.
2. Kiểm tra status code.
3. Kiểm tra body response.</t>
  </si>
  <si>
    <t>Status 200, trả về tổng doanh thu và danh sách dữ liệu đúng định dạng JSON.</t>
  </si>
  <si>
    <t>API /api/ chưa tồn tại hoặc chưa được deploy. Hiện hệ thống chỉ có trang web /Admin/BaocaoThongKe.</t>
  </si>
  <si>
    <t>BUG1_BaoCaovaThongKe</t>
  </si>
  <si>
    <t>TC17</t>
  </si>
  <si>
    <t>API - Revenue thiếu fromDate</t>
  </si>
  <si>
    <t>1. Gửi GET /api/reports/revenue chỉ có toDate.
2. Kiểm tra status và message.</t>
  </si>
  <si>
    <t>Status 400, thông báo thiếu tham số fromDate.</t>
  </si>
  <si>
    <t>BUG2_BaoCaovaThongKe</t>
  </si>
  <si>
    <t>TC18</t>
  </si>
  <si>
    <t>API - Revenue ngày không hợp lệ</t>
  </si>
  <si>
    <t>1. Gửi fromDate = 2026-05-30, toDate = 2026-05-01.
2. Kiểm tra response.</t>
  </si>
  <si>
    <t>Status 400, báo lỗi ngày bắt đầu không được lớn hơn ngày kết thúc.</t>
  </si>
  <si>
    <t>Không thể validate fromDate &gt; toDate nếu endpoint không tồn tại</t>
  </si>
  <si>
    <t>BUG3_BaoCaovaThongKe</t>
  </si>
  <si>
    <t>TC19</t>
  </si>
  <si>
    <t>API - Revenue ngày tương lai</t>
  </si>
  <si>
    <t>1. Gửi toDate lớn hơn ngày hiện tại.
2. Kiểm tra response.</t>
  </si>
  <si>
    <t>Status 400, báo lỗi không được chọn ngày sau ngày hiện tại.</t>
  </si>
  <si>
    <t>Không thể validate ngày tương lai nếu endpoint không tồn tại</t>
  </si>
  <si>
    <t>BUG4_BaoCaovaThongKe</t>
  </si>
  <si>
    <t>TC20</t>
  </si>
  <si>
    <t>API - Revenue không có token</t>
  </si>
  <si>
    <t>1. Gửi request không có Authorization header.
2. Kiểm tra status.</t>
  </si>
  <si>
    <t>Status 401 Unauthorized.</t>
  </si>
  <si>
    <t>Không thể test auth/token trên revenue API nếu endpoint không tồn tại</t>
  </si>
  <si>
    <t>BUG5_BaoCaovaThongKe</t>
  </si>
  <si>
    <t>TC21</t>
  </si>
  <si>
    <t>API - Revenue token sai</t>
  </si>
  <si>
    <t>1. Gửi Authorization: Bearer invalid_token.
2. Kiểm tra status.</t>
  </si>
  <si>
    <t>Status 401 Unauthorized hoặc 403 Forbidden.</t>
  </si>
  <si>
    <t>Không thể test token sai nếu revenue API không tồn tại</t>
  </si>
  <si>
    <t>BUG6_BaoCaovaThongKe</t>
  </si>
  <si>
    <t>TC22</t>
  </si>
  <si>
    <t>API - Lấy thống kê đơn hàng</t>
  </si>
  <si>
    <t>1. Gửi GET /api/reports/orders với token hợp lệ.
2. Kiểm tra dữ liệu thống kê.</t>
  </si>
  <si>
    <t>Status 200, trả về số đơn theo trạng thái chính xác.</t>
  </si>
  <si>
    <t>Đang gọi sai loại endpoint hoặc API /api/reports/top-products chưa tồn tại/chưa được deploy.</t>
  </si>
  <si>
    <t>BUG7_BaoCaovaThongKe</t>
  </si>
  <si>
    <t>TC23</t>
  </si>
  <si>
    <t>API - Orders không có dữ liệu</t>
  </si>
  <si>
    <t>1. Gửi request với khoảng ngày không có đơn hàng.
2. Kiểm tra response.</t>
  </si>
  <si>
    <t>Status 200, data là mảng rỗng hoặc tổng đơn = 0.</t>
  </si>
  <si>
    <t>Trang hiển thị trạng thái không có dữ liệu</t>
  </si>
  <si>
    <t>BUG8_BaoCaovaThongKe</t>
  </si>
  <si>
    <t>TC24</t>
  </si>
  <si>
    <t>API - Lấy sản phẩm bán chạy</t>
  </si>
  <si>
    <t>1. Gửi GET /api/reports/top-products.
2. Kiểm tra thứ tự sản phẩm.</t>
  </si>
  <si>
    <t>Status 200, sản phẩm được sắp xếp giảm dần theo số lượng bán.</t>
  </si>
  <si>
    <t>BUG9_BaoCaovaThongKe</t>
  </si>
  <si>
    <t>TC25</t>
  </si>
  <si>
    <t>API - Top products giới hạn top=5</t>
  </si>
  <si>
    <t>1. Gửi GET /api/reports/top-products?top=5.
2. Kiểm tra số lượng item.</t>
  </si>
  <si>
    <t>Status 200, trả về tối đa 5 sản phẩm.</t>
  </si>
  <si>
    <t>API endpoint không tồn tại, hệ thống trả về 404 Not Found.</t>
  </si>
  <si>
    <t>BUG10_BaoCaovaThongKe</t>
  </si>
  <si>
    <t>TC26</t>
  </si>
  <si>
    <t>API - Top products top không hợp lệ</t>
  </si>
  <si>
    <t>1. Gửi top=-1 hoặc top=abc.
2. Kiểm tra response.</t>
  </si>
  <si>
    <t>Status 400, báo lỗi tham số top không hợp lệ.</t>
  </si>
  <si>
    <t>Top products với top không hợp lệ không được xử lý thành công</t>
  </si>
  <si>
    <t>BUG11_BaoCaovaThongKe</t>
  </si>
  <si>
    <t>TC27</t>
  </si>
  <si>
    <t>API - Lấy thống kê tồn kho</t>
  </si>
  <si>
    <t>1. Gửi GET /api/reports/inventory.
2. Kiểm tra dữ liệu tồn kho.</t>
  </si>
  <si>
    <t>Status 200, trả về mã sản phẩm, tên sản phẩm, số lượng tồn.</t>
  </si>
  <si>
    <t>BUG12_BaoCaovaThongKe</t>
  </si>
  <si>
    <t>TC28</t>
  </si>
  <si>
    <t>API - Tìm kiếm thống kê tồn kho</t>
  </si>
  <si>
    <t>1. Gửi GET /api/reports/inventory?keyword=ao.
2. Kiểm tra kết quả.</t>
  </si>
  <si>
    <t>Status 200, chỉ trả về sản phẩm có tên/mã phù hợp keyword.</t>
  </si>
  <si>
    <t>BUG13_BaoCaovaThongKe</t>
  </si>
  <si>
    <t>TC29</t>
  </si>
  <si>
    <t>API - Xuất báo cáo Excel</t>
  </si>
  <si>
    <t>1. Gửi GET /api/reports/export?type=excel.
2. Kiểm tra header và file.</t>
  </si>
  <si>
    <t>Status 200, Content-Type đúng, file Excel tải được.</t>
  </si>
  <si>
    <t>Phải có chức năng xuất Excel </t>
  </si>
  <si>
    <t>BUG14_BaoCaovaThongKe</t>
  </si>
  <si>
    <t>TC30</t>
  </si>
  <si>
    <t>API - Xuất báo cáo PDF</t>
  </si>
  <si>
    <t>1. Gửi GET /api/reports/export?type=pdf.
2. Kiểm tra header và file.</t>
  </si>
  <si>
    <t>Status 200, Content-Type đúng, file PDF tải được.</t>
  </si>
  <si>
    <t> Phải có chức năng xuất PDF</t>
  </si>
  <si>
    <t>BUG15_BaoCaovaThongKe</t>
  </si>
  <si>
    <t>3. SELENIUM UI TEST CASES - Report &amp; Statistics Page</t>
  </si>
  <si>
    <t>TC31</t>
  </si>
  <si>
    <t>Selenium UI - Mở trang báo cáo thống kê</t>
  </si>
  <si>
    <t>1. Mở Chrome.
2. Đăng nhập tài khoản Nhân viên/Admin.
3. Click menu Báo cáo thống kê.</t>
  </si>
  <si>
    <t>Trang Báo cáo thống kê hiển thị, không lỗi trắng trang.</t>
  </si>
  <si>
    <t>BUG16_BaoCaovaThongKe</t>
  </si>
  <si>
    <t>TC32</t>
  </si>
  <si>
    <t>Selenium UI - Hiển thị báo cáo doanh thu theo tháng</t>
  </si>
  <si>
    <t>1. Vào trang Báo cáo.
2. Chọn tháng cần xem.
3. Nhấn nút Xem báo cáo.</t>
  </si>
  <si>
    <t>Bảng và biểu đồ doanh thu theo tháng hiển thị đúng.</t>
  </si>
  <si>
    <t>BUG17_BaoCaovaThongKe</t>
  </si>
  <si>
    <t>TC33</t>
  </si>
  <si>
    <t>Selenium UI - Lọc báo cáo theo ngày hợp lệ</t>
  </si>
  <si>
    <t>1. Nhập FromDate và ToDate hợp lệ.
2. Click nút Lọc.
3. Quan sát dữ liệu.</t>
  </si>
  <si>
    <t>Chỉ hiển thị dữ liệu trong khoảng ngày đã chọn.</t>
  </si>
  <si>
    <t>BUG18_BaoCaovaThongKe</t>
  </si>
  <si>
    <t>TC34</t>
  </si>
  <si>
    <t>Selenium UI - Lọc ngày bắt đầu lớn hơn ngày kết thúc</t>
  </si>
  <si>
    <t>1. Nhập FromDate &gt; ToDate.
2. Click Lọc.
3. Kiểm tra thông báo.</t>
  </si>
  <si>
    <t>Hiển thị lỗi ngày bắt đầu không được lớn hơn ngày kết thúc.</t>
  </si>
  <si>
    <t>BUG19_BaoCaovaThongKe</t>
  </si>
  <si>
    <t>TC35</t>
  </si>
  <si>
    <t>Selenium UI - Lọc ngày tương lai</t>
  </si>
  <si>
    <t>1. Nhập ToDate sau ngày hiện tại.
2. Click Lọc.</t>
  </si>
  <si>
    <t>Hiển thị thông báo không được chọn ngày sau ngày hiện tại.</t>
  </si>
  <si>
    <t>BUG20_BaoCaovaThongKe</t>
  </si>
  <si>
    <t>TC36</t>
  </si>
  <si>
    <t>Selenium UI - Tìm kiếm dữ liệu thống kê</t>
  </si>
  <si>
    <t>1. Nhập keyword sản phẩm vào ô tìm kiếm.
2. Click Search hoặc Enter.</t>
  </si>
  <si>
    <t>Danh sách thống kê chỉ hiển thị kết quả phù hợp keyword.</t>
  </si>
  <si>
    <t>TC37</t>
  </si>
  <si>
    <t>Selenium UI - Tìm kiếm không có kết quả</t>
  </si>
  <si>
    <t>1. Nhập keyword không tồn tại.
2. Nhấn Search.</t>
  </si>
  <si>
    <t>Hiển thị thông báo Không có dữ liệu, không lỗi giao diện.</t>
  </si>
  <si>
    <t>TC38</t>
  </si>
  <si>
    <t>Selenium UI - Xem biểu đồ doanh thu</t>
  </si>
  <si>
    <t>1. Vào trang Báo cáo doanh thu.
2. Quan sát khu vực chart.</t>
  </si>
  <si>
    <t>Biểu đồ hiển thị đầy đủ trục, nhãn, dữ liệu.</t>
  </si>
  <si>
    <t>BUG21_BaoCaovaThongKe</t>
  </si>
  <si>
    <t>TC39</t>
  </si>
  <si>
    <t>Selenium UI - Tooltip biểu đồ doanh thu</t>
  </si>
  <si>
    <t>1. Hover chuột vào cột/điểm trên biểu đồ.
2. Quan sát tooltip.</t>
  </si>
  <si>
    <t>Tooltip hiển thị ngày/tháng và doanh thu tương ứng.</t>
  </si>
  <si>
    <t>TC40</t>
  </si>
  <si>
    <t>Selenium UI - Xuất Excel từ giao diện</t>
  </si>
  <si>
    <t>1. Chọn khoảng ngày.
2. Click Export Excel.
3. Kiểm tra file tải về.</t>
  </si>
  <si>
    <t>File Excel được tải về thành công, không lỗi font tiếng Việt.</t>
  </si>
  <si>
    <t>BUG22_BaoCaovaThongKe</t>
  </si>
  <si>
    <t>TC41</t>
  </si>
  <si>
    <t>Selenium UI - Xuất PDF từ giao diện</t>
  </si>
  <si>
    <t>1. Chọn khoảng ngày.
2. Click Export PDF.
3. Kiểm tra file tải về.</t>
  </si>
  <si>
    <t>File PDF được tải về thành công, mở được.</t>
  </si>
  <si>
    <t>TC42</t>
  </si>
  <si>
    <t>Selenium UI - Phân trang dữ liệu báo cáo</t>
  </si>
  <si>
    <t>1. Vào trang báo cáo có nhiều dòng.
2. Click trang 2.
3. Click Next/Previous.</t>
  </si>
  <si>
    <t>Phân trang hoạt động đúng, không mất dữ liệu.</t>
  </si>
  <si>
    <t>TC43</t>
  </si>
  <si>
    <t>Selenium UI - Large data loading</t>
  </si>
  <si>
    <t>1. Chọn khoảng ngày 6 tháng hoặc 1 năm.
2. Click Lọc.
3. Chờ dữ liệu tải.</t>
  </si>
  <si>
    <t>Hiển thị loading khi chờ, dữ liệu lớn tải thành công.</t>
  </si>
  <si>
    <t>BUG23_BaoCaovaThongKe</t>
  </si>
  <si>
    <t>TC44</t>
  </si>
  <si>
    <t>Selenium UI - Responsive trên màn hình mobile</t>
  </si>
  <si>
    <t>1. Mở DevTools responsive 390x844.
2. Vào trang Báo cáo.
3. Quan sát layout.</t>
  </si>
  <si>
    <t>Giao diện không vỡ, bảng/biểu đồ có thể xem hoặc cuộn ngang hợp lý.</t>
  </si>
  <si>
    <t>BUG24_BaoCaovaThongKe</t>
  </si>
  <si>
    <t>TC45</t>
  </si>
  <si>
    <t>Selenium UI - User không đăng nhập truy cập báo cáo</t>
  </si>
  <si>
    <t>1. Logout.
2. Truy cập trực tiếp URL /reports.
3. Quan sát hệ thống.</t>
  </si>
  <si>
    <t>Hệ thống chuyển về trang Login hoặc báo không có quyền.</t>
  </si>
  <si>
    <t>4. PERFORMANCE TEST CASES - Load / Stress / Response Time / Throughput</t>
  </si>
  <si>
    <t>TC46</t>
  </si>
  <si>
    <t>Performance - Load test 50 users xem báo cáo</t>
  </si>
  <si>
    <t>1. Dùng JMeter tạo 50 users.
2. Gọi trang/API báo cáo trong 5 phút.
3. Ghi nhận metrics.</t>
  </si>
  <si>
    <t>Average response time &lt;= 3 giây, error rate &lt; 1%.</t>
  </si>
  <si>
    <t>TC47</t>
  </si>
  <si>
    <t>Performance - Load test 200 users lọc báo cáo</t>
  </si>
  <si>
    <t>1. Tạo 200 users đồng thời.
2. Mỗi user gửi request lọc báo cáo.
3. Theo dõi response.</t>
  </si>
  <si>
    <t>Hệ thống xử lý được tải, không crash, error rate &lt; 1%.</t>
  </si>
  <si>
    <t>TC48</t>
  </si>
  <si>
    <t>Performance - Concurrent 500 users</t>
  </si>
  <si>
    <t>1. Tạo 500 users đồng thời theo SRS.
2. Mỗi user xem báo cáo/thống kê.
3. Theo dõi server.</t>
  </si>
  <si>
    <t>Hệ thống hỗ trợ 500 users đồng thời, response time phù hợp tiêu chí.</t>
  </si>
  <si>
    <t>TC49</t>
  </si>
  <si>
    <t>Performance - Response time API revenue</t>
  </si>
  <si>
    <t>1. Gửi 100 request đến /api/reports/revenue.
2. Đo response time trung bình.</t>
  </si>
  <si>
    <t>Response time trung bình &lt; 3 giây.</t>
  </si>
  <si>
    <t>TC50</t>
  </si>
  <si>
    <t>Performance - Throughput API báo cáo</t>
  </si>
  <si>
    <t>1. Dùng JMeter gửi request liên tục trong 5 phút.
2. Ghi nhận throughput.</t>
  </si>
  <si>
    <t>Throughput ổn định, không giảm bất thường trong quá trình test.</t>
  </si>
  <si>
    <t>TC51</t>
  </si>
  <si>
    <t>Performance - Stress test tăng tải dần</t>
  </si>
  <si>
    <t>1. Ramp-up từ 50 lên 100, 200, 500, 700 users.
2. Theo dõi điểm nghẽn.</t>
  </si>
  <si>
    <t>Xác định được ngưỡng chịu tải, hệ thống không mất dữ liệu.</t>
  </si>
  <si>
    <t>BUG26_BaoCaovaThongKe</t>
  </si>
  <si>
    <t>TC52</t>
  </si>
  <si>
    <t>Performance - Export Excel dữ liệu lớn</t>
  </si>
  <si>
    <t>1. Chuẩn bị báo cáo khoảng 10.000 dòng.
2. Click Export Excel.
3. Đo thời gian.</t>
  </si>
  <si>
    <t>File xuất thành công, thời gian trong ngưỡng chấp nhận, không timeout.</t>
  </si>
  <si>
    <t>BUG27_BaoCaovaThongKe</t>
  </si>
  <si>
    <t>TC53</t>
  </si>
  <si>
    <t>Performance - Tải biểu đồ dữ liệu 12 tháng</t>
  </si>
  <si>
    <t>1. Chọn xem báo cáo theo năm.
2. Đo thời gian render chart.</t>
  </si>
  <si>
    <t>Biểu đồ render hoàn chỉnh trong &lt;= 3 giây.</t>
  </si>
  <si>
    <t>BUG28_BaoCaovaThongKe</t>
  </si>
  <si>
    <t>TC54</t>
  </si>
  <si>
    <t>Performance - Database timeout khi lọc dữ liệu lớn</t>
  </si>
  <si>
    <t>1. Gửi request lọc khoảng thời gian rất dài.
2. Theo dõi response.</t>
  </si>
  <si>
    <t>Nếu quá tải, hệ thống trả thông báo lỗi thân thiện, không treo trang.</t>
  </si>
  <si>
    <t>BUG29_BaoCaovaThongKe</t>
  </si>
  <si>
    <t>TC55</t>
  </si>
  <si>
    <t>Performance - Error rate dưới tải thường</t>
  </si>
  <si>
    <t>1. Chạy 100 users trong 10 phút.
2. Tổng hợp số request lỗi.</t>
  </si>
  <si>
    <t>Error rate &lt; 1% theo tiêu chí Test Plan.</t>
  </si>
  <si>
    <t>BUG30_BaoCaovaThongKe</t>
  </si>
  <si>
    <t>5. RELIABILITY / ENDURANCE TEST CASES</t>
  </si>
  <si>
    <t>TC56</t>
  </si>
  <si>
    <t>Reliability - Chạy hệ thống liên tục 24 giờ</t>
  </si>
  <si>
    <t>1. Dùng JMeter chạy request báo cáo liên tục 24 giờ.
2. Monitor log, CPU, RAM.</t>
  </si>
  <si>
    <t>Hệ thống hoạt động ổn định, không crash, không lỗi nghiêm trọng.</t>
  </si>
  <si>
    <t>BUG31_BaoCaovaThongKe</t>
  </si>
  <si>
    <t>TC57</t>
  </si>
  <si>
    <t>Reliability - Kiểm tra memory leak</t>
  </si>
  <si>
    <t>1. Chạy 50 users liên tục 4 giờ.
2. Ghi nhận RAM mỗi 30 phút.</t>
  </si>
  <si>
    <t>Memory không tăng liên tục bất thường, không có dấu hiệu memory leak.</t>
  </si>
  <si>
    <t>BUG32_BaoCaovaThongKe</t>
  </si>
  <si>
    <t>TC58</t>
  </si>
  <si>
    <t>Reliability - Long session testing</t>
  </si>
  <si>
    <t>1. Đăng nhập Admin.
2. Mở trang báo cáo trong 2 giờ.
3. Thao tác lọc lại dữ liệu.</t>
  </si>
  <si>
    <t>Session xử lý đúng: còn hiệu lực hoặc yêu cầu đăng nhập lại rõ ràng.</t>
  </si>
  <si>
    <t>TC59</t>
  </si>
  <si>
    <t>Reliability - Repeated report export 100 lần</t>
  </si>
  <si>
    <t>1. Tự động click Export Excel 100 lần.
2. Kiểm tra số file xuất thành công.</t>
  </si>
  <si>
    <t>100 lần export không làm crash hệ thống, file tải đúng.</t>
  </si>
  <si>
    <t>TC60</t>
  </si>
  <si>
    <t>Reliability - Continuous API requests</t>
  </si>
  <si>
    <t>1. Gửi request /api/reports/revenue liên tục trong 6 giờ.
2. Theo dõi response.</t>
  </si>
  <si>
    <t>API phản hồi ổn định, không tăng lỗi theo thời gian.</t>
  </si>
  <si>
    <t>BUG33_BaoCaovaThongKe</t>
  </si>
  <si>
    <t>TC61</t>
  </si>
  <si>
    <t>Reliability - Kết nối database bị gián đoạn</t>
  </si>
  <si>
    <t>1. Giả lập database unavailable.
2. Gọi API báo cáo.
3. Khôi phục database.</t>
  </si>
  <si>
    <t>Hệ thống báo lỗi phù hợp và phục hồi sau khi database hoạt động lại.</t>
  </si>
  <si>
    <t>BUG34_BaoCaovaThongKe</t>
  </si>
  <si>
    <t>TC62</t>
  </si>
  <si>
    <t>Reliability - Log file không bị đầy ổ đĩa</t>
  </si>
  <si>
    <t>1. Chạy request báo cáo liên tục 4 giờ.
2. Kiểm tra dung lượng log.</t>
  </si>
  <si>
    <t>Log được ghi hợp lý, không làm đầy ổ đĩa.</t>
  </si>
  <si>
    <t>BUG35_BaoCaovaThongKe</t>
  </si>
  <si>
    <t>TC63</t>
  </si>
  <si>
    <t>Reliability - Dữ liệu báo cáo nhất quán sau endurance</t>
  </si>
  <si>
    <t>1. Ghi nhận số liệu doanh thu trước test.
2. Chạy endurance 4 giờ.
3. So sánh lại dữ liệu.</t>
  </si>
  <si>
    <t>Dữ liệu báo cáo không bị sai lệch sau quá trình chạy lâu.</t>
  </si>
  <si>
    <t>6. TEST DATA CASES</t>
  </si>
  <si>
    <t>TC64</t>
  </si>
  <si>
    <t>Test Data - Valid data cho báo cáo doanh thu</t>
  </si>
  <si>
    <t>1. Chuẩn bị đơn hàng đã thanh toán, sản phẩm hợp lệ, ngày hợp lệ.
2. Chạy báo cáo.</t>
  </si>
  <si>
    <t>Báo cáo hiển thị đúng doanh thu, đơn hàng, sản phẩm bán chạy.</t>
  </si>
  <si>
    <t>TC65</t>
  </si>
  <si>
    <t>Test Data - Boundary date range</t>
  </si>
  <si>
    <t>1. Chọn fromDate = toDate.
2. Chạy báo cáo trong 1 ngày.</t>
  </si>
  <si>
    <t>Hệ thống chấp nhận và trả dữ liệu đúng trong 1 ngày.</t>
  </si>
  <si>
    <t>TC66</t>
  </si>
  <si>
    <t>Test Data - Large dataset sample</t>
  </si>
  <si>
    <t>1. Chuẩn bị 10.000 đơn hàng, 1.000 sản phẩm.
2. Chạy thống kê và export.</t>
  </si>
  <si>
    <t>Hệ thống xử lý được dữ liệu lớn, không timeout ở mức demo.</t>
  </si>
  <si>
    <t>7. BUG SCENARIOS</t>
  </si>
  <si>
    <t>TC67</t>
  </si>
  <si>
    <t>Bug Scenario - Sai công thức tính doanh thu</t>
  </si>
  <si>
    <t>1. Tạo đơn hàng có phí ship/giảm giá.
2. Chạy báo cáo doanh thu.
3. So sánh DB.</t>
  </si>
  <si>
    <t>Nếu doanh thu không khớp, ghi bug Report mismatch/Wrong revenue calculation.</t>
  </si>
  <si>
    <t>BUG36_BaoCaovaThongKe</t>
  </si>
  <si>
    <t>TC68</t>
  </si>
  <si>
    <t>Bug Scenario - Chart không load</t>
  </si>
  <si>
    <t>1. Chặn API chart hoặc trả data rỗng.
2. Mở trang báo cáo.
3. Quan sát UI.</t>
  </si>
  <si>
    <t>Nếu chart trắng không thông báo, ghi bug Chart not loading.</t>
  </si>
  <si>
    <t>BUG37_BaoCaovaThongKe</t>
  </si>
  <si>
    <t>TC69</t>
  </si>
  <si>
    <t>Bug Scenario - Export failed hoặc pagination lỗi</t>
  </si>
  <si>
    <t>1. Chạy export báo cáo và chuyển trang dữ liệu.
2. Kiểm tra file và phân trang.</t>
  </si>
  <si>
    <t>Nếu export lỗi/pagination sai dữ liệu, ghi bug với steps reproduce rõ ràng.</t>
  </si>
  <si>
    <t>BUG38_BaoCaovaThongKe</t>
  </si>
  <si>
    <t>8. MANUAL UI TEST CASES - Admin Report &amp; Dashboard</t>
  </si>
  <si>
    <t>TC70</t>
  </si>
  <si>
    <t>Manual UI - Truy cập trang Báo cáo thống kê</t>
  </si>
  <si>
    <t>1. Đăng nhập bằng tài khoản admin.
2. Mở trang /Admin/BaocaoThongKe.
3. Quan sát nội dung trang.</t>
  </si>
  <si>
    <t>Trang hiển thị tiêu đề BÁO CÁO - THỐNG KÊ, bộ lọc Từ ngày/Đến ngày và các khối số liệu tổng quan.</t>
  </si>
  <si>
    <t>TC71</t>
  </si>
  <si>
    <t>Manual UI - Hiển thị tổng đơn hàng</t>
  </si>
  <si>
    <t>1. Vào trang Báo cáo thống kê.
2. Quan sát chỉ số Tổng đơn hàng.</t>
  </si>
  <si>
    <t>Hệ thống hiển thị tổng số đơn hàng rõ ràng, không bị trống hoặc sai định dạng.</t>
  </si>
  <si>
    <t>TC72</t>
  </si>
  <si>
    <t>Manual UI - Hiển thị tổng doanh thu</t>
  </si>
  <si>
    <t>1. Vào trang Báo cáo thống kê.
2. Quan sát chỉ số Tổng doanh thu.</t>
  </si>
  <si>
    <t>Tổng doanh thu hiển thị đúng định dạng tiền tệ VNĐ, ví dụ 101,995,000 VNĐ.</t>
  </si>
  <si>
    <t>TC73</t>
  </si>
  <si>
    <t>Manual UI - Hiển thị thống kê trạng thái đơn hàng</t>
  </si>
  <si>
    <t>1. Vào trang Báo cáo thống kê.
2. Xem phần Chi tiết số lượng đơn.</t>
  </si>
  <si>
    <t>Trang hiển thị các trạng thái đơn như chờ xác nhận, đang giao, đã giao, đã hủy/hoàn với số lượng tương ứng.</t>
  </si>
  <si>
    <t>TC74</t>
  </si>
  <si>
    <t>Manual UI - Hiển thị Top 10 sản phẩm bán chạy</t>
  </si>
  <si>
    <t>1. Vào trang Báo cáo thống kê.
2. Cuộn xuống bảng Top 10 sản phẩm bán chạy.</t>
  </si>
  <si>
    <t>Bảng Top 10 sản phẩm bán chạy hiển thị đủ tên sản phẩm, tổng số lượng bán và tổng doanh thu.</t>
  </si>
  <si>
    <t>TC75</t>
  </si>
  <si>
    <t>Manual UI - Kiểm tra thứ tự Top sản phẩm bán chạy</t>
  </si>
  <si>
    <t>1. Quan sát bảng Top 10 sản phẩm bán chạy.
2. So sánh cột Tổng số lượng bán theo từng dòng.</t>
  </si>
  <si>
    <t>Sản phẩm được sắp xếp giảm dần theo tổng số lượng bán.</t>
  </si>
  <si>
    <t>TC76</t>
  </si>
  <si>
    <t>Manual UI - Bộ lọc ngày trên trang báo cáo</t>
  </si>
  <si>
    <t>1. Vào trang Báo cáo thống kê.
2. Chọn Từ ngày và Đến ngày hợp lệ.
3. Bấm Xem báo cáo.</t>
  </si>
  <si>
    <t>Trang cập nhật số liệu báo cáo theo khoảng ngày đã chọn và không phát sinh lỗi giao diện.</t>
  </si>
  <si>
    <t>TC77</t>
  </si>
  <si>
    <t>Manual UI - Không cho chọn ngày tương lai</t>
  </si>
  <si>
    <t>1. Mở bộ chọn ngày ở trường Từ ngày hoặc Đến ngày.
2. Thử chọn ngày lớn hơn ngày hiện tại.</t>
  </si>
  <si>
    <t>Date picker không cho chọn ngày tương lai hoặc hệ thống chặn thao tác chọn ngày không hợp lệ.</t>
  </si>
  <si>
    <t>TC78</t>
  </si>
  <si>
    <t>Manual UI - Dashboard quản trị hiển thị tồn kho tổng quan</t>
  </si>
  <si>
    <t>1. Vào /Admin/QuanTriAdmin.
2. Quan sát các thẻ Tổng sản phẩm, Sản phẩm còn hàng, Sản phẩm hết hàng.</t>
  </si>
  <si>
    <t>Dashboard hiển thị đầy đủ số lượng tổng sản phẩm, còn hàng và hết hàng.</t>
  </si>
  <si>
    <t>TC79</t>
  </si>
  <si>
    <t>Manual UI - Hiển thị Top 5 sản phẩm điểm cao</t>
  </si>
  <si>
    <t>1. Vào /Admin/QuanTriAdmin.
2. Xem bảng Top 5 Sản Phẩm Điểm Cao.</t>
  </si>
  <si>
    <t>Bảng hiển thị mã SP, tên SP, giá bán, số lượng tồn và điểm TB.</t>
  </si>
  <si>
    <t>TC80</t>
  </si>
  <si>
    <t>Manual UI - Điều hướng từ dashboard sang quản lý sản phẩm</t>
  </si>
  <si>
    <t>1. Vào /Admin/QuanTriAdmin.
2. Bấm nút Quản Lý Sản Phẩm.</t>
  </si>
  <si>
    <t>Hệ thống chuyển đến trang quản lý sản phẩm đúng chức năng, không lỗi 404/500.</t>
  </si>
  <si>
    <t>System Name：</t>
  </si>
  <si>
    <t>Module Code：</t>
  </si>
  <si>
    <t>PM01 - Quản lý Sản phẩm</t>
  </si>
  <si>
    <t>Thành viên 2 - Quản lý Sản phẩm (Thêm, Sửa, Xóa, Tìm kiếm, Xem)</t>
  </si>
  <si>
    <t>By:Lê Thị Tuyết Nhi</t>
  </si>
  <si>
    <t>1. Thêm sản phẩm (Add Product)</t>
  </si>
  <si>
    <t>POSTMAN
 Nguyễn Thị Thùy Dương</t>
  </si>
  <si>
    <t>Thêm sản phẩm với đầy đủ thông tin hợp lệ</t>
  </si>
  <si>
    <t>1. Đăng nhập =&gt;Admin.
2. Vào mục Quản lý Sản phẩm =&gt; Thêm sản phẩm.
3. Nhập đầy đủ: Tên='Áo thun trắng', Giá=150000, Số lượng tồn=50,Màu sắc='Xanh navi', Kích thước='M', Phân loại='Nữ', Chọn ảnh hợp lệ, Danh mục='Áo thun', Nhà cung cấp='Công ty A', Mô tả='Áo thun cotton 100%'.
4. Nhấn 'Lưu'.</t>
  </si>
  <si>
    <t>Sản phẩm được tạo thành công, xuất hiện trong danh sách sản phẩm.</t>
  </si>
  <si>
    <t>Lê Thị Tuyết Nhi</t>
  </si>
  <si>
    <t>Thêm sản phẩm khi bỏ trống tên sản phẩm</t>
  </si>
  <si>
    <t>1. Đăng nhập =&gt; Admin.
2. Vào Thêm sản phẩm.
3. Để trống trường Tên sản phẩm, điền đầy đủ các trường còn lại.
4. Nhấn 'Lưu'.</t>
  </si>
  <si>
    <t>Hệ thống hiển thị thông báo lỗi 'Error.
An error occurred while processing your request.'. Không lưu sản phẩm.</t>
  </si>
  <si>
    <t>Thêm sản phẩm khi bỏ trống giá</t>
  </si>
  <si>
    <t>1. Đăng nhập =&gt; Admin.
2. Vào Thêm sản phẩm.
3. Để trống trường giá của sản phẩm, điền đầy đủ các trường còn lại.
4. Nhấn 'Lưu'.</t>
  </si>
  <si>
    <t>Hệ thống hiển thị thông báo lỗi 'The GIABAN field is required.'. Không lưu sản phẩm.</t>
  </si>
  <si>
    <t>Thêm sản phẩm với giá âm</t>
  </si>
  <si>
    <t>1. Đăng nhập Admin.
2. Vào Thêm sản phẩm.
3. Nhập Giá = -50000.
4. Nhấn 'Lưu'.</t>
  </si>
  <si>
    <t>Hệ thống báo lỗi 'Value must be greater than or equal to 0.'. Không lưu sản phẩm.</t>
  </si>
  <si>
    <t>Thêm sản phẩm với giá = 0</t>
  </si>
  <si>
    <t>1. Đăng nhập Admin.
2. Vào Thêm sản phẩm.
3. Nhập Giá = 0.
4. Nhấn 'Lưu'.</t>
  </si>
  <si>
    <t>Thêm sản phẩm bỏ số lượng tồn</t>
  </si>
  <si>
    <t>1. Đăng nhập Admin.
2. Vào Thêm sản phẩm.
3. Bỏ trống Trường số lượng tồn, nhập đầy đủ các thông tin còn lại.
4. Nhấn 'Lưu'.</t>
  </si>
  <si>
    <t>Thêm sản phẩm với số lượng tồn âm</t>
  </si>
  <si>
    <t>1. Đăng nhập Admin.
2. Vào Thêm sản phẩm.
3. Nhập Số lượng = -10.
4. Nhấn 'Lưu'.</t>
  </si>
  <si>
    <t>Thêm sản phẩm với số lượng tồn = 0</t>
  </si>
  <si>
    <t>1. Đăng nhập Admin.
2. Vào Thêm sản phẩm.
3. Nhập Số lượng = 0.
4. Nhấn 'Lưu'.</t>
  </si>
  <si>
    <t>Sản phẩm được lưu thành công với trạng thái 'Sản phẩm này hiện đã hết hàng'.</t>
  </si>
  <si>
    <t>Thêm sản phẩm khi bỏ trống màu sắc</t>
  </si>
  <si>
    <t>1. Đăng nhập =&gt; Admin.
2. Vào Thêm sản phẩm.
3. Để trống trường Màu sắc, điền đầy đủ các trường còn lại.
4. Nhấn 'Lưu'.</t>
  </si>
  <si>
    <t>Thêm sản phẩm khi bỏ trống kích tthước</t>
  </si>
  <si>
    <t>1. Đăng nhập =&gt; Admin.
2. Vào Thêm sản phẩm.
3. Để trống trường Kích thước, điền đầy đủ các trường còn lại.
4. Nhấn 'Lưu'.</t>
  </si>
  <si>
    <t>Thêm sản phẩm với kích thước là một con số (12)</t>
  </si>
  <si>
    <t>1. Đăng nhập =&gt; Admin.
2. Vào Thêm sản phẩm.
3. Để trống trường Kích thước=12, điền đầy đủ các trường còn lại.
4. Nhấn 'Lưu'.</t>
  </si>
  <si>
    <t>Thêm sản phẩm khi bỏ trống phân loại</t>
  </si>
  <si>
    <t>1. Đăng nhập =&gt; Admin.
2. Vào Thêm sản phẩm.
3. Để trống trường Phân loại, điền đầy đủ các trường còn lại.
4. Nhấn 'Lưu'.</t>
  </si>
  <si>
    <t>Thêm sản phẩm với phân loại là một con số (44)</t>
  </si>
  <si>
    <t>1. Đăng nhập =&gt; Admin.
2. Vào Thêm sản phẩm.
3. Để trống trường Phân loại=44, điền đầy đủ các trường còn lại.
4. Nhấn 'Lưu'.</t>
  </si>
  <si>
    <t>Thêm sản phẩm không chọn danh mục</t>
  </si>
  <si>
    <t>1. Đăng nhập Admin.
2. Vào Thêm sản phẩm.
3. Không chọn danh mục, nhập đầy đủ các trường còn lại.
4. Nhấn 'Lưu'.</t>
  </si>
  <si>
    <t>Hệ thống báo lỗi 'Error.
An error occurred while processing your request.'. Không lưu sản phẩm.</t>
  </si>
  <si>
    <t>Thêm sản phẩm không có mô tả</t>
  </si>
  <si>
    <t>1. Đăng nhập Admin.
2. Vào Thêm sản phẩm.
3. Không chọn hình ảnh, nhập đầy đủ các trường còn lại.
4. Nhấn 'Lưu'.</t>
  </si>
  <si>
    <t>Sản phẩm không có hình ảnh được tạo thành công, xuất hiện trong danh sách sản phẩm.</t>
  </si>
  <si>
    <t>Thêm sản phẩm với tên trùng lặp</t>
  </si>
  <si>
    <t>1. Đăng nhập Admin.
2. Vào Thêm sản phẩm.
3. Nhập tên sản phẩm đã tồn tại trong hệ thống.
4. Nhấn 'Lưu'.</t>
  </si>
  <si>
    <t>Thêm sản phẩm với ảnh sai định dạng (PDF)</t>
  </si>
  <si>
    <t>1. Đăng nhập Admin.
2. Vào Thêm sản phẩm.
3. Upload file .pdf làm ảnh sản phẩm.
4. Nhấn 'Lưu'.</t>
  </si>
  <si>
    <t>Thêm sản phẩm với ảnh quá dung lượng cho phép</t>
  </si>
  <si>
    <t>1. Đăng nhập Admin.
2. Vào Thêm sản phẩm.
3. Upload ảnh có kích thước &gt; 5MB.
4. Nhấn 'Lưu'.</t>
  </si>
  <si>
    <t>Thêm sản phẩm không chọn nhà cung cấp</t>
  </si>
  <si>
    <t>1. Đăng nhập Admin.
2. Vào Thêm sản phẩm.
3. Không chọn nhà cung cấp, nhập đầy đủ các trường còn lại.
4. Nhấn 'Lưu'.</t>
  </si>
  <si>
    <t>Thêm sản phẩm với giá nhập chữ thay vì số</t>
  </si>
  <si>
    <t>1. Đăng nhập Admin.
2. Vào Thêm sản phẩm.
3. Nhập Giá = 'abc'.
4. Nhấn 'Lưu'.</t>
  </si>
  <si>
    <t>Hệ thống chỉ cho nhập số không cho nhập chữ.</t>
  </si>
  <si>
    <t>Thêm sản phẩm với tên vượt quá độ dài tối đa</t>
  </si>
  <si>
    <t>1. Đăng nhập Admin.
2. Vào Thêm sản phẩm.
3. Nhập tên sản phẩm dài 500 ký tự.
4. Nhấn 'Lưu'.</t>
  </si>
  <si>
    <t>Thêm sản phẩm với giá rất lớn (999,999,999)</t>
  </si>
  <si>
    <t>1. Đăng nhập Admin.
2. Vào Thêm sản phẩm.
3. Nhập Giá = 999999999.
4. Nhấn 'Lưu'.</t>
  </si>
  <si>
    <t>Hệ thống báo lỗi 'Please enter the valid are 999999000 and 1000000000.'. Không lưu sản phẩm.</t>
  </si>
  <si>
    <t>UNIT TEST
 Nguyễn Thị Thùy Dương</t>
  </si>
  <si>
    <t>TC023</t>
  </si>
  <si>
    <t>TC024</t>
  </si>
  <si>
    <t>TC025</t>
  </si>
  <si>
    <t>TC026</t>
  </si>
  <si>
    <t>TC027</t>
  </si>
  <si>
    <t>TC028</t>
  </si>
  <si>
    <t>TC029</t>
  </si>
  <si>
    <t>TC030</t>
  </si>
  <si>
    <t>SELENIUM</t>
  </si>
  <si>
    <t>Không thể đăng nhập tài khoản Admin bằng Selenium Test</t>
  </si>
  <si>
    <t>BUG1_Quản lý sản phẩm</t>
  </si>
  <si>
    <t>BUG2_Quản lý sản phẩm</t>
  </si>
  <si>
    <t>BUG3_Quản lý sản phẩm</t>
  </si>
  <si>
    <t>BUG4_Quản lý sản phẩm</t>
  </si>
  <si>
    <t>BUG5_Quản lý sản phẩm</t>
  </si>
  <si>
    <t>BUG6_Quản lý sản phẩm</t>
  </si>
  <si>
    <t>BUG7_Quản lý sản phẩm</t>
  </si>
  <si>
    <t>BUG8_Quản lý sản phẩm</t>
  </si>
  <si>
    <t>Thêm sản phẩm với số lượng tồn nhập chữ</t>
  </si>
  <si>
    <t>1. Đăng nhập Admin.
2. Vào Thêm sản phẩm.
3. Nhập Số lượng = 'abc'.
4. Nhấn 'Lưu'.</t>
  </si>
  <si>
    <t>BUG9_Quản lý sản phẩm</t>
  </si>
  <si>
    <t>Thêm sản phẩm khi nhập màu sắc là số (123)</t>
  </si>
  <si>
    <t>1. Đăng nhập Admin.
2. Vào Thêm sản phẩm.
3. Ở trường Màu sắc = 123, nhập đầy đủ các trường còn lại.
4. Nhấn 'Lưu'.</t>
  </si>
  <si>
    <t>BUG10_Quản lý sản phẩm</t>
  </si>
  <si>
    <t>BUG11_Quản lý sản phẩm</t>
  </si>
  <si>
    <t>Thêm sản phẩm không có ảnh</t>
  </si>
  <si>
    <t>1. Đăng nhập Admin.
2. Vào Thêm sản phẩm.
3. Điền đầy đủ thông tin nhưng không upload ảnh.
4. Nhấn 'Lưu'.</t>
  </si>
  <si>
    <t>Sản phẩm được lưu không có ảnh.</t>
  </si>
  <si>
    <t>BUG12_Quản lý sản phẩm</t>
  </si>
  <si>
    <t>BUG13_Quản lý sản phẩm</t>
  </si>
  <si>
    <t>Thêm sản phẩm liên tiếp 10 lần</t>
  </si>
  <si>
    <t>1. Đăng nhập Admin.
2. Thực hiện thêm 10 sản phẩm khác nhau liên tiếp không nghỉ.
3. Kiểm tra danh sách.</t>
  </si>
  <si>
    <t>Tất cả 10 sản phẩm được lưu thành công, hệ thống không bị lỗi hay treo.</t>
  </si>
  <si>
    <t>BUG14_Quản lý sản phẩm</t>
  </si>
  <si>
    <t>2. Sửa sản phẩm (Edit Product)</t>
  </si>
  <si>
    <t>POSTMAN</t>
  </si>
  <si>
    <t>Sửa tên sản phẩm hợp lệ</t>
  </si>
  <si>
    <t>1. Đăng nhập Admin.
2. Vào danh sách sản phẩm, chọn sản phẩm cần sửa.
3. Đổi tên thành 'Áo thun đen'.
4. Nhấn 'Cập nhật'.</t>
  </si>
  <si>
    <t>Tên sản phẩm được cập nhật thành công, hiển thị đúng trong danh sách.</t>
  </si>
  <si>
    <t>Sửa giá sản phẩm thành giá hợp lệ</t>
  </si>
  <si>
    <t>1. Đăng nhập Admin.
2. Chọn sản phẩm &gt; Sửa.
3. Đổi Giá = 200000.
4. Nhấn 'Cập nhật'.</t>
  </si>
  <si>
    <t>Giá sản phẩm được cập nhật thành công.</t>
  </si>
  <si>
    <t>Sửa giá sản phẩm thành giá âm</t>
  </si>
  <si>
    <t>1. Đăng nhập Admin.
2. Chọn sản phẩm &gt; Sửa.
3. Đổi Giá = -10000.
4. Nhấn 'Cập nhật'.</t>
  </si>
  <si>
    <t>Hệ thống báo lỗi 'Value must be greater than or equal to 0.'. Không cập nhật sản phẩm.</t>
  </si>
  <si>
    <t>Sửa giá sản phẩm thành chuỗi chữ</t>
  </si>
  <si>
    <t>1. Đăng nhập Admin.
2. Chọn sản phẩm &gt; Sửa.
3. Nhập Giá = 'hai trăm nghìn'.
4. Nhấn 'Cập nhật'.</t>
  </si>
  <si>
    <t>Hệ thống chỉ cho nhập số không có nhập chữ.</t>
  </si>
  <si>
    <t>Sửa số lượng sản phẩm thành chuỗi chữ</t>
  </si>
  <si>
    <t>1. Đăng nhập Admin.
2. Chọn sản phẩm &gt; Sửa.
3. Nhập Số lượng = 'hai trăm'.
4. Nhấn 'Cập nhật'.</t>
  </si>
  <si>
    <t>Hệ thống không cho phép tự ý sửa số lượng tồn.</t>
  </si>
  <si>
    <t>Sửa tên sản phẩm bằng ký tự Unicode đặc biệt</t>
  </si>
  <si>
    <t>1. Đăng nhập Admin.
2. Chọn sản phẩm &gt; Sửa.
3. Nhập Tên = 'Áo thun 😊 #1'.
4. Nhấn 'Cập nhật'.</t>
  </si>
  <si>
    <t>Hệ thống lưu cập nhật thành công, đúng thông tin vào danh sách.</t>
  </si>
  <si>
    <t>UNIT TEST</t>
  </si>
  <si>
    <t>Sửa giá sản phẩm = 0</t>
  </si>
  <si>
    <t>1. Đăng nhập Admin.
2. Chọn sản phẩm &gt; Sửa.
3. Đổi Giá = 0.
4. Nhấn 'Cập nhật'.</t>
  </si>
  <si>
    <t>Hệ thống cập nhật giá sản phẩm thành công.</t>
  </si>
  <si>
    <t>Sửa sản phẩm để trống tên</t>
  </si>
  <si>
    <t>1. Đăng nhập Admin.
2. Chọn sản phẩm &gt; Sửa.
3. Xóa hết nội dung trường Tên.
4. Nhấn 'Cập nhật'.</t>
  </si>
  <si>
    <t>Hệ thống báo lỗi 'Error.
An error occurred while processing your request.'. Không cập nhật sản phẩm.</t>
  </si>
  <si>
    <t>Sửa phân loại sản phẩm với chữ số</t>
  </si>
  <si>
    <t>1. Đăng nhập Admin.
2. Chọn sản phẩm &gt; Sửa.
3. Cập nhật Phân loại = '111'.
4. Nhấn 'Cập nhật'.</t>
  </si>
  <si>
    <t>BUG15_Quản lý sản phẩm</t>
  </si>
  <si>
    <t>BUG16_Quản lý sản phẩm</t>
  </si>
  <si>
    <t>BUG17_Quản lý sản phẩm</t>
  </si>
  <si>
    <t>BUG18_Quản lý sản phẩm</t>
  </si>
  <si>
    <t>Sửa số lượng tồn sản phẩm hợp lệ</t>
  </si>
  <si>
    <t>1. Đăng nhập Admin.
2. Chọn sản phẩm &gt; Sửa.
3. Đổi Số lượng tồn = 100.
4. Nhấn 'Cập nhật'.</t>
  </si>
  <si>
    <t>BUG19_Quản lý sản phẩm</t>
  </si>
  <si>
    <t>Sửa số lượng tồn sản phẩm thành số âm</t>
  </si>
  <si>
    <t>1. Đăng nhập Admin.
2. Chọn sản phẩm &gt; Sửa.
3. Đổi Số lượng tồn= 0.
4. Nhấn 'Cập nhật'.</t>
  </si>
  <si>
    <t>BUG20_Quản lý sản phẩm</t>
  </si>
  <si>
    <t>BUG21_Quản lý sản phẩm</t>
  </si>
  <si>
    <t>Sửa mô tả sản phẩm</t>
  </si>
  <si>
    <t>1. Đăng nhập Admin.
2. Chọn sản phẩm &gt; Sửa.
3. Cập nhật Mô tả = 'Sản phẩm chất lượng cao, bảo hành 12 tháng'.
4. Nhấn 'Cập nhật'.</t>
  </si>
  <si>
    <t>Mô tả sản phẩm được cập nhật thành công.</t>
  </si>
  <si>
    <t>BUG22_Quản lý sản phẩm</t>
  </si>
  <si>
    <t>Sửa phân loại sản phẩm hợp lệ</t>
  </si>
  <si>
    <t>1. Đăng nhập Admin.
2. Chọn sản phẩm &gt; Sửa.
3. Cập nhật Phân loại = 'Nữ'.
4. Nhấn 'Cập nhật'.</t>
  </si>
  <si>
    <t>Phân loại được cập nhật thành công, hiển thị đúng trong danh sách.</t>
  </si>
  <si>
    <t>BUG23_Quản lý sản phẩm</t>
  </si>
  <si>
    <t>BUG24_Quản lý sản phẩm</t>
  </si>
  <si>
    <t>Sửa danh mục sản phẩm</t>
  </si>
  <si>
    <t>1. Đăng nhập Admin.
2. Chọn sản phẩm &gt; Sửa.
3. Đổi danh mục sang loại khác.
4. Nhấn 'Cập nhật'.</t>
  </si>
  <si>
    <t>Danh mục sản phẩm được cập nhật, sản phẩm xuất hiện đúng danh mục mới.</t>
  </si>
  <si>
    <t>BUG25_Quản lý sản phẩm</t>
  </si>
  <si>
    <t>Sửa nhà cung cấp sản phẩm</t>
  </si>
  <si>
    <t>1. Đăng nhập Admin.
2. Chọn sản phẩm &gt; Sửa.
3. Đổi nhà cung cấp sang loại khác.
4. Nhấn 'Cập nhật'.</t>
  </si>
  <si>
    <t>Công ty cung cấp sản phẩm được cập nhật, sản phẩm xuất hiện đúng công ty cung cấp mới.</t>
  </si>
  <si>
    <t>BUG26_Quản lý sản phẩm</t>
  </si>
  <si>
    <t>Sửa ảnh sản phẩm bằng ảnh hợp lệ</t>
  </si>
  <si>
    <t>1. Đăng nhập Admin.
2. Chọn sản phẩm &gt; Sửa.
3. Thay ảnh cũ bằng ảnh PNG mới (&lt; 2MB).
4. Nhấn 'Cập nhật'.</t>
  </si>
  <si>
    <t>Ảnh sản phẩm được thay thế thành công, hiển thị ảnh mới.</t>
  </si>
  <si>
    <t>BUG27_Quản lý sản phẩm</t>
  </si>
  <si>
    <t>Sửa sản phẩm nhấn Quay lại không lưu</t>
  </si>
  <si>
    <t>1. Đăng nhập Admin.
2. Chọn sản phẩm &gt; Sửa.
3. Thay đổi một số trường.
4. Nhấn 'Quay lại' thay vì Cập nhật.</t>
  </si>
  <si>
    <t>Hệ thống không lưu thay đổi, sản phẩm giữ nguyên thông tin cũ.</t>
  </si>
  <si>
    <t>BUG28_Quản lý sản phẩm</t>
  </si>
  <si>
    <t>BUG29_Quản lý sản phẩm</t>
  </si>
  <si>
    <t>BUG30_Quản lý sản phẩm</t>
  </si>
  <si>
    <t>BUG31_Quản lý sản phẩm</t>
  </si>
  <si>
    <t>Sửa sản phẩm không bấm 'Cập nhật'</t>
  </si>
  <si>
    <t>1. Đăng nhập Admin.
2. Nhấn 'Sửa' sản phẩm.
3. Cập nhật các thông tin sản phẩm.
4. Nhấn 'Quay lại'.</t>
  </si>
  <si>
    <t>Hệ thống không cập nhật sản phẩm, sản phẩm giữ thông tin cũ.</t>
  </si>
  <si>
    <t>BUG32_Quản lý sản phẩm</t>
  </si>
  <si>
    <t>Sửa nhiều sản phẩm liên tiếp</t>
  </si>
  <si>
    <t>1. Đăng nhập Admin.
2. Sửa 5 sản phẩm khác nhau liên tiếp, mỗi lần thay đổi tên và giá.
3. Kiểm tra lại danh sách.</t>
  </si>
  <si>
    <t>Tất cả 5 sản phẩm được cập nhật đúng, hệ thống không bị lỗi.</t>
  </si>
  <si>
    <t>BUG33_Quản lý sản phẩm</t>
  </si>
  <si>
    <t>3. Xóa sản phẩm (Delete Product)</t>
  </si>
  <si>
    <t>Xóa sản phẩm không có trong đơn hàng nào</t>
  </si>
  <si>
    <t>1. Đăng nhập Admin.
2. Chọn sản phẩm chưa có đơn hàng nào.
3. Nhấn 'Xóa' &gt; Xác nhận 'OK'.</t>
  </si>
  <si>
    <t>Sản phẩm bị xóa thành công, không còn xuất hiện trong danh sách.</t>
  </si>
  <si>
    <t>Xóa sản phẩm có trong đơn hàng</t>
  </si>
  <si>
    <t>Hệ thống thông báo 'Sản phẩm đã có đơn hàng --&gt; chỉ được ẩn'.Sản phẩm xóa không thành công.</t>
  </si>
  <si>
    <t>Xóa sản phẩm đã hết hàng, không ở trong đơn hàng nào.</t>
  </si>
  <si>
    <t>1. Đăng nhập Admin.
2. Chọn sản phẩm có số lượng = 0.
3. Nhấn 'Xóa' &gt; Xác nhận 'OK'.</t>
  </si>
  <si>
    <t>Sản phẩm bị xóa thành công.</t>
  </si>
  <si>
    <t>Xóa sản phẩm đã hết hàng, có trong đơn hàng</t>
  </si>
  <si>
    <t>Xóa sản phẩm và kiểm tra dữ liệu lịch sử</t>
  </si>
  <si>
    <t>1. Admin xóa sản phẩm đã có lịch sử bán hàng.
2. Kiểm tra báo cáo doanh thu cũ.</t>
  </si>
  <si>
    <t>Dữ liệu lịch sử (đơn hàng cũ) vẫn còn nguyên, không bị ảnh hưởng bởi việc xóa sản phẩm.</t>
  </si>
  <si>
    <t>TC81</t>
  </si>
  <si>
    <t>TC82</t>
  </si>
  <si>
    <t>BUG34_Quản lý sản phẩm</t>
  </si>
  <si>
    <t>TC83</t>
  </si>
  <si>
    <t>Xóa sản phẩm và kiểm tra xác nhận</t>
  </si>
  <si>
    <t>1. Đăng nhập Admin.
2. Nhấn 'Xóa' sản phẩm.
3. Hộp thoại xác nhận hiện ra.
4. Nhấn 'Cancel'.</t>
  </si>
  <si>
    <t>Hệ thống không xóa sản phẩm, sản phẩm vẫn còn trong danh sách.</t>
  </si>
  <si>
    <t>BUG35_Quản lý sản phẩm</t>
  </si>
  <si>
    <t>TC84</t>
  </si>
  <si>
    <t>BUG36_Quản lý sản phẩm</t>
  </si>
  <si>
    <t>TC85</t>
  </si>
  <si>
    <t>BUG37_Quản lý sản phẩm</t>
  </si>
  <si>
    <t>TC86</t>
  </si>
  <si>
    <t>BUG38_Quản lý sản phẩm</t>
  </si>
  <si>
    <t>TC87</t>
  </si>
  <si>
    <t>Kiểm tra sản phẩm đã xóa không hiển thị ngoài cửa hàng</t>
  </si>
  <si>
    <t>1. Admin xóa 1 sản phẩm.
2. Mở trang cửa hàng phía người dùng.
3. Tìm sản phẩm vừa xóa.</t>
  </si>
  <si>
    <t>Sản phẩm đã xóa không còn hiển thị ở trang người dùng.</t>
  </si>
  <si>
    <t>BUG39_Quản lý sản phẩm</t>
  </si>
  <si>
    <t>JMETER</t>
  </si>
  <si>
    <t>TC88</t>
  </si>
  <si>
    <t>Xóa liên tiếp 20 sản phẩm (kiểm thử bền bỉ)</t>
  </si>
  <si>
    <t>1. Đăng nhập Admin.
2. Thêm 20 sản phẩm test.
3. Xóa lần lượt từng sản phẩm một.
4. Kiểm tra hệ thống sau khi xóa xong.</t>
  </si>
  <si>
    <t>Tất cả 20 sản phẩm được xóa thành công, hệ thống không bị chậm hay lỗi.</t>
  </si>
  <si>
    <t>Dữ liệu IP sản phâm trong file CSV có những dữ liệu không tồn tại (do đã xóa ở những lần test trước) dẫn đến hàm test lỗi</t>
  </si>
  <si>
    <t>BUG40_Quản lý sản phẩm</t>
  </si>
  <si>
    <t>4. Tìm kiếm sản phẩm (Search Product)</t>
  </si>
  <si>
    <t>TC89</t>
  </si>
  <si>
    <t>Tìm kiếm sản phẩm bằng tên chính xác</t>
  </si>
  <si>
    <t>1. Đăng nhập Admin.
2. Vào trang Quản lý sản phẩm.
3. Nhập tên chính xác vào ô tìm kiếm.
4. Nhấn 'Tìm'.</t>
  </si>
  <si>
    <t>Hiển thị đúng sản phẩm có tên khớp với từ khóa.</t>
  </si>
  <si>
    <t>TC90</t>
  </si>
  <si>
    <t>Tìm kiếm sản phẩm bằng từ khóa một phần (partial search)</t>
  </si>
  <si>
    <t>1. Đăng nhập Admin.
2. Nhập một phần tên sản phẩm (vd: 'Áo') vào ô tìm kiếm.
3. Nhấn 'Tìm'.</t>
  </si>
  <si>
    <t>Hiển thị tất cả sản phẩm có tên chứa từ khóa 'Áo'.</t>
  </si>
  <si>
    <t>TC91</t>
  </si>
  <si>
    <t>Tìm kiếm sản phẩm không tồn tại</t>
  </si>
  <si>
    <t>1. Đăng nhập Admin.
2. Nhập từ khóa không khớp bất kỳ sản phẩm nào.
3. Nhấn 'Tìm'.</t>
  </si>
  <si>
    <t>Hiển thị thông báo 'Không tìm thấy sản phẩm nào' và danh sách trống.</t>
  </si>
  <si>
    <t>TC92</t>
  </si>
  <si>
    <t>Tìm kiếm sản phẩm với ô tìm kiếm trống</t>
  </si>
  <si>
    <t>1. Đăng nhập Admin.
2. Để trống ô tìm kiếm.
3. Nhấn 'Tìm'.</t>
  </si>
  <si>
    <t>Hiển thị toàn bộ danh sách sản phẩm.</t>
  </si>
  <si>
    <t>TC93</t>
  </si>
  <si>
    <t>Tìm kiếm sản phẩm theo danh mục</t>
  </si>
  <si>
    <t>1. Đăng nhập Admin.
2. Chọn bộ lọc Danh mục = 'Quần'.
3. Nhấn 'Tìm'.</t>
  </si>
  <si>
    <t>Chỉ hiển thị các sản phẩm thuộc danh mục 'Quần'.</t>
  </si>
  <si>
    <t>TC94</t>
  </si>
  <si>
    <t>Tìm kiếm kết hợp từ khóa và danh mục</t>
  </si>
  <si>
    <t>1. Đăng nhập Admin.
2. Nhập từ khóa 'Áo', chọn danh mục 'Áo nam'.
3. Nhấn 'Tìm'.</t>
  </si>
  <si>
    <t>Hiển thị sản phẩm có tên chứa 'Áo' VÀ thuộc danh mục 'Áo nam'.</t>
  </si>
  <si>
    <t>TC95</t>
  </si>
  <si>
    <t>Tìm kiếm sản phẩm không phân biệt chữ hoa/thường</t>
  </si>
  <si>
    <t>1. Đăng nhập Admin.
2. Nhập 'ÁO THUN' (chữ hoa).
3. Nhấn 'Tìm'.</t>
  </si>
  <si>
    <t>Hiển thị kết quả tương tự như khi nhập 'áo thun' hoặc 'Áo Thun'.</t>
  </si>
  <si>
    <t>TC96</t>
  </si>
  <si>
    <t>Tìm kiếm sản phẩm với ký tự đặc biệt</t>
  </si>
  <si>
    <t>1. Đăng nhập Admin.
2. Nhập '!@#$%' vào ô tìm kiếm.
3. Nhấn 'Tìm'.</t>
  </si>
  <si>
    <t>Hệ thống xử lý an toàn, hiển thị 'Không tìm thấy sản phẩm'.</t>
  </si>
  <si>
    <t>TC97</t>
  </si>
  <si>
    <t>Tìm kiếm sản phẩm theo Mã sản phẩm</t>
  </si>
  <si>
    <t>1. Đăng nhập Admin.
2. Nhập Mã sản phẩm cụ thể vào ô tìm kiếm.
3. Nhấn 'Tìm kiếm'.</t>
  </si>
  <si>
    <t>Hiển thị đúng sản phẩm có Mã tương ứng.</t>
  </si>
  <si>
    <t>TC98</t>
  </si>
  <si>
    <t>TC99</t>
  </si>
  <si>
    <t>BUG41_Quản lý sản phẩm</t>
  </si>
  <si>
    <t>TC100</t>
  </si>
  <si>
    <t>BUG42_Quản lý sản phẩm</t>
  </si>
  <si>
    <t>TC101</t>
  </si>
  <si>
    <t>BUG43_Quản lý sản phẩm</t>
  </si>
  <si>
    <t>TC102</t>
  </si>
  <si>
    <t>BUG44_Quản lý sản phẩm</t>
  </si>
  <si>
    <t>TC103</t>
  </si>
  <si>
    <t>BUG45_Quản lý sản phẩm</t>
  </si>
  <si>
    <t>TC104</t>
  </si>
  <si>
    <t>BUG46_Quản lý sản phẩm</t>
  </si>
  <si>
    <t>TC105</t>
  </si>
  <si>
    <t>BUG47_Quản lý sản phẩm</t>
  </si>
  <si>
    <t>TC106</t>
  </si>
  <si>
    <t>BUG48_Quản lý sản phẩm</t>
  </si>
  <si>
    <t>TC107</t>
  </si>
  <si>
    <t>BUG49_Quản lý sản phẩm</t>
  </si>
  <si>
    <t>5. Xem sản phẩm (View Product)</t>
  </si>
  <si>
    <t>TC108</t>
  </si>
  <si>
    <t>Xem danh sách sản phẩm</t>
  </si>
  <si>
    <t>1. Đăng nhập Admin.
2. Nhấn vào Quản lý sản phẩm
3. Xem danh sách sản phẩm.</t>
  </si>
  <si>
    <t>Hiện thị đầy đủ danh sách các sản phẩm</t>
  </si>
  <si>
    <t>BUG50_Quản lý sản phẩm</t>
  </si>
  <si>
    <t>6. Kiểm thử bền bỉ (Endurance/Stress) _Quản lý sản phẩm</t>
  </si>
  <si>
    <t>TC109</t>
  </si>
  <si>
    <t>Kiểm tra tính toàn vẹn dữ liệu sau khi thêm/xóa nhiều lần</t>
  </si>
  <si>
    <t>1. Thêm 20 sản phẩm.
2. Xóa 10 sản phẩm.
3. Sửa 5 sản phẩm còn lại.
4. Kiểm tra toàn bộ danh sách và DB.</t>
  </si>
  <si>
    <t>Dữ liệu trong DB khớp chính xác với hiển thị UI, không có bản ghi orphan hay dữ liệu bị hỏng.</t>
  </si>
  <si>
    <t>TC110</t>
  </si>
  <si>
    <t>TC111</t>
  </si>
  <si>
    <t>BUG51_Quản lý sản phẩm</t>
  </si>
  <si>
    <t>TC112</t>
  </si>
  <si>
    <t>Thêm và xóa sản phẩm liên tiếp 50 lần</t>
  </si>
  <si>
    <t>1. Viết script hoặc thực hiện thủ công: thêm 1 sản phẩm → xóa → lặp lại 50 lần.
2. Theo dõi response time và lỗi phát sinh.</t>
  </si>
  <si>
    <t>Hệ thống xử lý ổn định, không xuất hiện lỗi, thời gian phản hồi không tăng đột biến.</t>
  </si>
  <si>
    <t>BUG52_Quản lý sản phẩm</t>
  </si>
  <si>
    <t>TC113</t>
  </si>
  <si>
    <t>Thêm 100 sản phẩm cùng lúc (batch/import)</t>
  </si>
  <si>
    <t>1. Chuẩn bị file CSV 100 sản phẩm.
2. Sử dụng chức năng Import hàng loạt.
3. Kiểm tra kết quả.</t>
  </si>
  <si>
    <t>Tất cả 100 sản phẩm được import thành công trong thời gian hợp lý (&lt; 30 giây).</t>
  </si>
  <si>
    <t>Hệ thống trang web gặp lỗi khi kết nối với file CSV</t>
  </si>
  <si>
    <t>BUG53_Quản lý sản phẩm</t>
  </si>
  <si>
    <t>TC114</t>
  </si>
  <si>
    <t>Tìm kiếm liên tiếp với nhiều từ khóa khác nhau (20 lần)</t>
  </si>
  <si>
    <t>1. Thực hiện tìm kiếm 20 lần liên tiếp với các từ khóa khác nhau.
2. Ghi lại thời gian phản hồi mỗi lần.</t>
  </si>
  <si>
    <t>Mỗi lần tìm kiếm trả về kết quả chính xác trong &lt; 2 giây, không có kết quả sai lệch.</t>
  </si>
  <si>
    <t>Thời gian phản hồi lớn nhất (Maximum) đạt 2102 ms, vượt quá giới hạn cho phép của đề bài (&lt; 2 giây / 2000 ms).</t>
  </si>
  <si>
    <t>BUG54_Quản lý sản phẩm</t>
  </si>
  <si>
    <t>TC115</t>
  </si>
  <si>
    <t>Sửa đồng thời sản phẩm bởi 2 tài khoản Admin</t>
  </si>
  <si>
    <t>1. Dùng 2 trình duyệt đăng nhập 2 tài khoản Admin.
2. Cả 2 cùng mở trang sửa 1 sản phẩm.
3. Cả 2 lưu thay đổi cùng lúc.</t>
  </si>
  <si>
    <t>Hệ thống xử lý conflict (last-write-wins hoặc báo lỗi xung đột), không mất dữ liệu.</t>
  </si>
  <si>
    <t>Hệ thống chỉ có một tài khoản Admin</t>
  </si>
  <si>
    <t>BUG55_Quản lý sản phẩm</t>
  </si>
  <si>
    <t>TC116</t>
  </si>
  <si>
    <t>Xóa sản phẩm liên tiếp 30 sản phẩm</t>
  </si>
  <si>
    <t>1. Đăng nhập Admin.
2. Tạo sẵn 30 sản phẩm test.
3. Xóa từng sản phẩm một, liên tục không nghỉ.
4. Kiểm tra hệ thống.</t>
  </si>
  <si>
    <t>Tất cả 30 sản phẩm xóa thành công, danh sách cập nhật đúng, không lỗi bộ nhớ.</t>
  </si>
  <si>
    <t>BUG56_Quản lý sản phẩm</t>
  </si>
  <si>
    <t>TC117</t>
  </si>
  <si>
    <t>Kiểm tra hiệu năng tải trang danh sách sản phẩm với 1000 bản ghi</t>
  </si>
  <si>
    <t>1. Thêm 1000 sản phẩm vào hệ thống.
2. Truy cập trang Quản lý Sản phẩm.
3. Đo thời gian load.</t>
  </si>
  <si>
    <t>Trang tải trong &lt; 3 giây, phân trang hoạt động đúng.</t>
  </si>
  <si>
    <t>Khi có 10 người dùng truy cập liên tục, trang Quản lý sản phẩm bị quá tải, thời gian phản hồi vượt quá 3000ms hoặc server trả về lỗi 503 Service Unavailable.</t>
  </si>
  <si>
    <t>BUG57_Quản lý sản phẩm</t>
  </si>
  <si>
    <t>TC118</t>
  </si>
  <si>
    <t>Thêm sản phẩm với ảnh liên tiếp nhiều lần (stress upload)</t>
  </si>
  <si>
    <t>1. Thực hiện upload ảnh cho 20 sản phẩm liên tiếp.
2. Mỗi ảnh có kích thước ~2MB.
3. Kiểm tra server.</t>
  </si>
  <si>
    <t>Tất cả ảnh được upload thành công, server không bị quá tải, ảnh hiển thị đúng.</t>
  </si>
  <si>
    <t>Trang web chưa được cấu hình để xử lý các tệp lớn (~2MB) liên tục, gây lỗi quá tải request body (Maximum request length exceeded).</t>
  </si>
  <si>
    <t>BUG58_Quản lý sản phẩm</t>
  </si>
  <si>
    <t>CR200 - Shopping Cart / Gio Hang</t>
  </si>
  <si>
    <t>CR6 - Shopping cart validation, automation, performance, reliability, manual UX</t>
  </si>
  <si>
    <t>By: Hồ Chí Dũng</t>
  </si>
  <si>
    <t>1. UNIT TEST CASES - CartService / InventoryValidationService / PriceCalculationService</t>
  </si>
  <si>
    <t>Unit Test - Thêm sản phẩm hợp lệ vào giỏ hàng</t>
  </si>
  <si>
    <t>1. Khởi tạo CartService.
2. Tạo productId=101, quantity=1, price=250000.
3. Gọi AddItem().
4. Kiểm tra danh sách giỏ hàng.</t>
  </si>
  <si>
    <t>Giỏ hàng có 1 item, đúng productId, quantity và price.</t>
  </si>
  <si>
    <t>CartService.AddItem</t>
  </si>
  <si>
    <t>Hồ Chí Dũng</t>
  </si>
  <si>
    <t>Unit Test - Thêm sản phẩm đã tồn tại thì cộng dồn số lượng</t>
  </si>
  <si>
    <t>1. Giỏ hàng đã có productId=101 quantity=1.
2. Thêm lại productId=101 quantity=2.
3. Kiểm tra quantity sau khi thêm.</t>
  </si>
  <si>
    <t>Quantity của sản phẩm trong giỏ = 3, không tạo dòng trùng.</t>
  </si>
  <si>
    <t>Unit Test - Xóa sản phẩm khỏi giỏ hàng</t>
  </si>
  <si>
    <t>1. Giỏ hàng có productId=101.
2. Gọi RemoveItem(101).
3. Kiểm tra danh sách giỏ hàng.</t>
  </si>
  <si>
    <t>Sản phẩm bị xóa khỏi giỏ, số item giảm đúng.</t>
  </si>
  <si>
    <t>CartService.RemoveItem</t>
  </si>
  <si>
    <t>Unit Test - Cập nhật số lượng sản phẩm hợp lệ</t>
  </si>
  <si>
    <t>1. Giỏ hàng có productId=101 quantity=1.
2. Gọi UpdateQuantity(101,3).
3. Kiểm tra quantity.</t>
  </si>
  <si>
    <t>Quantity được cập nhật thành 3.</t>
  </si>
  <si>
    <t>CartService.UpdateQuantity</t>
  </si>
  <si>
    <t>Unit Test - Không cho cập nhật số lượng bằng 0</t>
  </si>
  <si>
    <t>1. Giỏ hàng có productId=101.
2. Gọi UpdateQuantity(101,0).
3. Kiểm tra exception/message.</t>
  </si>
  <si>
    <t>Hệ thống trả lỗi hoặc không cho cập nhật quantity = 0.</t>
  </si>
  <si>
    <t>InventoryValidationService</t>
  </si>
  <si>
    <t>Unit Test - Không cho cập nhật số lượng âm</t>
  </si>
  <si>
    <t>1. Giỏ hàng có productId=101.
2. Gọi UpdateQuantity(101,-1).
3. Kiểm tra exception/message.</t>
  </si>
  <si>
    <t>Hệ thống trả lỗi số lượng không hợp lệ.</t>
  </si>
  <si>
    <t>Unit Test - Không cho số lượng vượt tồn kho</t>
  </si>
  <si>
    <t>1. Product stock=5.
2. Gọi AddItem(productId=101, quantity=10).
3. Kiểm tra kết quả validate.</t>
  </si>
  <si>
    <t>Hệ thống trả lỗi số lượng vượt tồn kho.</t>
  </si>
  <si>
    <t>Unit Test - Tính tổng tiền giỏ hàng</t>
  </si>
  <si>
    <t>1. Tạo 2 item: 250000x2 và 150000x1.
2. Gọi CalculateTotal().
3. So sánh tổng tiền.</t>
  </si>
  <si>
    <t>Tổng tiền = 650000.</t>
  </si>
  <si>
    <t>PriceCalculationService.CalculateTotal</t>
  </si>
  <si>
    <t>Unit Test - Tính tổng số lượng sản phẩm</t>
  </si>
  <si>
    <t>1. Tạo giỏ hàng có quantity 2,3,1.
2. Gọi CountTotalQuantity().
3. Kiểm tra kết quả.</t>
  </si>
  <si>
    <t>Tổng số lượng sản phẩm = 6.</t>
  </si>
  <si>
    <t>CartService.CountTotalQuantity</t>
  </si>
  <si>
    <t>Unit Test - Giỏ hàng rỗng trả về tổng tiền 0</t>
  </si>
  <si>
    <t>1. Khởi tạo giỏ hàng rỗng.
2. Gọi CalculateTotal().
3. Kiểm tra kết quả.</t>
  </si>
  <si>
    <t>Tổng tiền = 0, không phát sinh exception.</t>
  </si>
  <si>
    <t>PriceCalculationService</t>
  </si>
  <si>
    <t>Unit Test - Xóa sản phẩm cuối cùng làm giỏ hàng rỗng</t>
  </si>
  <si>
    <t>1. Giỏ hàng chỉ có 1 sản phẩm.
2. Gọi RemoveItem().
3. Kiểm tra trạng thái giỏ hàng.</t>
  </si>
  <si>
    <t>Giỏ hàng rỗng, tổng tiền = 0.</t>
  </si>
  <si>
    <t>Unit Test - Không cho thêm sản phẩm hết hàng</t>
  </si>
  <si>
    <t>1. Product stock=0.
2. Gọi AddItem(productId=101, quantity=1).
3. Kiểm tra validate.</t>
  </si>
  <si>
    <t>Hệ thống trả lỗi sản phẩm hết hàng.</t>
  </si>
  <si>
    <t>Unit Test - CartService xử lý lỗi database</t>
  </si>
  <si>
    <t>1. Mock repository ném exception.
2. Gọi AddItem().
3. Kiểm tra xử lý lỗi.</t>
  </si>
  <si>
    <t>Hệ thống bắt lỗi và trả thông báo phù hợp, không crash.</t>
  </si>
  <si>
    <t>CartRepository/FakeRepository</t>
  </si>
  <si>
    <t>Unit Test - Large cart dataset 10.000 item</t>
  </si>
  <si>
    <t>1. Tạo 10.000 cart item.
2. Gọi CalculateTotal().
3. Đo thời gian xử lý.</t>
  </si>
  <si>
    <t>Performance logic unit</t>
  </si>
  <si>
    <t>Unit Test - Tổng tiền chính xác sau nhiều lần cập nhật</t>
  </si>
  <si>
    <t>1. Thêm sản phẩm.
2. Cập nhật quantity nhiều lần.
3. Gọi CalculateTotal().</t>
  </si>
  <si>
    <t>Tổng tiền cuối cùng đúng theo quantity mới nhất.</t>
  </si>
  <si>
    <t>2. POSTMAN API/MVC TEST CASES - Cart endpoints / MVC routes</t>
  </si>
  <si>
    <t>Postman/MVC - Xem giỏ hàng hợp lệ</t>
  </si>
  <si>
    <t>1. Đăng nhập tài khoản hợp lệ.
2. Gửi GET /GioHang hoặc route giỏ hàng thực tế.
3. Kiểm tra status và body response.</t>
  </si>
  <si>
    <t>Status 200, trang/response giỏ hàng hiển thị danh sách sản phẩm.</t>
  </si>
  <si>
    <t>Nếu website dùng MVC route, thay endpoint theo Network.</t>
  </si>
  <si>
    <t>Postman/API - Thêm sản phẩm vào giỏ hàng hợp lệ</t>
  </si>
  <si>
    <t>1. Gửi POST /api/cart/add hoặc route thực tế.
2. Body có productId=101, quantity=1.
3. Kiểm tra response.</t>
  </si>
  <si>
    <t>Status 200/302, sản phẩm được thêm vào giỏ.</t>
  </si>
  <si>
    <t>Endpoint giả định, cần chỉnh theo source/Network.</t>
  </si>
  <si>
    <t>Postman/API - Thiếu productId khi thêm giỏ hàng</t>
  </si>
  <si>
    <t>1. Gửi request add cart không có productId.
2. Có quantity=1.
3. Kiểm tra status/message.</t>
  </si>
  <si>
    <t>Status 400 hoặc trả thông báo thiếu productId.</t>
  </si>
  <si>
    <t>Lỗi nghiêm trọng. Hệ thống đang thiếu Validate dữ liệu ở tầng Backend. Đề xuất Dev phải bổ sung kiểm tra đầu vào trước khi lưu xuống Database để tránh thất thoát số lượng</t>
  </si>
  <si>
    <t>BUG1_Chức năng giỏ hàng</t>
  </si>
  <si>
    <t>Postman/API - Quantity không hợp lệ bằng 0</t>
  </si>
  <si>
    <t>1. Gửi request add/update cart với quantity=0.
2. Kiểm tra response.</t>
  </si>
  <si>
    <t>Status 400 hoặc thông báo số lượng không hợp lệ.</t>
  </si>
  <si>
    <t>BUG2_Chức năng giỏ hàng</t>
  </si>
  <si>
    <t>Postman/API - Quantity âm</t>
  </si>
  <si>
    <t>1. Gửi request với quantity=-1.
2. Kiểm tra response.</t>
  </si>
  <si>
    <t>Status 400 hoặc hệ thống không cho cập nhật số lượng âm.</t>
  </si>
  <si>
    <t>BUG3_Chức năng giỏ hàng</t>
  </si>
  <si>
    <t>Postman/API - Quantity vượt tồn kho</t>
  </si>
  <si>
    <t>1. Gửi productId hợp lệ, quantity lớn hơn tồn kho.
2. Kiểm tra response.</t>
  </si>
  <si>
    <t>Status 400 hoặc thông báo vượt tồn kho.</t>
  </si>
  <si>
    <t>BUG4_Chức năng giỏ hàng</t>
  </si>
  <si>
    <t>Postman/API - Chưa đăng nhập xem giỏ hàng</t>
  </si>
  <si>
    <t>1. Xóa cookie/session.
2. Gửi request vào trang giỏ hàng.
3. Kiểm tra redirect/status.</t>
  </si>
  <si>
    <t>Redirect login hoặc status 401/302 tùy hệ thống.</t>
  </si>
  <si>
    <t>Lỗi bảo mật. Hệ thống chưa chặn quyền truy cập API. Đề xuất thêm bộ lọc (Authorize Filter / Middleware) vào API giỏ hàng để bắt buộc người dùng phải đăng nhập mới được gọi.</t>
  </si>
  <si>
    <t>BUG5_Chức năng giỏ hàng</t>
  </si>
  <si>
    <t>Postman/API - Session/token sai hoặc hết hạn</t>
  </si>
  <si>
    <t>1. Gửi request với cookie/session không hợp lệ.
2. Kiểm tra status.</t>
  </si>
  <si>
    <t>Hệ thống không cho truy cập, redirect login hoặc trả 401/403.</t>
  </si>
  <si>
    <t>BUG6_Chức năng giỏ hàng</t>
  </si>
  <si>
    <t>Postman/API - Giỏ hàng rỗng</t>
  </si>
  <si>
    <t>1. Xóa hết sản phẩm trong giỏ.
2. Gửi GET cart.
3. Kiểm tra body.</t>
  </si>
  <si>
    <t>Response hiển thị giỏ hàng rỗng hoặc tổng tiền = 0.</t>
  </si>
  <si>
    <t>Postman/API - Thêm trùng sản phẩm</t>
  </si>
  <si>
    <t>1. Thêm productId=101 vào giỏ.
2. Thêm lại cùng productId.
3. Kiểm tra giỏ hàng.</t>
  </si>
  <si>
    <t>Không tạo dòng trùng; quantity được cộng dồn.</t>
  </si>
  <si>
    <t>Postman/API - Cập nhật số lượng sản phẩm</t>
  </si>
  <si>
    <t>1. Gửi PUT/POST update quantity=3.
2. Kiểm tra response/body.</t>
  </si>
  <si>
    <t>Quantity cập nhật đúng, tổng tiền thay đổi đúng.</t>
  </si>
  <si>
    <t>Postman/API - Xóa một sản phẩm khỏi giỏ hàng</t>
  </si>
  <si>
    <t>1. Gửi DELETE/POST remove productId=101.
2. Kiểm tra giỏ hàng.</t>
  </si>
  <si>
    <t>Sản phẩm bị xóa khỏi giỏ, tổng tiền cập nhật lại.</t>
  </si>
  <si>
    <t>Postman/API - Xóa toàn bộ giỏ hàng</t>
  </si>
  <si>
    <t>1. Gửi DELETE /api/cart/clear hoặc route thực tế.
2. Kiểm tra body giỏ hàng.</t>
  </si>
  <si>
    <t>Postman/API - Kiểm tra tổng tiền giỏ hàng</t>
  </si>
  <si>
    <t>1. Giỏ hàng có nhiều sản phẩm.
2. Gửi GET total hoặc mở trang giỏ hàng.
3. So sánh tổng tiền.</t>
  </si>
  <si>
    <t>Tổng tiền bằng tổng đơn giá x số lượng từng item.</t>
  </si>
  <si>
    <t>Postman/API - Response time giỏ hàng</t>
  </si>
  <si>
    <t>1. Gửi request xem giỏ hàng.
2. Đo responseTime trong Postman.</t>
  </si>
  <si>
    <t>Response time &lt; 3000ms, response body không lỗi.</t>
  </si>
  <si>
    <t>Server phản hồi chậm. Đề xuất tối ưu lại câu truy vấn (Query) hoặc nâng cấp Server để đảm bảo trải nghiệm khách hàng.</t>
  </si>
  <si>
    <t>BUG7_Chức năng giỏ hàng</t>
  </si>
  <si>
    <t>3. SELENIUM UI TEST CASES - Shopping Cart User Interface</t>
  </si>
  <si>
    <t>Selenium UI - Mở trang giỏ hàng</t>
  </si>
  <si>
    <t>1. Mở website.
2. Đăng nhập nếu cần.
3. Click icon giỏ hàng.</t>
  </si>
  <si>
    <t>Trang giỏ hàng mở thành công, không lỗi layout.</t>
  </si>
  <si>
    <t>Locator: .cart-icon, /GioHang</t>
  </si>
  <si>
    <t>Selenium UI - Thêm sản phẩm từ trang chi tiết</t>
  </si>
  <si>
    <t>1. Mở trang chi tiết sản phẩm.
2. Click Thêm vào giỏ.
3. Kiểm tra thông báo/badge.</t>
  </si>
  <si>
    <t>Sản phẩm được thêm, badge tăng đúng.</t>
  </si>
  <si>
    <t>button.add-to-cart, .cart-badge</t>
  </si>
  <si>
    <t>Selenium UI - Thêm sản phẩm từ danh sách sản phẩm</t>
  </si>
  <si>
    <t>1. Mở trang sản phẩm.
2. Click nút thêm giỏ của một item.
3. Kiểm tra giỏ hàng.</t>
  </si>
  <si>
    <t>Sản phẩm xuất hiện trong giỏ.</t>
  </si>
  <si>
    <t>Giao diện danh sách sản phẩm không có nút Thêm nhanh vào giỏ.</t>
  </si>
  <si>
    <t>BUG8_Chức năng giỏ hàng</t>
  </si>
  <si>
    <t>Selenium UI - Thêm sản phẩm từ kết quả tìm kiếm</t>
  </si>
  <si>
    <t>1. Tìm kiếm sản phẩm.
2. Chọn item trong kết quả.
3. Thêm vào giỏ.</t>
  </si>
  <si>
    <t>Sản phẩm đúng được thêm vào giỏ.</t>
  </si>
  <si>
    <t>input[name='search'], .search-result</t>
  </si>
  <si>
    <t>Selenium UI - Tăng số lượng bằng nút cộng</t>
  </si>
  <si>
    <t>1. Vào giỏ hàng.
2. Click nút + của sản phẩm.
3. Kiểm tra quantity và tổng tiền.</t>
  </si>
  <si>
    <t>Quantity tăng 1, tổng tiền cập nhật đúng.</t>
  </si>
  <si>
    <t>button.qty-plus</t>
  </si>
  <si>
    <t>Selenium UI - Giảm số lượng bằng nút trừ</t>
  </si>
  <si>
    <t>1. Vào giỏ hàng có quantity &gt; 1.
2. Click nút -.
3. Kiểm tra quantity.</t>
  </si>
  <si>
    <t>Quantity giảm 1, không nhỏ hơn 1.</t>
  </si>
  <si>
    <t>button.qty-minus</t>
  </si>
  <si>
    <t>Selenium UI - Nhập trực tiếp số lượng hợp lệ</t>
  </si>
  <si>
    <t>1. Focus ô quantity.
2. Nhập 3.
3. Click cập nhật.</t>
  </si>
  <si>
    <t>Quantity = 3, tổng tiền cập nhật đúng.</t>
  </si>
  <si>
    <t>input[name='quantity']</t>
  </si>
  <si>
    <t>Selenium UI - Nhập ký tự vào ô số lượng</t>
  </si>
  <si>
    <t>1. Nhập abc vào quantity.
2. Click cập nhật.</t>
  </si>
  <si>
    <t>Hệ thống không chấp nhận và hiển thị lỗi phù hợp.</t>
  </si>
  <si>
    <t>Selenium UI - Xóa sản phẩm khỏi giỏ</t>
  </si>
  <si>
    <t>1. Click nút xóa sản phẩm.
2. Xác nhận nếu có.
3. Kiểm tra danh sách.</t>
  </si>
  <si>
    <t>Sản phẩm biến mất khỏi giỏ.</t>
  </si>
  <si>
    <t>button.remove-item</t>
  </si>
  <si>
    <t>Selenium UI - Xóa sản phẩm cuối cùng</t>
  </si>
  <si>
    <t>1. Giỏ hàng có 1 sản phẩm.
2. Click xóa.
3. Kiểm tra trạng thái.</t>
  </si>
  <si>
    <t>Hiển thị giỏ hàng rỗng, tổng tiền = 0.</t>
  </si>
  <si>
    <t>.empty-cart</t>
  </si>
  <si>
    <t>Selenium UI - Tổng tiền thay đổi sau cập nhật quantity</t>
  </si>
  <si>
    <t>1. Ghi nhận tổng tiền ban đầu.
2. Cập nhật quantity.
3. So sánh tổng tiền mới.</t>
  </si>
  <si>
    <t>Tổng tiền mới đúng theo quantity mới.</t>
  </si>
  <si>
    <t>.cart-total</t>
  </si>
  <si>
    <t>Selenium UI - Badge giỏ hàng cập nhật đúng</t>
  </si>
  <si>
    <t>1. Thêm sản phẩm.
2. Quan sát badge giỏ hàng.</t>
  </si>
  <si>
    <t>Badge tăng đúng theo số lượng sản phẩm.</t>
  </si>
  <si>
    <t>.cart-badge</t>
  </si>
  <si>
    <t>Selenium UI - Thông báo thêm thành công</t>
  </si>
  <si>
    <t>1. Click thêm vào giỏ.
2. Quan sát toast/alert.</t>
  </si>
  <si>
    <t>Hiển thị thông báo thêm thành công.</t>
  </si>
  <si>
    <t>Selenium UI - Thông báo lỗi khi vượt tồn kho</t>
  </si>
  <si>
    <t>1. Cập nhật quantity vượt stock.
2. Click cập nhật.</t>
  </si>
  <si>
    <t>Hiển thị lỗi số lượng vượt tồn kho.</t>
  </si>
  <si>
    <t>.alert-danger</t>
  </si>
  <si>
    <t>Selenium UI - Nút thanh toán khi giỏ hàng có sản phẩm</t>
  </si>
  <si>
    <t>1. Vào giỏ hàng có sản phẩm.
2. Kiểm tra nút thanh toán.</t>
  </si>
  <si>
    <t>Nút thanh toán hiển thị và có thể click.</t>
  </si>
  <si>
    <t>.checkout-button</t>
  </si>
  <si>
    <t>Selenium UI - Không cho thanh toán khi giỏ hàng rỗng</t>
  </si>
  <si>
    <t>1. Làm trống giỏ hàng.
2. Kiểm tra nút thanh toán.</t>
  </si>
  <si>
    <t>Nút thanh toán bị ẩn/disable hoặc hiển thị thông báo giỏ rỗng.</t>
  </si>
  <si>
    <t>Selenium UI - Mini cart hiển thị đúng nếu có</t>
  </si>
  <si>
    <t>1. Hover/click icon giỏ hàng.
2. Quan sát mini cart.</t>
  </si>
  <si>
    <t>Mini cart hiển thị đúng sản phẩm và tổng tiền.</t>
  </si>
  <si>
    <t>Giao diện hiện tại không có tính năng minicart, khi rà chuột vào biểu tượng giỏ hàng không có bảng thông tin thả xuống</t>
  </si>
  <si>
    <t>BUG9_Chức năng giỏ hàng</t>
  </si>
  <si>
    <t>Selenium UI - Responsive giỏ hàng trên mobile</t>
  </si>
  <si>
    <t>1. Set viewport mobile.
2. Mở trang giỏ hàng.
3. Quan sát layout.</t>
  </si>
  <si>
    <t>Layout không vỡ, nút bấm dễ thao tác.</t>
  </si>
  <si>
    <t>Viewport 375x812</t>
  </si>
  <si>
    <t>Selenium UI - Responsive giỏ hàng trên tablet</t>
  </si>
  <si>
    <t>1. Set viewport tablet.
2. Mở giỏ hàng.
3. Quan sát layout.</t>
  </si>
  <si>
    <t>Layout hiển thị phù hợp trên tablet.</t>
  </si>
  <si>
    <t>Viewport 768x1024</t>
  </si>
  <si>
    <t>Selenium UI - Responsive giỏ hàng trên desktop</t>
  </si>
  <si>
    <t>1. Set viewport desktop.
2. Mở giỏ hàng.
3. Quan sát layout.</t>
  </si>
  <si>
    <t>Layout đầy đủ, không chồng chữ/nút.</t>
  </si>
  <si>
    <t>Viewport 1366x768</t>
  </si>
  <si>
    <t>4. PERFORMANCE TEST CASES - Load / Stress / Response Time</t>
  </si>
  <si>
    <t>Performance - Load trang giỏ hàng</t>
  </si>
  <si>
    <t>1. Dùng JMeter gửi GET trang giỏ hàng.
2. 50 users trong 1 phút.
3. Ghi response time/error rate.</t>
  </si>
  <si>
    <t>Response time trung bình &lt; 3s, error rate &lt; 1%.</t>
  </si>
  <si>
    <t>Tool: JMeter/Postman Runner</t>
  </si>
  <si>
    <t>Performance - Thêm sản phẩm nhiều lần</t>
  </si>
  <si>
    <t>1. 50 users gửi request add cart.
2. Lặp 5 lần/user.
3. Theo dõi lỗi.</t>
  </si>
  <si>
    <t>Hệ thống xử lý ổn định, không timeout.</t>
  </si>
  <si>
    <t>Performance - Cập nhật quantity nhiều lần</t>
  </si>
  <si>
    <t>1. 30 users cập nhật quantity.
2. Lặp liên tục 3 phút.</t>
  </si>
  <si>
    <t>Không crash, response time &lt; 3s.</t>
  </si>
  <si>
    <t>Performance - Xóa sản phẩm nhiều lần</t>
  </si>
  <si>
    <t>1. 30 users gửi remove cart.
2. Theo dõi throughput.</t>
  </si>
  <si>
    <t>Không phát sinh lỗi server 5xx bất thường.</t>
  </si>
  <si>
    <t>Khi dùng Jmeter giả lập 30 request xóa sản phẩm nhưng giỏ hàng của user đang trống, Server không bắt lỗi mà bị Crash (Error rate 100%)</t>
  </si>
  <si>
    <t>BUG10_Chức năng giỏ hàng</t>
  </si>
  <si>
    <t>Performance - Nhiều user xem giỏ hàng đồng thời</t>
  </si>
  <si>
    <t>1. 100 users mở giỏ hàng.
2. Ramp-up 60s.</t>
  </si>
  <si>
    <t>Trang vẫn phản hồi, error rate &lt; 1%.</t>
  </si>
  <si>
    <t>Performance - Nhiều user thêm giỏ đồng thời</t>
  </si>
  <si>
    <t>1. 100 users thêm cùng sản phẩm.
2. Theo dõi response.</t>
  </si>
  <si>
    <t>Không mất request, không phát sinh lỗi lớn.</t>
  </si>
  <si>
    <t>Performance - Kiểm tra throughput</t>
  </si>
  <si>
    <t>1. Chạy test 5 phút.
2. Ghi số request/s.</t>
  </si>
  <si>
    <t>Throughput ổn định, không giảm mạnh theo thời gian.</t>
  </si>
  <si>
    <t>Performance - Giỏ hàng nhiều sản phẩm</t>
  </si>
  <si>
    <t>1. Tạo giỏ hàng 50 item.
2. Mở trang giỏ hàng.</t>
  </si>
  <si>
    <t>Trang tải &lt; 3s, không vỡ layout.</t>
  </si>
  <si>
    <t>Performance - Kiểm tra error rate</t>
  </si>
  <si>
    <t>1. Chạy collection runner 100 iterations.
2. Đếm lỗi.</t>
  </si>
  <si>
    <t>Error rate &lt; 1%.</t>
  </si>
  <si>
    <t>Performance - Response time sau đăng nhập</t>
  </si>
  <si>
    <t>1. Login.
2. Mở giỏ hàng nhiều lần.
3. Đo responseTime.</t>
  </si>
  <si>
    <t>Response time ổn định &lt; 3s.</t>
  </si>
  <si>
    <t>5. RELIABILITY &amp; ENDURANCE TEST CASES - Stability / Session / Data Consistency</t>
  </si>
  <si>
    <t>Reliability - Thêm/xóa sản phẩm liên tục</t>
  </si>
  <si>
    <t>1. Thêm và xóa sản phẩm 50 lần.
2. Kiểm tra giỏ hàng cuối.</t>
  </si>
  <si>
    <t>Không phát sinh dữ liệu trùng/lỗi.</t>
  </si>
  <si>
    <t>Endurance</t>
  </si>
  <si>
    <t>Reliability - Cập nhật quantity liên tục</t>
  </si>
  <si>
    <t>1. Cập nhật quantity nhiều lần liên tiếp.
2. Kiểm tra tổng tiền.</t>
  </si>
  <si>
    <t>Tổng tiền luôn đúng theo quantity cuối.</t>
  </si>
  <si>
    <t>Reliability - Reload không mất giỏ hàng</t>
  </si>
  <si>
    <t>1. Thêm sản phẩm.
2. Reload trang.
3. Kiểm tra giỏ hàng.</t>
  </si>
  <si>
    <t>Giỏ hàng vẫn giữ dữ liệu nếu business rule yêu cầu.</t>
  </si>
  <si>
    <t>Reliability - Đăng xuất/đăng nhập lại không mất giỏ</t>
  </si>
  <si>
    <t>1. Thêm sản phẩm.
2. Đăng xuất.
3. Đăng nhập lại.</t>
  </si>
  <si>
    <t>Giỏ hàng vẫn giữ đúng nếu hệ thống lưu theo tài khoản.</t>
  </si>
  <si>
    <t>Không lưu vào database</t>
  </si>
  <si>
    <t>Reliability - Double click nút thêm vào giỏ</t>
  </si>
  <si>
    <t>1. Double click nhanh nút thêm.
2. Kiểm tra quantity.</t>
  </si>
  <si>
    <t>Không tạo dữ liệu lỗi; quantity xử lý đúng.</t>
  </si>
  <si>
    <t>Reliability - Double submit cập nhật quantity</t>
  </si>
  <si>
    <t>1. Click cập nhật nhiều lần nhanh.
2. Kiểm tra quantity/tổng tiền.</t>
  </si>
  <si>
    <t>Không lỗi tổng tiền, không duplicate request gây sai dữ liệu.</t>
  </si>
  <si>
    <t>Reliability - Không làm tồn kho âm</t>
  </si>
  <si>
    <t>1. Nhiều user thêm cùng sản phẩm gần hết hàng.
2. Kiểm tra tồn kho.</t>
  </si>
  <si>
    <t>Hệ thống không cho tồn kho âm.</t>
  </si>
  <si>
    <t>Reliability - Hai tab cùng cập nhật giỏ hàng</t>
  </si>
  <si>
    <t>1. Mở 2 tab.
2. Cập nhật cart ở cả 2 tab.
3. Reload.</t>
  </si>
  <si>
    <t>Dữ liệu cuối đồng bộ hoặc xử lý xung đột hợp lý.</t>
  </si>
  <si>
    <t>Do không lưu dữ liệu vào database nên nó không cập nhật được</t>
  </si>
  <si>
    <t>BUG11_Chức năng giỏ hàng</t>
  </si>
  <si>
    <t>Reliability - Session hết hạn khi thao tác giỏ hàng</t>
  </si>
  <si>
    <t>1. Để session hết hạn.
2. Click cập nhật giỏ.</t>
  </si>
  <si>
    <t>Hệ thống chuyển login hoặc báo hết phiên, không mất an toàn dữ liệu.</t>
  </si>
  <si>
    <t>Hết session thì dữ liệu đi luôn</t>
  </si>
  <si>
    <t>BUG12_Chức năng giỏ hàng</t>
  </si>
  <si>
    <t>Reliability - Không crash sau thao tác dài</t>
  </si>
  <si>
    <t>1. Thao tác thêm/xóa/cập nhật trong 30 phút.
2. Theo dõi lỗi.</t>
  </si>
  <si>
    <t>Không crash, không xuất hiện lỗi 500 liên tục.</t>
  </si>
  <si>
    <t>6. MANUAL TEST CASES - UI/UX / Visual / Business Flow</t>
  </si>
  <si>
    <t>Manual Test - Giao diện giỏ hàng dễ hiểu</t>
  </si>
  <si>
    <t>1. Mở trang giỏ hàng.
2. Quan sát tên sản phẩm, giá, số lượng, tổng tiền.</t>
  </si>
  <si>
    <t>Thông tin rõ ràng, người dùng dễ hiểu.</t>
  </si>
  <si>
    <t>Chụp màn hình giỏ hàng</t>
  </si>
  <si>
    <t>Manual Test - Màu sắc, font chữ, nút bấm</t>
  </si>
  <si>
    <t>1. Quan sát giao diện giỏ hàng.
2. Kiểm tra nút cập nhật/xóa/thanh toán.</t>
  </si>
  <si>
    <t>Màu sắc nhất quán, font dễ đọc, nút rõ chức năng.</t>
  </si>
  <si>
    <t>Manual Test - Thông báo khi thêm sản phẩm</t>
  </si>
  <si>
    <t>1. Thêm sản phẩm vào giỏ.
2. Quan sát thông báo.</t>
  </si>
  <si>
    <t>Thông báo dễ hiểu, không che khuất thao tác chính.</t>
  </si>
  <si>
    <t>Manual Test - Trải nghiệm giỏ hàng rỗng</t>
  </si>
  <si>
    <t>1. Xóa hết sản phẩm.
2. Quan sát trang giỏ hàng rỗng.</t>
  </si>
  <si>
    <t>Có thông báo giỏ hàng rỗng và hướng dẫn tiếp tục mua hàng.</t>
  </si>
  <si>
    <t>Manual Test - Luồng xem sản phẩm → thêm giỏ → thanh toán</t>
  </si>
  <si>
    <t>1. Chọn sản phẩm.
2. Thêm giỏ.
3. Vào giỏ.
4. Bấm thanh toán.</t>
  </si>
  <si>
    <t>Luồng mượt, không gây nhầm lẫn.</t>
  </si>
  <si>
    <t>Manual Test - Hiển thị lỗi khi sản phẩm hết hàng</t>
  </si>
  <si>
    <t>1. Chọn sản phẩm hết hàng nếu có.
2. Thử thêm vào giỏ.</t>
  </si>
  <si>
    <t>Thông báo hết hàng rõ ràng, không thêm được vào giỏ.</t>
  </si>
  <si>
    <t>Manual Test - Kiểm tra giỏ hàng trên điện thoại</t>
  </si>
  <si>
    <t>1. Mở bằng responsive/mobile.
2. Thao tác thêm/xóa/cập nhật.</t>
  </si>
  <si>
    <t>Dễ thao tác, không vỡ layout.</t>
  </si>
  <si>
    <t>Manual Test - Kiểm tra giỏ hàng trên tablet/laptop</t>
  </si>
  <si>
    <t>1. Mở giỏ hàng trên nhiều kích thước màn hình.
2. Quan sát layout.</t>
  </si>
  <si>
    <t>Layout phù hợp, không tràn nội dung.</t>
  </si>
  <si>
    <t>Manual Test - Tổng tiền hiển thị dễ hiểu</t>
  </si>
  <si>
    <t>1. Giỏ hàng có nhiều sản phẩm.
2. Quan sát đơn giá, số lượng, tổng tiền.</t>
  </si>
  <si>
    <t>Tổng tiền dễ hiểu, định dạng tiền tệ đúng.</t>
  </si>
  <si>
    <t>Manual Test - Trải nghiệm tổng thể trước checkout</t>
  </si>
  <si>
    <t>1. Thao tác toàn bộ giỏ hàng trước thanh toán.
2. Đánh giá trải nghiệm.</t>
  </si>
  <si>
    <t>Người dùng hiểu rõ sản phẩm, số lượng, tổng tiền trước khi checkout.</t>
  </si>
  <si>
    <t xml:space="preserve">TV1 - Quản lý tài khoản </t>
  </si>
  <si>
    <t xml:space="preserve"> Quản lý tài khoản (Đăng ký, Đăng nhập, Đăng xuất)</t>
  </si>
  <si>
    <t>By:Trần Quốc Trường</t>
  </si>
  <si>
    <t>1. Đăng kí tài khoản</t>
  </si>
  <si>
    <t>Đăng ký thành công với dữ liệu hợp lệ</t>
  </si>
  <si>
    <t>1. Nhập Tên KH: 'Nguyễn Văn A'. 
2. Nhập SĐT: '0901234567'. 
3. Nhập Tên đăng nhập: 'user123'. 
4. Nhập Mật khẩu: 'Password123!'. 
5. Nhập Xác nhận MK: 'Abc@13'. 
6. Nhập Email: 'test@gmail.com'. 
7. Nhấn 'Đăng ký'.</t>
  </si>
  <si>
    <t>Đăng ký thành công, hệ thống lưu dữ liệu và chuyển hướng đến trang Đăng nhập.</t>
  </si>
  <si>
    <t>Trần Quốc Trường</t>
  </si>
  <si>
    <t>Đăng ký bỏ trống 'Tên Khách hàng'</t>
  </si>
  <si>
    <t>1. Để trống Tên KH
2. Điền hợp lệ các trường khác. 
3. Nhấn 'Đăng ký'.</t>
  </si>
  <si>
    <t>Hệ thống yêu cầu đăng kí lại từ đầu. Không lưu dữ liệu.</t>
  </si>
  <si>
    <t>Đăng ký bỏ trống 'Số điện thoại Khách hàng'</t>
  </si>
  <si>
    <t>1. Để trống SĐT
2. Điền hợp lệ các trường khác. 
3. Nhấn 'Đăng ký'.</t>
  </si>
  <si>
    <t>Đăng ký bỏ trống 'Tên đăng nhập'</t>
  </si>
  <si>
    <t>1. Để trống Tên đăng nhập
2. Điền hợp lệ các trường khác. 
3. Nhấn 'Đăng ký'.</t>
  </si>
  <si>
    <t>Đăng ký bỏ trống 'Mật khẩu'</t>
  </si>
  <si>
    <t>1. Để trống Mật khẩu
2. Điền hợp lệ các trường khác. 
3. Nhấn 'Đăng ký'.</t>
  </si>
  <si>
    <t>Đăng ký bỏ trống 'Xác nhận mật khẩu'</t>
  </si>
  <si>
    <t>1. Để trống Xác nhận MK
2. Điền hợp lệ các trường khác. 
3. Nhấn 'Đăng ký'.</t>
  </si>
  <si>
    <t>Đăng ký bỏ trống 'Email'</t>
  </si>
  <si>
    <t>1. Để trống Email
2. Điền hợp lệ các trường khác. 
3. Nhấn 'Đăng ký'.</t>
  </si>
  <si>
    <t>Đăng ký bỏ trống toàn bộ form</t>
  </si>
  <si>
    <t>1. Để trống tất cả 6 trường. 
2. Nhấn 'Đăng ký'.</t>
  </si>
  <si>
    <t>Nhập 'Tên Khách hàng' chứa chữ số</t>
  </si>
  <si>
    <t>1. Nhập Tên KH: 'Nguyễn Văn 123'. 
2. Điền hợp lệ các trường khác. 
3. Nhấn 'Đăng ký'.</t>
  </si>
  <si>
    <t>Nhập 'Tên Khách hàng' chứa ký tự đặc biệt</t>
  </si>
  <si>
    <t>1. Nhập Tên KH: 'Nguyễn @!'. 
2. Điền hợp lệ các trường khác. 
3. Nhấn 'Đăng ký'.</t>
  </si>
  <si>
    <t>Nhập 'Số điện thoại' chứa chữ cái</t>
  </si>
  <si>
    <t>1. Nhập SĐT: '0901abc234'. 
2. Điền hợp lệ các trường khác. 
3. Nhấn 'Đăng ký'.</t>
  </si>
  <si>
    <t>Nhập 'Số điện thoại' thiếu số (&lt; 10 số)</t>
  </si>
  <si>
    <t>1. Nhập SĐT: '090123456'. 
2. Điền hợp lệ các trường khác.
 3. Nhấn 'Đăng ký'.</t>
  </si>
  <si>
    <t>Nhập 'Số điện thoại' thừa số (&gt; 10 số)</t>
  </si>
  <si>
    <t>1. Nhập SĐT: '09012345678'. 
2. Điền hợp lệ các trường khác. 
3. Nhấn 'Đăng ký'</t>
  </si>
  <si>
    <t>Nhập 'Số điện thoại' đã tồn tại</t>
  </si>
  <si>
    <t>1. Nhập SĐT đã có trong DB. 
2. Điền hợp lệ các trường khác. 
3. Nhấn 'Đăng ký'.</t>
  </si>
  <si>
    <t>Hệ thống không xử lý được request</t>
  </si>
  <si>
    <t>BUG1_Quản lý Tài khoản</t>
  </si>
  <si>
    <t>Nhập 'Tên đăng nhập' chứa khoảng trắng</t>
  </si>
  <si>
    <t>1. Nhập Tên đăng nhập: 'user name'. 
2. Điền hợp lệ các trường khác. 
3. Nhấn 'Đăng ký'.</t>
  </si>
  <si>
    <t>Nhập 'Tên đăng nhập' bằng Tiếng Việt có dấu</t>
  </si>
  <si>
    <t>1. Nhập Tên đăng nhập: 'người_dùng'. 
2. Điền hợp lệ các trường khác. 
3. Nhấn 'Đăng ký'.</t>
  </si>
  <si>
    <t>Nhập 'Tên đăng nhập' đã tồn tại trong DB</t>
  </si>
  <si>
    <t>1. Nhập Tên đăng nhập của tài khoản đã tồn tại. 
2. Điền hợp lệ các trường khác. 
3. Nhấn 'Đăng ký'.</t>
  </si>
  <si>
    <t>BUG2_Quản lý Tài khoản</t>
  </si>
  <si>
    <t>Nhập 'Mật khẩu' quá ngắn (&lt; 6 ký tự)</t>
  </si>
  <si>
    <t>1. Nhập Mật khẩu: '12345'. 
2. Nhập Xác nhận MK: '12345'. 
3. Điền hợp lệ các trường khác. 
4. Nhấn 'Đăng ký'.</t>
  </si>
  <si>
    <t>Nhập 'Xác nhận mật khẩu' không khớp</t>
  </si>
  <si>
    <t>1. Nhập MK: 'Abc@123'. 
2. Nhập Xác nhận MK: 'Abc@124'. 
3. Điền hợp lệ các trường khác. 
4. Nhấn 'Đăng ký'.</t>
  </si>
  <si>
    <t>Nhập 'Email' sai định dạng (thiếu @)</t>
  </si>
  <si>
    <t>1. Nhập Email: 'nvagmail.com'. 
2. Điền hợp lệ các trường khác. 
3. Nhấn 'Đăng ký'.</t>
  </si>
  <si>
    <t>Hệ thống báo lỗi định dạng Email không hợp lệ.</t>
  </si>
  <si>
    <t>Nhập 'Email' sai định dạng (thiếu domain)</t>
  </si>
  <si>
    <t>1. Nhập Email: 'nva@.com' hoặc 'nva@gmail'.
2. Điền hợp lệ các trường khác. 
3. Nhấn 'Đăng ký'.</t>
  </si>
  <si>
    <t>Nhập 'Email' đã tồn tại trong hệ thống</t>
  </si>
  <si>
    <t>1. Nhập Email đã có trong DB. 
2. Điền hợp lệ các trường khác.
3. Nhấn 'Đăng ký'.</t>
  </si>
  <si>
    <t>Hệ thống báo lỗi.</t>
  </si>
  <si>
    <t>BUG3_Quản lý Tài khoản</t>
  </si>
  <si>
    <t>Nhập 'Email' có khoảng trắng thừa ở đầu/cuối</t>
  </si>
  <si>
    <t>1. Nhập Email: ' nva@gmail.com '. 
2. Điền hợp lệ các trường khác. 
3. Nhấn 'Đăng ký'.</t>
  </si>
  <si>
    <t>Đăng ký thành công, hệ thống tự động loại bỏ  khoảng trắng dư thừa.</t>
  </si>
  <si>
    <t>Kiểm tra độ dài tối đa của 'Tên Khách hàng'</t>
  </si>
  <si>
    <t>1. Nhập Tên KH dài 256 ký tự. 
2. Điền hợp lệ các trường khác.
 3. Nhấn 'Đăng ký'.</t>
  </si>
  <si>
    <t>Nhập 'Tên đăng nhập' quá ngắn (&lt; 3 ký tự)</t>
  </si>
  <si>
    <t>1. Nhập Tên đăng nhập: 'ab'. 
2. Điền hợp lệ các trường khác. 
3. Nhấn 'Đăng ký'.</t>
  </si>
  <si>
    <t>Submit form bằng phím Enter</t>
  </si>
  <si>
    <t>1. Điền đầy đủ thông tin hợp lệ vào 6 trường. 
2. Nhấn phím Enter thay vì click chuột.</t>
  </si>
  <si>
    <t>Lỗi: Form không tự submit khi nhấn phím Enter</t>
  </si>
  <si>
    <t>BUG4_Quản lý Tài khoản</t>
  </si>
  <si>
    <t>Kiểm tra hiển thị ký tự ẩn (Masking) tại ô 'Mật khẩu' và 'Xác nhận mật khẩu'</t>
  </si>
  <si>
    <t>1. Click vào ô 'Mật khẩu'.
2. Nhập chuỗi ký tự bất kỳ (VD: 'Abc@123').
3. Chuyển sang ô 'Xác nhận mật khẩu' và nhập tương tự.
4. Quan sát hiển thị trên màn hình.</t>
  </si>
  <si>
    <t>Ký tự nhập vào bị ẩn thành dấu chấm (•) hoặc sao (*) để bảo mật, không hiện rõ chữ.</t>
  </si>
  <si>
    <t>Lỗi bảo mật: Ký tự ô mật khẩu hiển thị ở dạng text thường</t>
  </si>
  <si>
    <t>BUG5_Quản lý Tài khoản</t>
  </si>
  <si>
    <t>Kiểm tra thao tác dán (Paste) dữ liệu vào ô 'Xác nhận mật khẩu'</t>
  </si>
  <si>
    <t>1. Nhập mật khẩu hợp lệ vào ô 'Mật khẩu'.
2. Bôi đen và thực hiện lệnh Copy (Ctrl+C).
3. Click chuột vào ô 'Xác nhận mật khẩu' và thực hiện lệnh Dán (Ctrl+V).</t>
  </si>
  <si>
    <t>Hệ thống chặn thao tác Dán (Paste) để bắt buộc người dùng tự gõ lại xác nhận.</t>
  </si>
  <si>
    <t>Cảnh báo bảo mật: Giao diện vẫn cho phép dán (paste) mật khẩu</t>
  </si>
  <si>
    <t>BUG6_Quản lý Tài khoản</t>
  </si>
  <si>
    <t>Đăng ký với 'Tên Khách hàng' quá ngắn (1 ký tự)</t>
  </si>
  <si>
    <t>1. Nhập Tên KH: 'A'.
2. Nhập thông tin hợp lệ cho 5 trường còn lại.
3. Nhấn nút 'Đăng ký'.</t>
  </si>
  <si>
    <t>Đăng ký với 'Tên đăng nhập' trùng lặp nhưng khác biệt về chữ hoa/chữ thường</t>
  </si>
  <si>
    <t>1. Giả sử trong cơ sở dữ liệu đã tồn tại Tên đăng nhập là nguyenvana.
2. Điền Tên đăng nhập mới là NGUYENVANA.
3. Điền hợp lệ các trường còn lại.
4. Nhấn nút 'Đăng ký'.</t>
  </si>
  <si>
    <t>Đăng ký với Email viết hoa</t>
  </si>
  <si>
    <t>1. Nhập Email: 'NVA@GMAIL.COM'. 
2. Điền hợp lệ các trường khác. 
3. Nhấn 'Đăng ký'.</t>
  </si>
  <si>
    <t>Kiểm tra 'Số điện thoại' với các đầu số VN</t>
  </si>
  <si>
    <t>1. Nhập SĐT hợp lệ (VD: 03x, 09x, 07x). 
2. Điền hợp lệ các trường khác. 
3. Nhấn 'Đăng ký'.</t>
  </si>
  <si>
    <t>Đăng ký thành công với tất cả các đầu số nhà mạng Việt Nam.</t>
  </si>
  <si>
    <t>Nhập 'Mật khẩu' quá dài (&gt; 100 ký tự)</t>
  </si>
  <si>
    <t>1. Nhập Mật khẩu dài 100 ký tự. 
2. Nhập Xác nhận MK tương tự. 
3. Nhấn 'Đăng ký'.</t>
  </si>
  <si>
    <t>Hệ thống báo lỗi Mật khẩu vượt quá độ dài tối đa (nếu có giới hạn).</t>
  </si>
  <si>
    <t>Đăng ký với 'Email' có tên miền cấp cao (TLD) không hợp lệ</t>
  </si>
  <si>
    <t>1. Nhập Email: 'nva@gmail.abcxyz'.
2. Điền hợp lệ 5 trường còn lại trên form.
3. Nhấn nút 'Đăng ký'.</t>
  </si>
  <si>
    <t>Xử lý ký tự Emoji lưu vào Database</t>
  </si>
  <si>
    <t>1. Nhập Tên KH có chứa Emoji (VD: Nguyễn A 😊).
2. Nhập hợp lệ các trường còn lại.
3. Nhấn 'Đăng ký'.</t>
  </si>
  <si>
    <t>BUG7_Quản lý Tài khoản</t>
  </si>
  <si>
    <t>Kiểm tra biên giới hạn tuyệt đối của Tên đăng nhập</t>
  </si>
  <si>
    <t>1. Nhập Tên đăng nhập dài đúng bằng mức tối đa (VD: 50 ký tự).
2. Điền hợp lệ các trường khác
3. Nhấn 'Đăng ký'.</t>
  </si>
  <si>
    <t>Race Condition (Đăng ký đồng thời)</t>
  </si>
  <si>
    <t>1. Mở 2 tab, nhập cùng 1 form đăng ký mới.
2. Bấm 'Đăng ký' cùng lúc ở 2 tab.</t>
  </si>
  <si>
    <t>Chỉ 1 bên đăng ký thành công, bên kia báo lỗi trùng.</t>
  </si>
  <si>
    <t>Xóa khoảng trắng ở giữa Số điện thoại</t>
  </si>
  <si>
    <t>1. Nhập SĐT có khoảng trắng (VD: 090 123 4567).
2. Điền hợp lệ các trường khác.
3. Nhấn 'Đăng ký'.</t>
  </si>
  <si>
    <t>Tự động xóa khoảng trắng để lưu thành công, hoặc báo lỗi SĐT</t>
  </si>
  <si>
    <t>Tên đăng nhập chỉ toàn chữ số</t>
  </si>
  <si>
    <t>1. Nhập Tên đăng nhập chỉ chứa số (VD: 12345678)
2. Điền hợp lệ các ô khác.
3. Nhấn 'Đăng ký'.</t>
  </si>
  <si>
    <t>Tên Khách hàng chứa ký tự ngoại ngữ</t>
  </si>
  <si>
    <t>1. Nhập SĐT bắt đầu bằng mã quốc gia (VD: +84901234567).
2. Điền hợp lệ các ô khác.
3. Nhấn 'Đăng ký'.</t>
  </si>
  <si>
    <t>Tự động chuyển thành 0901234567 để lưu, hoặc báo lỗi định dạng SĐT.</t>
  </si>
  <si>
    <t>Đăng ký với Email chứa dấu cộng (+)</t>
  </si>
  <si>
    <t>1. Nhập Email dạng Alias (VD: nva+test@gmail.com).
2. Điền hợp lệ các ô khác.
3. Nhấn 'Đăng ký'.</t>
  </si>
  <si>
    <t>Đăng ký thành công (Hệ thống hỗ trợ chuẩn RFC của Email).</t>
  </si>
  <si>
    <t>Đăng ký với 'Mật khẩu' có chứa ký tự khoảng trắng (Space) ở giữa</t>
  </si>
  <si>
    <t>1. Nhập Mật khẩu: 'Abc 1234'.
2. Nhập Xác nhận MK: 'Abc 1234'.
3. Điền hợp lệ 4 trường còn lại trên form.
4. Nhấn nút 'Đăng ký'.</t>
  </si>
  <si>
    <t>2. Đăng nhập tài khoản</t>
  </si>
  <si>
    <t>Đăng nhập thành công bằng Tên đăng nhập</t>
  </si>
  <si>
    <t>1. Nhập Tên đăng nhập hợp lệ.
2. Nhập Mật khẩu đúng.
3. Nhấn nút 'Đăng nhập'.</t>
  </si>
  <si>
    <t>Đăng nhập thành công, hệ thống chuyển hướng người dùng vào Trang chủ/Dashboard.</t>
  </si>
  <si>
    <t>Đăng nhập thành công bằng Email</t>
  </si>
  <si>
    <t>1. Nhập Email hợp lệ.
2. Nhập Mật khẩu đúng
3. Nhấn nút 'Đăng nhập'.</t>
  </si>
  <si>
    <t>Đăng nhập bằng phím Enter</t>
  </si>
  <si>
    <t>1. Điền thông tin hợp lệ vào 2 ô.
2. Nhấn phím Enter trên bàn phím.</t>
  </si>
  <si>
    <t>Form không tự submit khi nhấn phím Enter</t>
  </si>
  <si>
    <t>BUG8_Quản lý Tài khoản</t>
  </si>
  <si>
    <t>Đăng nhập không phân biệt chữ hoa/thường ở ô Tài khoản</t>
  </si>
  <si>
    <t>1. Tên đăng nhập là nguyenvana.
2. Nhập NGUYENVANA và Mật khẩu đúng.
3. Nhấn 'Đăng nhập'.</t>
  </si>
  <si>
    <t>Đăng nhập thành công (Tên đăng nhập và Email không được phân biệt hoa/thường).</t>
  </si>
  <si>
    <t>Đăng nhập với khoảng trắng thừa ở Tài khoản</t>
  </si>
  <si>
    <t>1. Nhập Email/Tên đăng nhập có chứa dấu cách ở 2 đầu (VD: admin).
2. Nhập Mật khẩu đúng.
3. Nhấn 'Đăng nhập'.</t>
  </si>
  <si>
    <t>Đăng nhập thành công, hệ thống tự động cắt bỏ khoảng trắng dư thừa</t>
  </si>
  <si>
    <t>Đăng nhập khi bỏ trống toàn bộ form</t>
  </si>
  <si>
    <t>1. Để trống cả 2 ô nhập liệu.
2. Nhấn 'Đăng nhập'.</t>
  </si>
  <si>
    <t>Báo lỗi yêu cầu điền đầy đủ thông tin, không gửi request lên server.</t>
  </si>
  <si>
    <t>Frontend không chặn việc để trống toàn bộ form</t>
  </si>
  <si>
    <t>BUG9_Quản lý Tài khoản</t>
  </si>
  <si>
    <t>Đăng nhập khi bỏ trống ô Tài khoản</t>
  </si>
  <si>
    <t>1. Để trống ô Tên đăng nhập/Email.
2. Nhập Mật khẩu.
3. Nhấn 'Đăng nhập'.</t>
  </si>
  <si>
    <t>Đăng nhập lại từ đầu</t>
  </si>
  <si>
    <t>Giao diện không báo lỗi khi bỏ trống trường Tài khoản</t>
  </si>
  <si>
    <t>BUG10_Quản lý Tài khoản</t>
  </si>
  <si>
    <t>Đăng nhập khi bỏ trống Mật khẩu</t>
  </si>
  <si>
    <t>1. Nhập Tên đăng nhập/Email.
2. Để trống ô Mật khẩu.
3. Nhấn 'Đăng nhập'.</t>
  </si>
  <si>
    <t>Giao diện không báo lỗi khi bỏ trống trường Mật khẩu</t>
  </si>
  <si>
    <t>BUG11_Quản lý Tài khoản</t>
  </si>
  <si>
    <t>Sai Tên đăng nhập hoặc Email</t>
  </si>
  <si>
    <t>1. Nhập Tên đăng nhập/Email chưa từng đăng ký.
2. Nhập Mật khẩu bất kỳ.
3. Nhấn 'Đăng nhập'.</t>
  </si>
  <si>
    <t>BUG12_Quản lý Tài khoản</t>
  </si>
  <si>
    <t>Sai Mật khẩu</t>
  </si>
  <si>
    <t>1. Nhập Tên đăng nhập/Email đúng.
2. Nhập sai Mật khẩu.
3. Nhấn 'Đăng nhập'.</t>
  </si>
  <si>
    <t>BUG13_Quản lý Tài khoản</t>
  </si>
  <si>
    <t>Đăng nhập với khoảng trắng thừa ở Mật khẩu</t>
  </si>
  <si>
    <t>1. Nhập Mật khẩu đúng nhưng thêm dấu cách ở cuối (VD: Abc123 ).
2. Nhấn 'Đăng nhập'.</t>
  </si>
  <si>
    <t>Đăng nhập phân biệt chữ hoa/thường ở ô Mật khẩu</t>
  </si>
  <si>
    <t>1. Mật khẩu đúng là Abc123.
2. Nhập abc123 (viết thường chữ A).
3. Nhấn 'Đăng nhập'.</t>
  </si>
  <si>
    <t>Đăng nhập thất bại do sai mật khẩu (Mật khẩu bắt buộc phải phân biệt hoa/thường).</t>
  </si>
  <si>
    <t>Truy cập trang Login khi đã đăng nhập</t>
  </si>
  <si>
    <t>1. Đã đăng nhập thành công vào hệ thống.
2. Gõ trực tiếp URL của trang Đăng nhập trên thanh địa chỉ.</t>
  </si>
  <si>
    <t>Hệ thống nhận diện đã có phiên làm việc và tự động chuyển hướng về Trang chủ.</t>
  </si>
  <si>
    <t>Đăng nhập bằng Email có chứa ký tự đặc biệt hợp lệ</t>
  </si>
  <si>
    <t>1. Nhập Email có dấu chấm, cộng, gạch ngang hợp lệ (VD: a+test@gmail.com).
2. Nhập Mật khẩu đúng.
3. Nhấn 'Đăng nhập'.</t>
  </si>
  <si>
    <t>Dán (Paste) Mật khẩu bằng thao tác chuột phải</t>
  </si>
  <si>
    <t>1. Nhập Tên đăng nhập hợp lệ.
2. Copy mật khẩu, click chuột phải dán vào ô Mật khẩu.
3. Nhấn 'Đăng nhập'.</t>
  </si>
  <si>
    <t>BUG14_Quản lý Tài khoản</t>
  </si>
  <si>
    <t>Đăng nhập bằng tài khoản đã bị khóa</t>
  </si>
  <si>
    <t>1. Nhập Tên ĐN/Email của tài khoản đã bị khóa.
2. Nhập Mật khẩu đúng.
3. Nhấn 'Đăng nhập'.</t>
  </si>
  <si>
    <t>BUG15_Quản lý Tài khoản</t>
  </si>
  <si>
    <t>Tấn công XSS vào ô Tên đăng nhập</t>
  </si>
  <si>
    <t>1. Nhập mã độc XSS vào ô Tên đăng nhập.
2. Nhập Mật khẩu bất kỳ.
3. Nhấn 'Đăng nhập'.</t>
  </si>
  <si>
    <t>Nhập chuỗi ký tự quá dài (Buffer Overflow)</t>
  </si>
  <si>
    <t>1. Paste chuỗi dài 1000 ký tự vào ô Tên đăng nhập.
2. Nhập Mật khẩu.
3. Nhấn 'Đăng nhập'.</t>
  </si>
  <si>
    <t>Mất kết nối Internet khi nhấn Đăng nhập</t>
  </si>
  <si>
    <t>1. Nhập đúng thông tin.
2. Ngắt kết nối mạng (Wifi/LAN).
3. Nhấn 'Đăng nhập'.</t>
  </si>
  <si>
    <t>Trình duyệt báo lỗi mạng, form không bị treo (loading) vô hạn</t>
  </si>
  <si>
    <t>Error</t>
  </si>
  <si>
    <t>BUG16_Quản lý Tài khoản</t>
  </si>
  <si>
    <t>Đăng nhập bằng tài khoản đã bị xóa</t>
  </si>
  <si>
    <t>1. Nhập Tên ĐN/Email của tài khoản đã bị Admin xóa khỏi hệ thống.
2. Nhập Mật khẩu đúng (trước khi bị xóa).
3. Nhấn 'Đăng nhập'.</t>
  </si>
  <si>
    <t>BUG17_Quản lý Tài khoản</t>
  </si>
  <si>
    <t>3. Đăng xuất tài khoản</t>
  </si>
  <si>
    <t>Click đúp/Spam nút Đăng xuất</t>
  </si>
  <si>
    <t>1. Đang đăng nhập.
2. Click thật nhanh 2-3 lần vào nút 'Đăng xuất'</t>
  </si>
  <si>
    <t>Hệ thống xử lý mượt mà, chuyển trang bình thường.</t>
  </si>
  <si>
    <t>Lỗi: Hệ thống gặp lỗi hoặc không thể xử lý khi bị spam nút Đăng xuất</t>
  </si>
  <si>
    <t>BUG18_Quản lý Tài khoản</t>
  </si>
  <si>
    <t>Đăng nhập lại ngay lập tức</t>
  </si>
  <si>
    <t>1. Đăng xuất thành công khỏi hệ thống.
2. Tiến hành đăng nhập lại bằng chính tài khoản đó.</t>
  </si>
  <si>
    <t>Đăng nhập thành công, tạo một phiên làm việc (Session ID) hoàn toàn mới.</t>
  </si>
  <si>
    <t>Lỗi: Hệ thống không cho phép đăng nhập lại ngay lập tức sau khi vừa logout.</t>
  </si>
  <si>
    <t>BUG19_Quản lý Tài khoản</t>
  </si>
  <si>
    <t>Kiểm tra giao diện (UI) sau khi đăng xuất</t>
  </si>
  <si>
    <t>1. Đang đăng nhập (hiện Avatar/Tên user).
2. Nhấn Đăng xuất.
3. Quan sát thanh Menu/Header.</t>
  </si>
  <si>
    <t>Avatar/Tên user biến mất, hiển thị lại các nút 'Đăng nhập' và 'Đăng ký'.</t>
  </si>
  <si>
    <t>Lỗi: Sau khi đăng xuất, thanh điều hướng không cập nhật lại giao diện</t>
  </si>
  <si>
    <t>BUG20_Quản lý Tài khoản</t>
  </si>
  <si>
    <t>Đăng xuất hợp lệ (Happy Path)</t>
  </si>
  <si>
    <t>1. Đang ở trạng thái đăng nhập.
2. Nhấn nút/link 'Đăng xuất' trên menu.</t>
  </si>
  <si>
    <t>Xóa phiên làm việc, chuyển hướng về Trang chủ.</t>
  </si>
  <si>
    <t>Lỗi: Bấm nút Đăng xuất nhưng không chuyển hướng về trang Login</t>
  </si>
  <si>
    <t>BUG21_Quản lý Tài khoản</t>
  </si>
  <si>
    <t>Đăng xuất khi đang mở nhiều tab (Multi-tab)</t>
  </si>
  <si>
    <t>1. Mở hệ thống trên Tab 1 và Tab 2.
2. Nhấn Đăng xuất ở Tab 1.
3. Sang Tab 2, nhấn F5 hoặc click một liên kết</t>
  </si>
  <si>
    <t>Tab 2 lập tức bị văng ra, yêu cầu đăng nhập lại do session đã bị hủy ở Tab 1.</t>
  </si>
  <si>
    <t>Lỗi: Không đồng bộ trạng thái đăng xuất trên nhiều Tab</t>
  </si>
  <si>
    <t>BUG22_Quản lý Tài khoản</t>
  </si>
  <si>
    <t>4. Kiểm thử tính bền bỉ - Concurrent users</t>
  </si>
  <si>
    <t>Kiểm tra tính toàn vẹn khi ngắt kết nối đột ngột</t>
  </si>
  <si>
    <t>1. Bấm 'Đăng ký' hoặc 'Đăng nhập'. 
2. Rút mạng internet ngay lập tức.</t>
  </si>
  <si>
    <t>Trình duyệt báo lỗi mạng, không tạo ra data rác (hoặc login ảo) trên Server.</t>
  </si>
  <si>
    <t>BUG23_Quản lý Tài khoản</t>
  </si>
  <si>
    <t>Đăng nhập và Đăng xuất liên tiếp (Loop)</t>
  </si>
  <si>
    <t>Chạy script tự động: Login -&gt; Logout, lặp lại 100 lần cho 1 user.</t>
  </si>
  <si>
    <t>Không bị tràn bộ nhớ session, hệ thống xử lý ổn định cả 100 lần.</t>
  </si>
  <si>
    <t>Tải (Load test) trang Đăng nhập</t>
  </si>
  <si>
    <t>Dùng JMeter giả lập 100 người dùng truy cập trang /login cùng lúc.</t>
  </si>
  <si>
    <t>Thời gian phản hồi trang (Response time) &lt; 2 giây, không lỗi 500.</t>
  </si>
  <si>
    <t>CR7_Thanh toán</t>
  </si>
  <si>
    <t>By: La Thuận Phát</t>
  </si>
  <si>
    <t>Nhóm UI/UX</t>
  </si>
  <si>
    <t>Trạng thái Loading của nút Đặt hàng</t>
  </si>
  <si>
    <t>1. Điền đầy đủ thông tin hợp lệ.
2. Bấm vào btn 'Đặt hàng'.</t>
  </si>
  <si>
    <t>Nút 'Đặt hàng' bị mờ đi (disable) và hiển thị icon loading vòng tròn.</t>
  </si>
  <si>
    <t>La Thuận Phát</t>
  </si>
  <si>
    <t>Autofill thông tin tài khoản</t>
  </si>
  <si>
    <t>1. Đăng nhập vào tài khoản.
2. Điều hướng vào trang Checkout.</t>
  </si>
  <si>
    <t>Các field Tên, SĐT, Địa chỉ tự động được điền data đã lưu của user.</t>
  </si>
  <si>
    <t>Bảo lưu form khi thu nhỏ/chuyển tab</t>
  </si>
  <si>
    <t>1. Điền data vào form.
2. Chuyển sang tab khác rồi quay lại tab hiện tại.</t>
  </si>
  <si>
    <t>Dữ liệu đã nhập trên form vẫn được giữ nguyên.</t>
  </si>
  <si>
    <t>Responsive UI trên Mobile/Tablet</t>
  </si>
  <si>
    <t>1. Dùng Chrome DevTools mở chế độ Mobile (iPhone/iPad).
2. Kiểm tra hiển thị.</t>
  </si>
  <si>
    <t>Form không bị vỡ layout, các ô input và nút bấm vừa vặn màn hình.</t>
  </si>
  <si>
    <t>Form bị vỡ layout, nút bấm không hiển thị</t>
  </si>
  <si>
    <t>BUG1_ThanhToan</t>
  </si>
  <si>
    <t>Focus tự động vào ô báo lỗi</t>
  </si>
  <si>
    <t>1. Cố tình bỏ trống form.
2. Bấm btn 'Đặt hàng'.</t>
  </si>
  <si>
    <t>Màn hình tự động cuộn lên và trỏ chuột focus vào ô bị lỗi đầu tiên.</t>
  </si>
  <si>
    <t>Hiển thị placeholder/tooltip</t>
  </si>
  <si>
    <t>1. Click vào từng ô input trên form.</t>
  </si>
  <si>
    <t>Hiển thị rõ text mờ hướng dẫn bên trong ô (VD: Nhập số điện thoại...).</t>
  </si>
  <si>
    <t>Hiển thị text thông báo lỗi</t>
  </si>
  <si>
    <t>1. Nhập sai định dạng các trường.
2. Bấm btn 'Đặt hàng'.</t>
  </si>
  <si>
    <t>Text báo lỗi xuất hiện bên dưới input, có màu đỏ để dễ nhận biết.</t>
  </si>
  <si>
    <t>Điều hướng form bằng phím Tab</t>
  </si>
  <si>
    <t>1. Trỏ chuột vào ô đầu tiên.
2. Bấm phím Tab liên tục.</t>
  </si>
  <si>
    <t>Con trỏ nhảy đúng thứ tự tuần tự từ trên xuống dưới, trái qua phải.</t>
  </si>
  <si>
    <t>Font chữ và độ tương phản</t>
  </si>
  <si>
    <t>1. Truy cập trang bằng nhiều thiết bị/màn hình.</t>
  </si>
  <si>
    <t>Chữ rõ nét, màu chữ và màu nền tương phản tốt, không bị chìm.</t>
  </si>
  <si>
    <t>Form Validation</t>
  </si>
  <si>
    <t>Check validate bỏ trống form</t>
  </si>
  <si>
    <t>1. Bỏ trống toàn bộ các field trong form.
2. Bấm btn 'Đặt hàng'.</t>
  </si>
  <si>
    <t>Hiển thị text báo lỗi dưới các field yêu cầu nhập đầy đủ thông tin.</t>
  </si>
  <si>
    <t>Check validate SĐT chứa chữ cái</t>
  </si>
  <si>
    <t>1. Nhập SĐT chứa ký tự chữ.
2. Bấm btn 'Đặt hàng'.</t>
  </si>
  <si>
    <t>Hiển thị text báo lỗi định dạng SĐT không hợp lệ.</t>
  </si>
  <si>
    <t>Alert text : Đã thêm vào giỏ hàng!</t>
  </si>
  <si>
    <t>BUG2_ThanhToan</t>
  </si>
  <si>
    <t>Check validate SĐT sai độ dài</t>
  </si>
  <si>
    <t>1. Nhập SĐT có 8 số.
2. Bấm btn 'Đặt hàng'.</t>
  </si>
  <si>
    <t>Hiển thị text báo lỗi SĐT phải có đủ 10 chữ số.</t>
  </si>
  <si>
    <t>Không tìm thấy thông báo lỗi: 'SĐT phải có đủ 10 chữ số' trên màn hình hoặc trong validationMessage (Lỗi thực tế nhận được: ''</t>
  </si>
  <si>
    <t>BUG3_ThanhToan</t>
  </si>
  <si>
    <t>Check validate SĐT không bắt đầu bằng số 0</t>
  </si>
  <si>
    <t>1. Nhập SĐT bắt đầu bằng số khác 0.
2. Bấm btn 'Đặt hàng'.</t>
  </si>
  <si>
    <t>Hiển thị text báo lỗi SĐT phải bắt đầu bằng số 0.</t>
  </si>
  <si>
    <t>Không tìm thấy thông báo lỗi: 'SĐT phải bắt đầu bằng số 0' trên màn hình hoặc trong validationMessage (Lỗi thực tế nhận được: ''</t>
  </si>
  <si>
    <t>BUG4_ThanhToan</t>
  </si>
  <si>
    <t>Check validate Email sai định dạng</t>
  </si>
  <si>
    <t>1. Nhập email không có @.
2. Bấm btn 'Đặt hàng'.</t>
  </si>
  <si>
    <t>Hiển thị text báo lỗi định dạng Email không hợp lệ.</t>
  </si>
  <si>
    <t>Check validate Email vượt quá độ dài</t>
  </si>
  <si>
    <t>1. Nhập email dài hơn 255 ký tự.
2. Bấm btn 'Đặt hàng'.</t>
  </si>
  <si>
    <t>Hiển thị text báo lỗi email vượt quá số ký tự cho phép.</t>
  </si>
  <si>
    <t>BUG5_ThanhToan</t>
  </si>
  <si>
    <t>Check validate Email có tiếng Việt</t>
  </si>
  <si>
    <t>1. Nhập email chứa ký tự tiếng Việt có dấu.
2. Bấm btn 'Đặt hàng'.</t>
  </si>
  <si>
    <t>Hiển thị text báo lỗi email không được chứa tiếng Việt có dấu.</t>
  </si>
  <si>
    <t>Check validate Email nhiều ký tự @</t>
  </si>
  <si>
    <t>1. Nhập email chứa nhiều dấu @.
2. Bấm btn 'Đặt hàng'.</t>
  </si>
  <si>
    <t>Check validate nhập toàn space vào Tên</t>
  </si>
  <si>
    <t>1. Nhập khoảng trắng vào field Tên.
2. Bấm btn 'Đặt hàng'.</t>
  </si>
  <si>
    <t>Hiển thị text báo lỗi không được để trống Họ Tên.</t>
  </si>
  <si>
    <t>BUG6_ThanhToan</t>
  </si>
  <si>
    <t>Check validate Họ tên vượt quá độ dài</t>
  </si>
  <si>
    <t>1. Nhập tên dài hơn quy định (VD: 100 ký tự).
2. Bấm btn 'Đặt hàng'.</t>
  </si>
  <si>
    <t>Hiển thị text báo lỗi Họ Tên vượt quá giới hạn ký tự.</t>
  </si>
  <si>
    <t>BUG7_ThanhToan</t>
  </si>
  <si>
    <t>Check validate Họ tên có ký tự đặc biệt</t>
  </si>
  <si>
    <t>1. Nhập tên chứa @, #, $.
2. Bấm btn 'Đặt hàng'.</t>
  </si>
  <si>
    <t>Hiển thị text báo lỗi Họ Tên không được chứa ký tự đặc biệt.</t>
  </si>
  <si>
    <t>BUG8_ThanhToan</t>
  </si>
  <si>
    <t>Check validate Địa chỉ vượt quá độ dài</t>
  </si>
  <si>
    <t>1. Nhập chuỗi địa chỉ cực dài (&gt; 500 ký tự).
2. Bấm btn 'Đặt hàng'.</t>
  </si>
  <si>
    <t>Hiển thị text báo lỗi Địa chỉ quá dài.</t>
  </si>
  <si>
    <t>Không tìm thấy thông báo lỗi: 'Địa chỉ quá dài' trên màn hình hoặc trong validationMessage (Lỗi thực tế nhận được: ''</t>
  </si>
  <si>
    <t>BUG9_ThanhToan</t>
  </si>
  <si>
    <t>Check validate Địa chỉ toàn ký tự đặc biệt</t>
  </si>
  <si>
    <t>1. Nhập các ký hiệu đặc biệt vào field Địa chỉ.
2. Bấm btn 'Đặt hàng'.</t>
  </si>
  <si>
    <t>Hiển thị text báo lỗi Địa chỉ không hợp lệ.</t>
  </si>
  <si>
    <t>Không tìm thấy thông báo lỗi: 'Địa chỉ không hợp lệ' trên màn hình hoặc trong validationMessage (Lỗi thực tế nhận được: ''</t>
  </si>
  <si>
    <t>BUG10_ThanhToan</t>
  </si>
  <si>
    <t>Check validate SĐT chứa khoảng trắng</t>
  </si>
  <si>
    <t>1. Nhập SĐT chứa khoảng trắng xen kẽ.
2. Bấm btn 'Đặt hàng'.</t>
  </si>
  <si>
    <t>Hệ thống tự loại bỏ khoảng trắng hoặc hiển thị lỗi yêu cầu nhập sát nhau.</t>
  </si>
  <si>
    <t>Không tìm thấy thông báo lỗi: 'SĐT không hợp lệ' trên màn hình hoặc trong validationMessage (Lỗi thực tế nhận được: ''</t>
  </si>
  <si>
    <t>BUG11_ThanhToan</t>
  </si>
  <si>
    <t>Check validate Email thiếu domain</t>
  </si>
  <si>
    <t>1. Nhập email kết thúc bằng ký tự '.' .
2. Bấm btn 'Đặt hàng'.</t>
  </si>
  <si>
    <t>Hiển thị text báo lỗi định dạng Email.</t>
  </si>
  <si>
    <t>Nhập mã giảm giá không tồn tại</t>
  </si>
  <si>
    <t>1. Nhập mã sai vào ô Voucher.
2. Bấm btn 'Áp dụng'.</t>
  </si>
  <si>
    <t>Hiển thị popup/text báo lỗi mã giảm giá không tồn tại.</t>
  </si>
  <si>
    <t>Trang web không có Voucher.</t>
  </si>
  <si>
    <t>BUG12_ThanhToan</t>
  </si>
  <si>
    <t>Nhập mã giảm giá đã hết hạn</t>
  </si>
  <si>
    <t>1. Nhập mã đã qua hạn dùng.
2. Bấm btn 'Áp dụng'.</t>
  </si>
  <si>
    <t>Hiển thị text báo lỗi mã giảm giá đã hết hạn hoặc hết lượt.</t>
  </si>
  <si>
    <t>BUG13_ThanhToan</t>
  </si>
  <si>
    <t>Để trống mã giảm giá và bấm Áp dụng</t>
  </si>
  <si>
    <t>1. Để trống field mã giảm giá.
2. Bấm btn 'Áp dụng'.</t>
  </si>
  <si>
    <t>Hiển thị báo lỗi yêu cầu nhập mã giảm giá.</t>
  </si>
  <si>
    <t>BUG14_ThanhToan</t>
  </si>
  <si>
    <t>Nhập chữ vào input số lượng</t>
  </si>
  <si>
    <t>1. Bôi đen số lượng, nhập chữ cái vào.
2. Click ra ngoài.</t>
  </si>
  <si>
    <t>Không cho nhập chữ, hệ thống tự động reset lại giá trị là 1.</t>
  </si>
  <si>
    <t>BUG15_ThanhToan</t>
  </si>
  <si>
    <t>Functional</t>
  </si>
  <si>
    <t>Đặt hàng COD thành công</t>
  </si>
  <si>
    <t>1. Điền data đúng.
2. Chọn Thanh toán khi nhận hàng.
3. Bấm Đặt hàng.</t>
  </si>
  <si>
    <t>Chuyển hướng sang trang "Đặt hàng thành công", hiển thị mã đơn.</t>
  </si>
  <si>
    <t>Xóa giỏ hàng sau thanh toán</t>
  </si>
  <si>
    <t>1. Tạo đơn hàng thành công.
2. Quay về trang chủ, vào lại Giỏ hàng.</t>
  </si>
  <si>
    <t>Giỏ hàng báo trống (0 sản phẩm).</t>
  </si>
  <si>
    <t>Mua vượt giới hạn Tồn kho</t>
  </si>
  <si>
    <t>1. Nhập số lượng mua lớn hơn tồn kho.
2. Tiến hành Checkout.</t>
  </si>
  <si>
    <t>Hệ thống chặn lại và báo lỗi sản phẩm không đủ trong kho.</t>
  </si>
  <si>
    <t>Tính Subtotal (1 Sản phẩm)</t>
  </si>
  <si>
    <t>1. Thêm 1 sản phẩm, nhập số lượng 2.
2. Xem màn hình Checkout.</t>
  </si>
  <si>
    <t>Dòng Tạm tính (Subtotal) = Giá bán x 2 (chính xác).</t>
  </si>
  <si>
    <t>Tính Subtotal (Nhiều Sản phẩm)</t>
  </si>
  <si>
    <t>1. Thêm 3 sản phẩm khác nhau vào giỏ.
2. Xem màn Checkout.</t>
  </si>
  <si>
    <t>Tạm tính = Tổng tiền cộng dồn của 3 sản phẩm.</t>
  </si>
  <si>
    <t>Ràng buộc Giá Bán</t>
  </si>
  <si>
    <t>1. F12 (Inspect) sửa HTML giá trị thành 1 VND.
2. Bấm Đặt hàng.</t>
  </si>
  <si>
    <t>API từ chối request, báo lỗi sai lệch dữ liệu giá bán.</t>
  </si>
  <si>
    <t>Không tìm thấy đơn hàng vừa đặt trong database</t>
  </si>
  <si>
    <t>BUG16_ThanhToan</t>
  </si>
  <si>
    <t>Tính phí vận chuyển (Shipping fee)</t>
  </si>
  <si>
    <t>1. Ở ô Địa chỉ, chọn Tỉnh/Thành khác nhau.</t>
  </si>
  <si>
    <t>Cột Phí vận chuyển tự động cập nhật số tiền tương ứng vùng miền.</t>
  </si>
  <si>
    <t>Không có chức năng hủy đơn hàng</t>
  </si>
  <si>
    <t>BUG17_ThanhToan</t>
  </si>
  <si>
    <t>Tính Tổng tiền cuối cùng (Total)</t>
  </si>
  <si>
    <t>1. Kiểm tra bảng tóm tắt đơn hàng.</t>
  </si>
  <si>
    <t>Tổng tiền (Total) = Tạm tính (Subtotal) + Phí vận chuyển.</t>
  </si>
  <si>
    <t>Tính Tổng tiền khi có Voucher</t>
  </si>
  <si>
    <t>1. Áp dụng thành công mã giảm 10%.
2. Check Total.</t>
  </si>
  <si>
    <t>Tổng tiền = (Tạm tính - 10%) + Phí vận chuyển.</t>
  </si>
  <si>
    <t>BUG18_ThanhToan</t>
  </si>
  <si>
    <t>Thanh toán qua thẻ Visa/Master</t>
  </si>
  <si>
    <t>1. Chọn Visa.
2. Nhập thông tin thẻ test.
3. Submit.</t>
  </si>
  <si>
    <t>Redirect sang màn hình 3D Secure, thanh toán thành công.</t>
  </si>
  <si>
    <t>Trang web không có thanh toán bằng Vissa.</t>
  </si>
  <si>
    <t>BUG19_ThanhToan</t>
  </si>
  <si>
    <t>Thanh toán qua Ví MoMo</t>
  </si>
  <si>
    <t>1. Chọn MoMo.
2. Bấm Đặt hàng.</t>
  </si>
  <si>
    <t>Redirect sang trang MoMo, hiện QR Code chuẩn xác.</t>
  </si>
  <si>
    <t>Gửi Email xác nhận đơn hàng</t>
  </si>
  <si>
    <t>1. Đặt hàng thành công.
2. Mở hộp thư email cá nhân.</t>
  </si>
  <si>
    <t>Nhận được email từ hệ thống với chi tiết đơn hàng vừa tạo.</t>
  </si>
  <si>
    <t>Trang web không có chức năng gửi email.</t>
  </si>
  <si>
    <t>BUG20_ThanhToan</t>
  </si>
  <si>
    <t>Xem lại chi tiết đơn ở màn Success</t>
  </si>
  <si>
    <t>1. Thanh toán xong.
2. Đọc thông tin trên màn hình Thành công.</t>
  </si>
  <si>
    <t>Hiển thị đúng: Tên, Địa chỉ nhận, Mã đơn hàng, Tổng tiền.</t>
  </si>
  <si>
    <t>Database &amp; API Functional</t>
  </si>
  <si>
    <t>Trừ Tồn Kho DB (1 SP)</t>
  </si>
  <si>
    <t>1. Mua thành công 1 sản phẩm A.
2. Query database kiểm tra.</t>
  </si>
  <si>
    <t>Số lượng tồn kho sản phẩm A giảm đúng bằng số lượng đã mua.</t>
  </si>
  <si>
    <t>Trừ Tồn Kho DB (Nhiều SP)</t>
  </si>
  <si>
    <t>1. Mua thành công 3 SP khác nhau.
2. Query DB kiểm tra.</t>
  </si>
  <si>
    <t>Tồn kho của cả 3 SP đều giảm chuẩn xác.</t>
  </si>
  <si>
    <t>Lưu thông tin Khách Vãng Lai (Guest)</t>
  </si>
  <si>
    <t>1. Mua hàng không cần Login.
2. Hoàn tất đơn.</t>
  </si>
  <si>
    <t>DB tạo record order và liên kết đúng data thông tin nhập trên form.</t>
  </si>
  <si>
    <t>Cập nhật Status Hủy đơn</t>
  </si>
  <si>
    <t>1. User bấm Hủy đơn hàng.
2. Check DB.</t>
  </si>
  <si>
    <t>Cột Status của đơn hàng chuyển từ 'Pending' sang 'Cancelled'.</t>
  </si>
  <si>
    <t>Hoàn lại tồn kho khi Hủy đơn</t>
  </si>
  <si>
    <t>1. Bấm Hủy đơn hàng vừa đặt.
2. Check DB Tồn kho.</t>
  </si>
  <si>
    <t>Số lượng tồn kho cộng ngược lại đúng bằng số lượng đã hủy.</t>
  </si>
  <si>
    <t>Admin cập nhật trạng thái đơn</t>
  </si>
  <si>
    <t>1. Đăng nhập Admin CMS, đổi status đơn sang 'Đang giao'.</t>
  </si>
  <si>
    <t>DB ghi nhận Status='Shipping', phía user cũng thấy hiển thị tương ứng.</t>
  </si>
  <si>
    <t>Xóa đơn hàng (Soft Delete)</t>
  </si>
  <si>
    <t>1. Admin bấm nút xóa đơn hàng rác.
2. Check DB.</t>
  </si>
  <si>
    <t>Đơn hàng không biến mất mà update cờ is_deleted = 1.</t>
  </si>
  <si>
    <t>Ghi log giao dịch (Transaction Log)</t>
  </si>
  <si>
    <t>1. Thanh toán bằng thẻ.
2. Check bảng Transaction_Log.</t>
  </si>
  <si>
    <t>DB lưu lại đầy đủ Request_ID và Response từ đối tác thanh toán.</t>
  </si>
  <si>
    <t>Lưu trạng thái Failed khi thẻ lỗi</t>
  </si>
  <si>
    <t>1. Dùng thẻ test bị từ chối thanh toán.
2. Check DB.</t>
  </si>
  <si>
    <t>Hệ thống vẫn tạo đơn nhưng Status là 'Payment Failed' hoặc hủy bỏ.</t>
  </si>
  <si>
    <t>Rollback Database khi lỗi server</t>
  </si>
  <si>
    <t>1. Tắt DB/simulate crash đúng lúc đang insert order.</t>
  </si>
  <si>
    <t>Không có dữ liệu thừa bị sinh ra, Tồn kho không bị trừ sai.</t>
  </si>
  <si>
    <t>Interruption, Browser &amp; Network</t>
  </si>
  <si>
    <t>Double Click nút Đặt hàng</t>
  </si>
  <si>
    <t>1. Điền form.
2. Click chuột liên tiếp 5 lần vào nút Đặt hàng.</t>
  </si>
  <si>
    <t>API chỉ ghi nhận 1 request, chỉ có 1 đơn hàng duy nhất được tạo.</t>
  </si>
  <si>
    <t>Đổi phương thức thanh toán liên tục</t>
  </si>
  <si>
    <t>1. Click chọn qua lại giữa COD, MoMo, Visa nhiều lần.
2. Submit.</t>
  </si>
  <si>
    <t>Hệ thống gửi request với phương thức thanh toán được chọn cuối cùng.</t>
  </si>
  <si>
    <t>Bấm nút Back trình duyệt sau thanh toán</t>
  </si>
  <si>
    <t>1. Ở màn hình Thành công, bấm mũi tên Back trên browser.</t>
  </si>
  <si>
    <t>User bị đá về trang chủ hoặc thông báo đơn đã tạo, không tạo lại đơn mới.</t>
  </si>
  <si>
    <t>Bấm nút Forward trình duyệt</t>
  </si>
  <si>
    <t>1. Đang ở Giỏ hàng, bấm Forward tiến tới Checkout.</t>
  </si>
  <si>
    <t>Nếu giỏ hàng có đồ thì vào được, nếu trống thì bị block ở Giỏ hàng.</t>
  </si>
  <si>
    <t>Đóng trình duyệt đột ngột</t>
  </si>
  <si>
    <t>1. Bấm Đặt hàng, màn hình đang quay loading thì nhấn [X] tắt Tab.</t>
  </si>
  <si>
    <t>Đơn hàng ở DB chuyển trạng thái Cancel hoặc pending timeout.</t>
  </si>
  <si>
    <t>Đơn hàng duyệt thành công</t>
  </si>
  <si>
    <t>BUG21_ThanhToan</t>
  </si>
  <si>
    <t>Mất mạng khi đang điền form</t>
  </si>
  <si>
    <t>1. Rút dây mạng/tắt Wifi.
2. Bấm Đặt hàng.</t>
  </si>
  <si>
    <t>Hiển thị thông báo popup/toast "Mất kết nối mạng, vui lòng thử lại".</t>
  </si>
  <si>
    <t>BUG22_ThanhToan</t>
  </si>
  <si>
    <t>Session Timeout</t>
  </si>
  <si>
    <t>1. Mở trang Checkout, treo máy 30 phút.
2. Quay lại bấm Submit.</t>
  </si>
  <si>
    <t>Hệ thống báo lỗi hết phiên, yêu cầu reload lại trang để lấy giá mới.</t>
  </si>
  <si>
    <t>Thao tác đồng thời trên 2 Tab</t>
  </si>
  <si>
    <t>1. Mở Checkout ở Tab 1.
2. Sang Tab 2 xóa sạch giỏ hàng.
3. Về Tab 1 bấm Đặt.</t>
  </si>
  <si>
    <t>Tab 1 báo lỗi giỏ hàng trống, từ chối tạo đơn.</t>
  </si>
  <si>
    <t>Chủ động xóa Cookies/Session</t>
  </si>
  <si>
    <t>1. Nhấn F12 vào Application xóa sạch Session/Cookies.
2. Bấm Đặt.</t>
  </si>
  <si>
    <t>Hệ thống văng ra trang Login hoặc báo lỗi phiên không hợp lệ.</t>
  </si>
  <si>
    <t>Bấm F5 khi đang gọi API</t>
  </si>
  <si>
    <t>1. Bấm Đặt hàng, trong lúc đợi server phản hồi thì nhấn F5.</t>
  </si>
  <si>
    <t>Không sinh ra 2 đơn hàng trùng lặp, xử lý trạng thái an toàn.</t>
  </si>
  <si>
    <t>Chuyển đổi mạng khi đang tải</t>
  </si>
  <si>
    <t>1. Đang bấm Đặt hàng thì tắt Wifi, máy tự nhảy sang 4G.</t>
  </si>
  <si>
    <t>Trình duyệt retry request hoặc báo lỗi timeout rõ ràng cho user.</t>
  </si>
  <si>
    <t>Security</t>
  </si>
  <si>
    <t>Test XSS Form Tên</t>
  </si>
  <si>
    <t>1. Nhập đoạn script vào trường Tên.
2. Bấm Đặt hàng.</t>
  </si>
  <si>
    <t>Payload bị hệ thống mã hóa (escape) thành text thường, không có alert bật lên.</t>
  </si>
  <si>
    <t>Test XSS Form Địa chỉ</t>
  </si>
  <si>
    <t>1. Nhập đoạn script vào trường Địa chỉ.
2. Bấm Đặt hàng.</t>
  </si>
  <si>
    <t>Payload bị hệ thống từ chối hoặc mã hóa, an toàn.</t>
  </si>
  <si>
    <t>Test SQL Injection Form</t>
  </si>
  <si>
    <t>1. Nhập payload SQL cơ bản vào các ô input.
2. Submit.</t>
  </si>
  <si>
    <t>Form validate từ chối hoặc hệ thống xử lý tham số an toàn, không lộ DB.</t>
  </si>
  <si>
    <t>Race Condition (Mua trùng SP)</t>
  </si>
  <si>
    <t>1. Kho còn 1 SP.
2. Hai user bấm Checkout ở cùng 1 phần nghìn giây.</t>
  </si>
  <si>
    <t>Chỉ duy nhất 1 user mua được, user còn lại nhận thông báo "Hết hàng".</t>
  </si>
  <si>
    <t>Bypass IDOR xem đơn người khác</t>
  </si>
  <si>
    <t>1. Có được link xem đơn hàng (VD: /order=12).
2. Sửa số 12 thành số khác.</t>
  </si>
  <si>
    <t>Hệ thống báo lỗi 403 Forbidden, không cho phép xem đơn người khác.</t>
  </si>
  <si>
    <t>Mua SP bị ẩn bằng API</t>
  </si>
  <si>
    <t>1. Dùng Postman gọi API đẩy 1 SP đã bị ẩn/xóa vào giỏ.
2. Checkout.</t>
  </si>
  <si>
    <t>API trả về mã lỗi, từ chối cho phép thanh toán sản phẩm không tồn tại.</t>
  </si>
  <si>
    <t>BUG23_ThanhToan</t>
  </si>
  <si>
    <t>Stress Test bằng JMeter</t>
  </si>
  <si>
    <t>1. Dùng JMeter giả lập 1000 user cùng bấm Đặt hàng 1 lúc.</t>
  </si>
  <si>
    <t>Server không bị crash (Sập), tỷ lệ lỗi ở mức cho phép, phản hồi ổn định.</t>
  </si>
  <si>
    <t>Test Rate Limiting bằng Postman</t>
  </si>
  <si>
    <t>1. Dùng Postman call API tạo đơn hàng liên tục 100 lần/giây.</t>
  </si>
  <si>
    <t>Trả về HTTP Status 429 Too Many Requests, chặn IP tạm thời.</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</si>
</sst>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m/d/yyyy;@"/>
    <numFmt numFmtId="180" formatCode="[$-409]d\-mmm\-yy;@"/>
  </numFmts>
  <fonts count="62">
    <font>
      <sz val="11"/>
      <name val="ＭＳ Ｐゴシック"/>
      <charset val="134"/>
    </font>
    <font>
      <sz val="13"/>
      <color indexed="8"/>
      <name val="Times New Roman"/>
      <charset val="134"/>
    </font>
    <font>
      <sz val="13"/>
      <name val="Times New Roman"/>
      <charset val="134"/>
    </font>
    <font>
      <b/>
      <sz val="13"/>
      <name val="Times New Roman"/>
      <charset val="134"/>
    </font>
    <font>
      <sz val="13"/>
      <name val="Times New Roman"/>
      <charset val="134"/>
    </font>
    <font>
      <sz val="13"/>
      <color rgb="FF000000"/>
      <name val="Times New Roman"/>
      <charset val="134"/>
    </font>
    <font>
      <b/>
      <sz val="13"/>
      <color rgb="FFFFFFFF"/>
      <name val="Times New Roman"/>
      <charset val="134"/>
    </font>
    <font>
      <b/>
      <sz val="13"/>
      <color theme="0"/>
      <name val="Times New Roman"/>
      <charset val="134"/>
    </font>
    <font>
      <b/>
      <sz val="13"/>
      <color rgb="FF1F1F1F"/>
      <name val="Times New Roman"/>
      <charset val="134"/>
    </font>
    <font>
      <sz val="13"/>
      <color rgb="FF1F1F1F"/>
      <name val="Times New Roman"/>
      <charset val="134"/>
    </font>
    <font>
      <b/>
      <sz val="13"/>
      <color rgb="FF1F4E78"/>
      <name val="Times New Roman"/>
      <charset val="134"/>
    </font>
    <font>
      <b/>
      <sz val="13"/>
      <name val="Times New Roman"/>
      <charset val="134"/>
    </font>
    <font>
      <sz val="13"/>
      <color indexed="8"/>
      <name val="Times New Roman"/>
      <charset val="134"/>
    </font>
    <font>
      <b/>
      <sz val="13"/>
      <color indexed="8"/>
      <name val="Times New Roman"/>
      <charset val="134"/>
    </font>
    <font>
      <sz val="13"/>
      <color rgb="FF212121"/>
      <name val="Times New Roman"/>
      <charset val="134"/>
    </font>
    <font>
      <sz val="13"/>
      <color rgb="FF1F1F1F"/>
      <name val="Times New Roman"/>
      <charset val="134"/>
    </font>
    <font>
      <sz val="13"/>
      <color theme="1"/>
      <name val="Times New Roman"/>
      <charset val="134"/>
    </font>
    <font>
      <b/>
      <sz val="13"/>
      <color indexed="8"/>
      <name val="Times New Roman"/>
      <charset val="134"/>
    </font>
    <font>
      <sz val="13"/>
      <color indexed="10"/>
      <name val="Times New Roman"/>
      <charset val="134"/>
    </font>
    <font>
      <sz val="8"/>
      <color indexed="8"/>
      <name val="Tahoma"/>
      <charset val="134"/>
    </font>
    <font>
      <sz val="10"/>
      <color indexed="8"/>
      <name val="Tahoma"/>
      <charset val="134"/>
    </font>
    <font>
      <sz val="12"/>
      <color indexed="8"/>
      <name val="Tahoma"/>
      <charset val="134"/>
    </font>
    <font>
      <sz val="12"/>
      <name val="ＭＳ Ｐゴシック"/>
      <charset val="128"/>
    </font>
    <font>
      <sz val="11"/>
      <name val="ＭＳ Ｐゴシック"/>
      <charset val="128"/>
    </font>
    <font>
      <b/>
      <sz val="10"/>
      <name val="Tahoma"/>
      <charset val="134"/>
    </font>
    <font>
      <sz val="10"/>
      <name val="Tahoma"/>
      <charset val="134"/>
    </font>
    <font>
      <b/>
      <sz val="12"/>
      <color indexed="9"/>
      <name val="Times New Roman"/>
      <charset val="134"/>
    </font>
    <font>
      <sz val="12"/>
      <color indexed="8"/>
      <name val="Times New Roman"/>
      <charset val="134"/>
    </font>
    <font>
      <sz val="12"/>
      <name val="Times New Roman"/>
      <charset val="134"/>
    </font>
    <font>
      <b/>
      <sz val="12"/>
      <name val="Times New Roman"/>
      <charset val="134"/>
    </font>
    <font>
      <sz val="12"/>
      <name val="Times New Roman"/>
      <charset val="163"/>
    </font>
    <font>
      <sz val="12"/>
      <name val="Times  New Roman"/>
      <charset val="163"/>
    </font>
    <font>
      <sz val="12"/>
      <color indexed="8"/>
      <name val="Times New Roman"/>
      <charset val="163"/>
    </font>
    <font>
      <b/>
      <sz val="12"/>
      <color indexed="8"/>
      <name val="Times New Roman"/>
      <charset val="134"/>
    </font>
    <font>
      <sz val="13"/>
      <color rgb="FF101010"/>
      <name val="Times New Roman"/>
      <charset val="134"/>
    </font>
    <font>
      <b/>
      <sz val="13"/>
      <color indexed="9"/>
      <name val="Times New Roman"/>
      <charset val="134"/>
    </font>
    <font>
      <sz val="13"/>
      <color rgb="FF212121"/>
      <name val="Times New Roman"/>
      <charset val="134"/>
    </font>
    <font>
      <b/>
      <sz val="18"/>
      <name val="Tahoma"/>
      <charset val="134"/>
    </font>
    <font>
      <b/>
      <sz val="10"/>
      <color indexed="9"/>
      <name val="Tahoma"/>
      <charset val="134"/>
    </font>
    <font>
      <sz val="10"/>
      <color indexed="9"/>
      <name val="Tahoma"/>
      <charset val="134"/>
    </font>
    <font>
      <b/>
      <sz val="10"/>
      <color indexed="12"/>
      <name val="Tahoma"/>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9"/>
      <name val="ＭＳ ゴシック"/>
      <charset val="134"/>
    </font>
    <font>
      <b/>
      <sz val="13"/>
      <name val="SimSun"/>
      <charset val="134"/>
    </font>
  </fonts>
  <fills count="51">
    <fill>
      <patternFill patternType="none"/>
    </fill>
    <fill>
      <patternFill patternType="gray125"/>
    </fill>
    <fill>
      <patternFill patternType="solid">
        <fgColor indexed="9"/>
        <bgColor indexed="64"/>
      </patternFill>
    </fill>
    <fill>
      <patternFill patternType="solid">
        <fgColor rgb="FF1F4E78"/>
        <bgColor indexed="64"/>
      </patternFill>
    </fill>
    <fill>
      <patternFill patternType="solid">
        <fgColor theme="3"/>
        <bgColor indexed="64"/>
      </patternFill>
    </fill>
    <fill>
      <patternFill patternType="solid">
        <fgColor theme="4"/>
        <bgColor indexed="64"/>
      </patternFill>
    </fill>
    <fill>
      <patternFill patternType="solid">
        <fgColor rgb="FFD9EAF7"/>
        <bgColor indexed="64"/>
      </patternFill>
    </fill>
    <fill>
      <patternFill patternType="solid">
        <fgColor theme="6"/>
        <bgColor indexed="64"/>
      </patternFill>
    </fill>
    <fill>
      <patternFill patternType="solid">
        <fgColor theme="5"/>
        <bgColor indexed="64"/>
      </patternFill>
    </fill>
    <fill>
      <patternFill patternType="solid">
        <fgColor indexed="41"/>
        <bgColor indexed="64"/>
      </patternFill>
    </fill>
    <fill>
      <patternFill patternType="solid">
        <fgColor indexed="56"/>
        <bgColor indexed="64"/>
      </patternFill>
    </fill>
    <fill>
      <patternFill patternType="solid">
        <fgColor rgb="FFBDD7EE"/>
        <bgColor indexed="64"/>
      </patternFill>
    </fill>
    <fill>
      <patternFill patternType="solid">
        <fgColor theme="0"/>
        <bgColor indexed="64"/>
      </patternFill>
    </fill>
    <fill>
      <patternFill patternType="solid">
        <fgColor theme="5" tint="0.4"/>
        <bgColor indexed="64"/>
      </patternFill>
    </fill>
    <fill>
      <patternFill patternType="solid">
        <fgColor theme="3" tint="0.249977111117893"/>
        <bgColor indexed="64"/>
      </patternFill>
    </fill>
    <fill>
      <patternFill patternType="solid">
        <fgColor rgb="FFF3F4F6"/>
        <bgColor indexed="64"/>
      </patternFill>
    </fill>
    <fill>
      <patternFill patternType="solid">
        <fgColor theme="3" tint="0.899990844447157"/>
        <bgColor indexed="64"/>
      </patternFill>
    </fill>
    <fill>
      <patternFill patternType="solid">
        <fgColor rgb="FFD9E1F2"/>
        <bgColor indexed="64"/>
      </patternFill>
    </fill>
    <fill>
      <patternFill patternType="solid">
        <fgColor indexed="61"/>
        <bgColor indexed="64"/>
      </patternFill>
    </fill>
    <fill>
      <patternFill patternType="solid">
        <fgColor theme="6" tint="0.399914548173467"/>
        <bgColor indexed="64"/>
      </patternFill>
    </fill>
    <fill>
      <patternFill patternType="solid">
        <fgColor theme="5" tint="0.399914548173467"/>
        <bgColor indexed="64"/>
      </patternFill>
    </fill>
    <fill>
      <patternFill patternType="solid">
        <fgColor theme="3" tint="0.8"/>
        <bgColor indexed="64"/>
      </patternFill>
    </fill>
    <fill>
      <patternFill patternType="solid">
        <fgColor indexed="1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style="thin">
        <color auto="1"/>
      </right>
      <top/>
      <bottom/>
      <diagonal/>
    </border>
    <border>
      <left style="thin">
        <color auto="1"/>
      </left>
      <right/>
      <top/>
      <bottom style="thin">
        <color auto="1"/>
      </bottom>
      <diagonal/>
    </border>
    <border>
      <left/>
      <right style="thin">
        <color rgb="FF000000"/>
      </right>
      <top/>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rgb="FF000000"/>
      </bottom>
      <diagonal/>
    </border>
    <border>
      <left style="thin">
        <color auto="1"/>
      </left>
      <right/>
      <top style="medium">
        <color auto="1"/>
      </top>
      <bottom style="thin">
        <color auto="1"/>
      </bottom>
      <diagonal/>
    </border>
    <border>
      <left style="thin">
        <color auto="1"/>
      </left>
      <right style="thin">
        <color auto="1"/>
      </right>
      <top/>
      <bottom/>
      <diagonal/>
    </border>
    <border>
      <left style="thin">
        <color auto="1"/>
      </left>
      <right style="hair">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41" fillId="0" borderId="0">
      <alignment vertical="center"/>
    </xf>
    <xf numFmtId="44" fontId="41" fillId="0" borderId="0">
      <alignment vertical="center"/>
    </xf>
    <xf numFmtId="9" fontId="41" fillId="0" borderId="0">
      <alignment vertical="center"/>
    </xf>
    <xf numFmtId="177" fontId="41" fillId="0" borderId="0">
      <alignment vertical="center"/>
    </xf>
    <xf numFmtId="42" fontId="41" fillId="0" borderId="0">
      <alignment vertical="center"/>
    </xf>
    <xf numFmtId="0" fontId="42" fillId="0" borderId="0">
      <alignment vertical="center"/>
    </xf>
    <xf numFmtId="0" fontId="43" fillId="0" borderId="0">
      <alignment vertical="center"/>
    </xf>
    <xf numFmtId="0" fontId="41" fillId="23" borderId="42">
      <alignment vertical="center"/>
    </xf>
    <xf numFmtId="0" fontId="44" fillId="0" borderId="0">
      <alignment vertical="center"/>
    </xf>
    <xf numFmtId="0" fontId="45" fillId="0" borderId="0">
      <alignment vertical="center"/>
    </xf>
    <xf numFmtId="0" fontId="46" fillId="0" borderId="0">
      <alignment vertical="center"/>
    </xf>
    <xf numFmtId="0" fontId="47" fillId="0" borderId="43">
      <alignment vertical="center"/>
    </xf>
    <xf numFmtId="0" fontId="48" fillId="0" borderId="43">
      <alignment vertical="center"/>
    </xf>
    <xf numFmtId="0" fontId="49" fillId="0" borderId="44">
      <alignment vertical="center"/>
    </xf>
    <xf numFmtId="0" fontId="49" fillId="0" borderId="0">
      <alignment vertical="center"/>
    </xf>
    <xf numFmtId="0" fontId="50" fillId="24" borderId="45">
      <alignment vertical="center"/>
    </xf>
    <xf numFmtId="0" fontId="51" fillId="25" borderId="46">
      <alignment vertical="center"/>
    </xf>
    <xf numFmtId="0" fontId="52" fillId="25" borderId="45">
      <alignment vertical="center"/>
    </xf>
    <xf numFmtId="0" fontId="53" fillId="26" borderId="47">
      <alignment vertical="center"/>
    </xf>
    <xf numFmtId="0" fontId="54" fillId="0" borderId="48">
      <alignment vertical="center"/>
    </xf>
    <xf numFmtId="0" fontId="55" fillId="0" borderId="49">
      <alignment vertical="center"/>
    </xf>
    <xf numFmtId="0" fontId="56" fillId="27" borderId="0">
      <alignment vertical="center"/>
    </xf>
    <xf numFmtId="0" fontId="57" fillId="28" borderId="0">
      <alignment vertical="center"/>
    </xf>
    <xf numFmtId="0" fontId="58" fillId="29" borderId="0">
      <alignment vertical="center"/>
    </xf>
    <xf numFmtId="0" fontId="59" fillId="5" borderId="0">
      <alignment vertical="center"/>
    </xf>
    <xf numFmtId="0" fontId="41" fillId="30" borderId="0">
      <alignment vertical="center"/>
    </xf>
    <xf numFmtId="0" fontId="41" fillId="31" borderId="0">
      <alignment vertical="center"/>
    </xf>
    <xf numFmtId="0" fontId="59" fillId="32" borderId="0">
      <alignment vertical="center"/>
    </xf>
    <xf numFmtId="0" fontId="59" fillId="8" borderId="0">
      <alignment vertical="center"/>
    </xf>
    <xf numFmtId="0" fontId="41" fillId="33" borderId="0">
      <alignment vertical="center"/>
    </xf>
    <xf numFmtId="0" fontId="41" fillId="34" borderId="0">
      <alignment vertical="center"/>
    </xf>
    <xf numFmtId="0" fontId="59" fillId="35" borderId="0">
      <alignment vertical="center"/>
    </xf>
    <xf numFmtId="0" fontId="59" fillId="7" borderId="0">
      <alignment vertical="center"/>
    </xf>
    <xf numFmtId="0" fontId="41" fillId="36" borderId="0">
      <alignment vertical="center"/>
    </xf>
    <xf numFmtId="0" fontId="41" fillId="37" borderId="0">
      <alignment vertical="center"/>
    </xf>
    <xf numFmtId="0" fontId="59" fillId="38" borderId="0">
      <alignment vertical="center"/>
    </xf>
    <xf numFmtId="0" fontId="59" fillId="39" borderId="0">
      <alignment vertical="center"/>
    </xf>
    <xf numFmtId="0" fontId="41" fillId="40" borderId="0">
      <alignment vertical="center"/>
    </xf>
    <xf numFmtId="0" fontId="41" fillId="41" borderId="0">
      <alignment vertical="center"/>
    </xf>
    <xf numFmtId="0" fontId="59" fillId="42" borderId="0">
      <alignment vertical="center"/>
    </xf>
    <xf numFmtId="0" fontId="59" fillId="43" borderId="0">
      <alignment vertical="center"/>
    </xf>
    <xf numFmtId="0" fontId="41" fillId="44" borderId="0">
      <alignment vertical="center"/>
    </xf>
    <xf numFmtId="0" fontId="41" fillId="45" borderId="0">
      <alignment vertical="center"/>
    </xf>
    <xf numFmtId="0" fontId="59" fillId="46" borderId="0">
      <alignment vertical="center"/>
    </xf>
    <xf numFmtId="0" fontId="59" fillId="47" borderId="0">
      <alignment vertical="center"/>
    </xf>
    <xf numFmtId="0" fontId="41" fillId="48" borderId="0">
      <alignment vertical="center"/>
    </xf>
    <xf numFmtId="0" fontId="41" fillId="49" borderId="0">
      <alignment vertical="center"/>
    </xf>
    <xf numFmtId="0" fontId="59" fillId="50" borderId="0">
      <alignment vertical="center"/>
    </xf>
    <xf numFmtId="0" fontId="0" fillId="0" borderId="0"/>
    <xf numFmtId="0" fontId="0" fillId="0" borderId="0"/>
    <xf numFmtId="0" fontId="60" fillId="0" borderId="0"/>
  </cellStyleXfs>
  <cellXfs count="414">
    <xf numFmtId="0" fontId="0" fillId="0" borderId="0" xfId="0"/>
    <xf numFmtId="0" fontId="1" fillId="0" borderId="0" xfId="0" applyFont="1"/>
    <xf numFmtId="0" fontId="1" fillId="0" borderId="0" xfId="0" applyFont="1" applyAlignment="1">
      <alignment vertical="center" wrapText="1"/>
    </xf>
    <xf numFmtId="0" fontId="2" fillId="0" borderId="0" xfId="0" applyFont="1"/>
    <xf numFmtId="0" fontId="1" fillId="0" borderId="0" xfId="0" applyFont="1" applyAlignment="1">
      <alignment vertical="top"/>
    </xf>
    <xf numFmtId="0" fontId="1" fillId="0" borderId="1" xfId="0" applyFont="1" applyBorder="1" applyAlignment="1">
      <alignment vertical="top"/>
    </xf>
    <xf numFmtId="0" fontId="1" fillId="0" borderId="2" xfId="0" applyFont="1" applyBorder="1" applyAlignment="1">
      <alignment vertical="top"/>
    </xf>
    <xf numFmtId="2" fontId="2" fillId="0" borderId="0" xfId="0" applyNumberFormat="1" applyFont="1"/>
    <xf numFmtId="0" fontId="2" fillId="0" borderId="1" xfId="0" applyFont="1" applyBorder="1"/>
    <xf numFmtId="0" fontId="2" fillId="0" borderId="0" xfId="0" applyFont="1" applyAlignment="1"/>
    <xf numFmtId="0" fontId="3" fillId="2" borderId="0" xfId="50" applyFont="1" applyFill="1"/>
    <xf numFmtId="0" fontId="1" fillId="2" borderId="3" xfId="0" applyFont="1" applyFill="1" applyBorder="1" applyAlignment="1">
      <alignment wrapText="1"/>
    </xf>
    <xf numFmtId="0" fontId="1" fillId="2" borderId="0" xfId="0" applyFont="1" applyFill="1" applyAlignment="1">
      <alignment wrapText="1"/>
    </xf>
    <xf numFmtId="0" fontId="1" fillId="2" borderId="0" xfId="0" applyFont="1" applyFill="1"/>
    <xf numFmtId="0" fontId="1" fillId="0" borderId="0" xfId="0" applyFont="1" applyAlignment="1"/>
    <xf numFmtId="0" fontId="2" fillId="0" borderId="3" xfId="0" applyFont="1" applyBorder="1"/>
    <xf numFmtId="0" fontId="3" fillId="2" borderId="4" xfId="50" applyFont="1" applyFill="1" applyBorder="1" applyAlignment="1">
      <alignment wrapText="1"/>
    </xf>
    <xf numFmtId="0" fontId="2" fillId="2" borderId="5" xfId="50" applyFont="1" applyFill="1" applyBorder="1" applyAlignment="1">
      <alignment wrapText="1"/>
    </xf>
    <xf numFmtId="0" fontId="2" fillId="0" borderId="6" xfId="0" applyFont="1" applyBorder="1"/>
    <xf numFmtId="0" fontId="2" fillId="0" borderId="7" xfId="0" applyFont="1" applyBorder="1"/>
    <xf numFmtId="0" fontId="2" fillId="2" borderId="0" xfId="50" applyFont="1" applyFill="1" applyAlignment="1">
      <alignment wrapText="1"/>
    </xf>
    <xf numFmtId="0" fontId="3" fillId="2" borderId="8" xfId="50" applyFont="1" applyFill="1" applyBorder="1" applyAlignment="1">
      <alignment vertical="center" wrapText="1"/>
    </xf>
    <xf numFmtId="0" fontId="2" fillId="2" borderId="9" xfId="50" applyFont="1" applyFill="1" applyBorder="1" applyAlignment="1">
      <alignment vertical="top" wrapText="1"/>
    </xf>
    <xf numFmtId="0" fontId="2" fillId="0" borderId="10" xfId="0" applyFont="1" applyBorder="1"/>
    <xf numFmtId="0" fontId="2" fillId="0" borderId="11" xfId="0" applyFont="1" applyBorder="1"/>
    <xf numFmtId="0" fontId="4" fillId="2" borderId="9" xfId="50" applyFont="1" applyFill="1" applyBorder="1" applyAlignment="1">
      <alignment vertical="center" wrapText="1"/>
    </xf>
    <xf numFmtId="0" fontId="2" fillId="2" borderId="0" xfId="50" applyFont="1" applyFill="1" applyAlignment="1">
      <alignment vertical="center" wrapText="1"/>
    </xf>
    <xf numFmtId="0" fontId="1" fillId="2" borderId="0" xfId="0" applyFont="1" applyFill="1" applyAlignment="1">
      <alignment vertical="center" wrapText="1"/>
    </xf>
    <xf numFmtId="0" fontId="1" fillId="2" borderId="8" xfId="0" applyFont="1" applyFill="1" applyBorder="1"/>
    <xf numFmtId="0" fontId="1" fillId="2" borderId="1" xfId="0" applyFont="1" applyFill="1" applyBorder="1" applyAlignment="1">
      <alignment wrapText="1"/>
    </xf>
    <xf numFmtId="0" fontId="1" fillId="2" borderId="12" xfId="0" applyFont="1" applyFill="1" applyBorder="1" applyAlignment="1">
      <alignment wrapText="1"/>
    </xf>
    <xf numFmtId="0" fontId="5" fillId="2" borderId="0" xfId="0" applyFont="1" applyFill="1" applyAlignment="1">
      <alignment wrapText="1"/>
    </xf>
    <xf numFmtId="0" fontId="1" fillId="2" borderId="13" xfId="0" applyFont="1" applyFill="1" applyBorder="1"/>
    <xf numFmtId="0" fontId="1" fillId="2" borderId="14" xfId="0" applyFont="1" applyFill="1" applyBorder="1" applyAlignment="1">
      <alignment wrapText="1"/>
    </xf>
    <xf numFmtId="0" fontId="1" fillId="0" borderId="15" xfId="0" applyFont="1" applyBorder="1"/>
    <xf numFmtId="1" fontId="1" fillId="2" borderId="1" xfId="0" applyNumberFormat="1" applyFont="1" applyFill="1" applyBorder="1" applyAlignment="1">
      <alignment wrapText="1"/>
    </xf>
    <xf numFmtId="1" fontId="1" fillId="2" borderId="0" xfId="0" applyNumberFormat="1" applyFont="1" applyFill="1" applyAlignment="1">
      <alignment wrapText="1"/>
    </xf>
    <xf numFmtId="0" fontId="1" fillId="2" borderId="16" xfId="0" applyFont="1" applyFill="1" applyBorder="1"/>
    <xf numFmtId="0" fontId="2" fillId="0" borderId="16" xfId="0" applyFont="1" applyBorder="1"/>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horizontal="center"/>
    </xf>
    <xf numFmtId="0" fontId="2" fillId="4" borderId="1" xfId="0" applyFont="1" applyFill="1" applyBorder="1"/>
    <xf numFmtId="0" fontId="1" fillId="4" borderId="1" xfId="0" applyFont="1" applyFill="1" applyBorder="1" applyAlignment="1">
      <alignment horizontal="center"/>
    </xf>
    <xf numFmtId="0" fontId="7" fillId="5" borderId="17"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8" xfId="0" applyFont="1" applyFill="1" applyBorder="1" applyAlignment="1">
      <alignment horizontal="center" vertical="center"/>
    </xf>
    <xf numFmtId="0" fontId="8" fillId="0" borderId="1" xfId="0" applyFont="1" applyBorder="1" applyAlignment="1">
      <alignment wrapText="1"/>
    </xf>
    <xf numFmtId="0" fontId="9" fillId="0" borderId="1" xfId="0" applyFont="1" applyBorder="1" applyAlignment="1">
      <alignment wrapText="1"/>
    </xf>
    <xf numFmtId="0" fontId="9" fillId="0" borderId="1" xfId="0" applyFont="1" applyBorder="1"/>
    <xf numFmtId="0" fontId="10" fillId="6" borderId="1" xfId="0" applyFont="1" applyFill="1" applyBorder="1" applyAlignment="1">
      <alignment vertical="top" wrapText="1"/>
    </xf>
    <xf numFmtId="58" fontId="2" fillId="0" borderId="1" xfId="0" applyNumberFormat="1" applyFont="1" applyBorder="1" applyAlignment="1">
      <alignment vertical="top" wrapText="1"/>
    </xf>
    <xf numFmtId="0" fontId="2" fillId="7" borderId="1" xfId="0" applyFont="1" applyFill="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12" fillId="0" borderId="1" xfId="0" applyFont="1" applyBorder="1" applyAlignment="1">
      <alignment vertical="top"/>
    </xf>
    <xf numFmtId="0" fontId="1" fillId="0" borderId="18" xfId="0" applyFont="1" applyBorder="1" applyAlignment="1">
      <alignment vertical="top"/>
    </xf>
    <xf numFmtId="0" fontId="7" fillId="5" borderId="17"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12" fillId="7" borderId="1" xfId="0" applyFont="1" applyFill="1" applyBorder="1" applyAlignment="1">
      <alignment vertical="top" wrapText="1"/>
    </xf>
    <xf numFmtId="0" fontId="12" fillId="8" borderId="1" xfId="0" applyFont="1" applyFill="1" applyBorder="1" applyAlignment="1">
      <alignment vertical="top" wrapText="1"/>
    </xf>
    <xf numFmtId="0" fontId="1" fillId="0" borderId="19" xfId="0" applyFont="1" applyBorder="1" applyAlignment="1">
      <alignment vertical="top"/>
    </xf>
    <xf numFmtId="178" fontId="10" fillId="6" borderId="1" xfId="0" applyNumberFormat="1" applyFont="1" applyFill="1" applyBorder="1" applyAlignment="1">
      <alignment vertical="top" wrapText="1"/>
    </xf>
    <xf numFmtId="178" fontId="4" fillId="0" borderId="1" xfId="0" applyNumberFormat="1" applyFont="1" applyBorder="1" applyAlignment="1">
      <alignment vertical="top" wrapText="1"/>
    </xf>
    <xf numFmtId="0" fontId="12" fillId="0" borderId="1" xfId="0" applyFont="1" applyBorder="1" applyAlignment="1">
      <alignment vertical="top" wrapText="1"/>
    </xf>
    <xf numFmtId="0" fontId="4" fillId="0" borderId="1" xfId="0" applyFont="1" applyBorder="1"/>
    <xf numFmtId="0" fontId="13" fillId="9" borderId="1" xfId="0" applyFont="1" applyFill="1" applyBorder="1" applyAlignment="1">
      <alignment vertical="top" wrapText="1"/>
    </xf>
    <xf numFmtId="0" fontId="14" fillId="0" borderId="1" xfId="0" applyFont="1" applyBorder="1"/>
    <xf numFmtId="0" fontId="13" fillId="0" borderId="1" xfId="0" applyFont="1" applyBorder="1" applyAlignment="1">
      <alignment vertical="top" wrapText="1"/>
    </xf>
    <xf numFmtId="0" fontId="15" fillId="0" borderId="1" xfId="0" applyFont="1" applyBorder="1" applyAlignment="1">
      <alignment wrapText="1"/>
    </xf>
    <xf numFmtId="0" fontId="13" fillId="7" borderId="1" xfId="0" applyFont="1" applyFill="1" applyBorder="1" applyAlignment="1">
      <alignment vertical="top" wrapText="1"/>
    </xf>
    <xf numFmtId="0" fontId="16" fillId="0" borderId="1" xfId="0" applyFont="1" applyBorder="1"/>
    <xf numFmtId="178" fontId="10" fillId="0" borderId="1" xfId="0" applyNumberFormat="1" applyFont="1" applyBorder="1" applyAlignment="1">
      <alignment vertical="top" wrapText="1"/>
    </xf>
    <xf numFmtId="0" fontId="13" fillId="8" borderId="1" xfId="0" applyFont="1" applyFill="1" applyBorder="1" applyAlignment="1">
      <alignment vertical="top" wrapText="1"/>
    </xf>
    <xf numFmtId="0" fontId="17" fillId="8" borderId="1" xfId="0" applyFont="1" applyFill="1" applyBorder="1" applyAlignment="1">
      <alignment vertical="top" wrapText="1"/>
    </xf>
    <xf numFmtId="0" fontId="4" fillId="0" borderId="1" xfId="0" applyFont="1" applyBorder="1" applyAlignment="1">
      <alignment vertical="top" wrapText="1"/>
    </xf>
    <xf numFmtId="2" fontId="2" fillId="0" borderId="1" xfId="0" applyNumberFormat="1" applyFont="1" applyBorder="1" applyAlignment="1">
      <alignment vertical="top" wrapText="1"/>
    </xf>
    <xf numFmtId="2" fontId="2" fillId="7" borderId="1" xfId="0" applyNumberFormat="1" applyFont="1" applyFill="1" applyBorder="1" applyAlignment="1">
      <alignment vertical="top" wrapText="1"/>
    </xf>
    <xf numFmtId="0" fontId="18" fillId="0" borderId="1" xfId="0" applyFont="1" applyBorder="1" applyAlignment="1">
      <alignment vertical="top" wrapText="1"/>
    </xf>
    <xf numFmtId="2" fontId="2" fillId="0" borderId="1" xfId="0" applyNumberFormat="1" applyFont="1" applyBorder="1"/>
    <xf numFmtId="2" fontId="2" fillId="0" borderId="1" xfId="0" applyNumberFormat="1" applyFont="1" applyBorder="1" applyAlignment="1">
      <alignment vertical="top"/>
    </xf>
    <xf numFmtId="2" fontId="2" fillId="0" borderId="0" xfId="0" applyNumberFormat="1" applyFont="1" applyAlignment="1">
      <alignment vertical="top"/>
    </xf>
    <xf numFmtId="2" fontId="2" fillId="8" borderId="1" xfId="0" applyNumberFormat="1" applyFont="1" applyFill="1" applyBorder="1" applyAlignment="1">
      <alignment vertical="top" wrapText="1"/>
    </xf>
    <xf numFmtId="178" fontId="3" fillId="7" borderId="1" xfId="0" applyNumberFormat="1" applyFont="1" applyFill="1" applyBorder="1" applyAlignment="1">
      <alignment vertical="top" wrapText="1"/>
    </xf>
    <xf numFmtId="0" fontId="3" fillId="0" borderId="1" xfId="0" applyFont="1" applyBorder="1" applyAlignment="1">
      <alignment vertical="top" wrapText="1"/>
    </xf>
    <xf numFmtId="0" fontId="2" fillId="8" borderId="1" xfId="0" applyFont="1" applyFill="1" applyBorder="1" applyAlignment="1">
      <alignment vertical="top" wrapText="1"/>
    </xf>
    <xf numFmtId="0" fontId="4" fillId="7" borderId="1" xfId="0" applyFont="1" applyFill="1" applyBorder="1" applyAlignment="1">
      <alignment vertical="top" wrapText="1"/>
    </xf>
    <xf numFmtId="0" fontId="3" fillId="0" borderId="0" xfId="0" applyNumberFormat="1" applyFont="1" applyFill="1" applyBorder="1" applyAlignment="1">
      <alignment horizontal="center" vertical="center" wrapText="1"/>
    </xf>
    <xf numFmtId="0" fontId="1" fillId="0" borderId="0" xfId="0" applyFont="1" applyFill="1" applyBorder="1" applyAlignment="1">
      <alignment vertical="top"/>
    </xf>
    <xf numFmtId="0" fontId="2" fillId="0" borderId="0" xfId="0" applyFont="1" applyFill="1" applyBorder="1" applyAlignment="1"/>
    <xf numFmtId="0" fontId="2" fillId="0" borderId="2" xfId="0" applyFont="1" applyBorder="1"/>
    <xf numFmtId="0" fontId="19" fillId="0" borderId="0" xfId="0" applyFont="1" applyFill="1" applyAlignment="1"/>
    <xf numFmtId="0" fontId="20" fillId="0" borderId="0" xfId="0" applyFont="1" applyFill="1" applyAlignment="1"/>
    <xf numFmtId="0" fontId="20" fillId="0" borderId="0" xfId="0" applyFont="1" applyFill="1" applyAlignment="1">
      <alignment vertical="center" wrapText="1"/>
    </xf>
    <xf numFmtId="0" fontId="21" fillId="0" borderId="0" xfId="0" applyFont="1" applyFill="1" applyAlignment="1"/>
    <xf numFmtId="0" fontId="22" fillId="0" borderId="0" xfId="0" applyFont="1" applyFill="1" applyAlignment="1"/>
    <xf numFmtId="0" fontId="19" fillId="0" borderId="0" xfId="0" applyFont="1" applyFill="1" applyAlignment="1">
      <alignment vertical="top"/>
    </xf>
    <xf numFmtId="0" fontId="19" fillId="0" borderId="1" xfId="0" applyFont="1" applyFill="1" applyBorder="1" applyAlignment="1">
      <alignment vertical="top"/>
    </xf>
    <xf numFmtId="0" fontId="19" fillId="0" borderId="2" xfId="0" applyFont="1" applyFill="1" applyBorder="1" applyAlignment="1">
      <alignment vertical="top"/>
    </xf>
    <xf numFmtId="2" fontId="23" fillId="0" borderId="0" xfId="0" applyNumberFormat="1" applyFont="1" applyFill="1" applyAlignment="1"/>
    <xf numFmtId="0" fontId="23" fillId="0" borderId="0" xfId="0" applyFont="1" applyFill="1" applyAlignment="1"/>
    <xf numFmtId="0" fontId="24" fillId="2" borderId="0" xfId="50" applyFont="1" applyFill="1" applyAlignment="1"/>
    <xf numFmtId="0" fontId="19" fillId="2" borderId="3" xfId="0" applyFont="1" applyFill="1" applyBorder="1" applyAlignment="1">
      <alignment horizontal="center" wrapText="1"/>
    </xf>
    <xf numFmtId="0" fontId="19" fillId="2" borderId="0" xfId="0" applyFont="1" applyFill="1" applyAlignment="1">
      <alignment wrapText="1"/>
    </xf>
    <xf numFmtId="0" fontId="20" fillId="2" borderId="0" xfId="0" applyFont="1" applyFill="1" applyAlignment="1">
      <alignment wrapText="1"/>
    </xf>
    <xf numFmtId="0" fontId="1" fillId="2" borderId="0" xfId="0" applyFont="1" applyFill="1" applyAlignment="1"/>
    <xf numFmtId="0" fontId="19" fillId="2" borderId="0" xfId="0" applyFont="1" applyFill="1" applyAlignment="1"/>
    <xf numFmtId="0" fontId="23" fillId="0" borderId="3" xfId="0" applyFont="1" applyFill="1" applyBorder="1" applyAlignment="1"/>
    <xf numFmtId="0" fontId="24" fillId="2" borderId="4" xfId="50" applyFont="1" applyFill="1" applyBorder="1" applyAlignment="1">
      <alignment horizontal="left" wrapText="1"/>
    </xf>
    <xf numFmtId="0" fontId="25" fillId="2" borderId="5" xfId="50" applyFont="1" applyFill="1" applyBorder="1" applyAlignment="1">
      <alignment horizontal="left" wrapText="1"/>
    </xf>
    <xf numFmtId="0" fontId="23" fillId="0" borderId="6" xfId="0" applyFont="1" applyFill="1" applyBorder="1" applyAlignment="1"/>
    <xf numFmtId="0" fontId="23" fillId="0" borderId="20" xfId="0" applyFont="1" applyFill="1" applyBorder="1" applyAlignment="1"/>
    <xf numFmtId="0" fontId="25" fillId="2" borderId="0" xfId="50" applyFont="1" applyFill="1" applyAlignment="1">
      <alignment horizontal="left" wrapText="1"/>
    </xf>
    <xf numFmtId="0" fontId="20" fillId="2" borderId="0" xfId="0" applyFont="1" applyFill="1" applyAlignment="1">
      <alignment horizontal="center" wrapText="1"/>
    </xf>
    <xf numFmtId="0" fontId="24" fillId="2" borderId="8" xfId="50" applyFont="1" applyFill="1" applyBorder="1" applyAlignment="1">
      <alignment horizontal="left" vertical="center" wrapText="1"/>
    </xf>
    <xf numFmtId="0" fontId="25" fillId="2" borderId="9" xfId="50" applyFont="1" applyFill="1" applyBorder="1" applyAlignment="1">
      <alignment horizontal="left" vertical="top" wrapText="1"/>
    </xf>
    <xf numFmtId="0" fontId="23" fillId="0" borderId="10" xfId="0" applyFont="1" applyFill="1" applyBorder="1" applyAlignment="1"/>
    <xf numFmtId="0" fontId="23" fillId="0" borderId="11" xfId="0" applyFont="1" applyFill="1" applyBorder="1" applyAlignment="1"/>
    <xf numFmtId="0" fontId="25" fillId="2" borderId="9" xfId="50" applyFont="1" applyFill="1" applyBorder="1" applyAlignment="1">
      <alignment horizontal="left" vertical="center" wrapText="1"/>
    </xf>
    <xf numFmtId="0" fontId="25" fillId="2" borderId="0" xfId="50" applyFont="1" applyFill="1" applyAlignment="1">
      <alignment horizontal="left" vertical="center" wrapText="1"/>
    </xf>
    <xf numFmtId="0" fontId="20" fillId="2" borderId="0" xfId="0" applyFont="1" applyFill="1" applyAlignment="1">
      <alignment horizontal="center" vertical="center" wrapText="1"/>
    </xf>
    <xf numFmtId="0" fontId="20" fillId="2" borderId="8" xfId="0" applyFont="1" applyFill="1" applyBorder="1" applyAlignment="1">
      <alignment horizontal="right"/>
    </xf>
    <xf numFmtId="0" fontId="20" fillId="2" borderId="1" xfId="0" applyFont="1" applyFill="1" applyBorder="1" applyAlignment="1">
      <alignment wrapText="1"/>
    </xf>
    <xf numFmtId="0" fontId="20" fillId="2" borderId="1" xfId="0" applyFont="1" applyFill="1" applyBorder="1" applyAlignment="1">
      <alignment horizontal="center" wrapText="1"/>
    </xf>
    <xf numFmtId="0" fontId="20" fillId="2" borderId="9" xfId="0" applyFont="1" applyFill="1" applyBorder="1" applyAlignment="1">
      <alignment horizontal="center" wrapText="1"/>
    </xf>
    <xf numFmtId="0" fontId="20" fillId="2" borderId="13" xfId="0" applyFont="1" applyFill="1" applyBorder="1" applyAlignment="1">
      <alignment horizontal="right"/>
    </xf>
    <xf numFmtId="0" fontId="20" fillId="2" borderId="14" xfId="0" applyFont="1" applyFill="1" applyBorder="1" applyAlignment="1">
      <alignment wrapText="1"/>
    </xf>
    <xf numFmtId="0" fontId="20" fillId="0" borderId="14" xfId="0" applyFont="1" applyFill="1" applyBorder="1" applyAlignment="1">
      <alignment horizontal="center"/>
    </xf>
    <xf numFmtId="1" fontId="20" fillId="2" borderId="21" xfId="0" applyNumberFormat="1" applyFont="1" applyFill="1" applyBorder="1" applyAlignment="1">
      <alignment horizontal="center" wrapText="1"/>
    </xf>
    <xf numFmtId="1" fontId="20" fillId="2" borderId="0" xfId="0" applyNumberFormat="1" applyFont="1" applyFill="1" applyAlignment="1">
      <alignment horizontal="center" wrapText="1"/>
    </xf>
    <xf numFmtId="0" fontId="20" fillId="2" borderId="6" xfId="0" applyFont="1" applyFill="1" applyBorder="1" applyAlignment="1">
      <alignment horizontal="center"/>
    </xf>
    <xf numFmtId="0" fontId="20" fillId="2" borderId="22" xfId="0" applyFont="1" applyFill="1" applyBorder="1" applyAlignment="1">
      <alignment horizontal="center" wrapText="1"/>
    </xf>
    <xf numFmtId="0" fontId="26" fillId="10" borderId="2" xfId="50" applyFont="1" applyFill="1" applyBorder="1" applyAlignment="1">
      <alignment horizontal="center" vertical="center" wrapText="1"/>
    </xf>
    <xf numFmtId="0" fontId="26" fillId="10" borderId="2" xfId="50" applyFont="1" applyFill="1" applyBorder="1" applyAlignment="1">
      <alignment vertical="center" wrapText="1"/>
    </xf>
    <xf numFmtId="0" fontId="27" fillId="0" borderId="0" xfId="0" applyFont="1" applyFill="1" applyAlignment="1"/>
    <xf numFmtId="0" fontId="28" fillId="0" borderId="23" xfId="0" applyFont="1" applyFill="1" applyBorder="1" applyAlignment="1"/>
    <xf numFmtId="0" fontId="26" fillId="10" borderId="17" xfId="50" applyFont="1" applyFill="1" applyBorder="1" applyAlignment="1">
      <alignment horizontal="center" vertical="center" wrapText="1"/>
    </xf>
    <xf numFmtId="0" fontId="26" fillId="10" borderId="1" xfId="50" applyFont="1" applyFill="1" applyBorder="1" applyAlignment="1">
      <alignment horizontal="center" vertical="center" wrapText="1"/>
    </xf>
    <xf numFmtId="0" fontId="28" fillId="0" borderId="2" xfId="0" applyFont="1" applyFill="1" applyBorder="1" applyAlignment="1"/>
    <xf numFmtId="0" fontId="28" fillId="0" borderId="24" xfId="0" applyFont="1" applyFill="1" applyBorder="1" applyAlignment="1"/>
    <xf numFmtId="0" fontId="28" fillId="0" borderId="22" xfId="0" applyFont="1" applyFill="1" applyBorder="1" applyAlignment="1"/>
    <xf numFmtId="0" fontId="28" fillId="0" borderId="19" xfId="0" applyFont="1" applyFill="1" applyBorder="1" applyAlignment="1"/>
    <xf numFmtId="0" fontId="29" fillId="11" borderId="17" xfId="0" applyFont="1" applyFill="1" applyBorder="1" applyAlignment="1">
      <alignment horizontal="center" vertical="center" wrapText="1"/>
    </xf>
    <xf numFmtId="0" fontId="29" fillId="11" borderId="10" xfId="0" applyFont="1" applyFill="1" applyBorder="1" applyAlignment="1">
      <alignment horizontal="center" vertical="center" wrapText="1"/>
    </xf>
    <xf numFmtId="0" fontId="29" fillId="11" borderId="18" xfId="0" applyFont="1" applyFill="1" applyBorder="1" applyAlignment="1">
      <alignment horizontal="center" vertical="center" wrapText="1"/>
    </xf>
    <xf numFmtId="0" fontId="30" fillId="12" borderId="17" xfId="50" applyFont="1" applyFill="1" applyBorder="1" applyAlignment="1">
      <alignment horizontal="left" vertical="center" wrapText="1"/>
    </xf>
    <xf numFmtId="0" fontId="31" fillId="12" borderId="1" xfId="0" applyFont="1" applyFill="1" applyBorder="1" applyAlignment="1">
      <alignment horizontal="left" vertical="center"/>
    </xf>
    <xf numFmtId="0" fontId="31" fillId="0" borderId="0" xfId="0" applyFont="1" applyFill="1" applyAlignment="1">
      <alignment horizontal="left" vertical="center" wrapText="1"/>
    </xf>
    <xf numFmtId="0" fontId="30" fillId="0" borderId="1" xfId="0" applyFont="1" applyFill="1" applyBorder="1" applyAlignment="1">
      <alignment horizontal="left" vertical="center" wrapText="1"/>
    </xf>
    <xf numFmtId="0" fontId="30" fillId="0" borderId="10" xfId="0" applyFont="1" applyFill="1" applyBorder="1" applyAlignment="1">
      <alignment horizontal="left" vertical="center"/>
    </xf>
    <xf numFmtId="58" fontId="30" fillId="0" borderId="1" xfId="0" applyNumberFormat="1" applyFont="1" applyFill="1" applyBorder="1" applyAlignment="1">
      <alignment horizontal="left" vertical="center" wrapText="1"/>
    </xf>
    <xf numFmtId="0" fontId="30" fillId="7" borderId="1" xfId="0" applyFont="1" applyFill="1" applyBorder="1" applyAlignment="1">
      <alignment horizontal="left" vertical="center" wrapText="1"/>
    </xf>
    <xf numFmtId="178" fontId="30" fillId="0" borderId="17" xfId="0" applyNumberFormat="1" applyFont="1" applyFill="1" applyBorder="1" applyAlignment="1">
      <alignment horizontal="left" vertical="center" wrapText="1"/>
    </xf>
    <xf numFmtId="0" fontId="30" fillId="0" borderId="18" xfId="0" applyFont="1" applyFill="1" applyBorder="1" applyAlignment="1">
      <alignment horizontal="left" vertical="center" wrapText="1"/>
    </xf>
    <xf numFmtId="0" fontId="30" fillId="0" borderId="18" xfId="0" applyFont="1" applyFill="1" applyBorder="1" applyAlignment="1">
      <alignment horizontal="left" vertical="center"/>
    </xf>
    <xf numFmtId="0" fontId="32" fillId="0" borderId="1" xfId="0" applyFont="1" applyFill="1" applyBorder="1" applyAlignment="1">
      <alignment horizontal="left" vertical="center" wrapText="1"/>
    </xf>
    <xf numFmtId="0" fontId="19" fillId="0" borderId="18" xfId="0" applyFont="1" applyFill="1" applyBorder="1" applyAlignment="1">
      <alignment vertical="top"/>
    </xf>
    <xf numFmtId="0" fontId="30" fillId="0" borderId="25" xfId="0" applyFont="1" applyFill="1" applyBorder="1" applyAlignment="1">
      <alignment horizontal="left" vertical="center" wrapText="1"/>
    </xf>
    <xf numFmtId="178" fontId="30" fillId="12" borderId="17" xfId="0" applyNumberFormat="1" applyFont="1" applyFill="1" applyBorder="1" applyAlignment="1">
      <alignment horizontal="left" vertical="center" wrapText="1"/>
    </xf>
    <xf numFmtId="0" fontId="30" fillId="12" borderId="18" xfId="0" applyFont="1" applyFill="1" applyBorder="1" applyAlignment="1">
      <alignment horizontal="left" vertical="center" wrapText="1"/>
    </xf>
    <xf numFmtId="0" fontId="32" fillId="12"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19" fillId="0" borderId="19" xfId="0" applyFont="1" applyFill="1" applyBorder="1" applyAlignment="1">
      <alignment vertical="top"/>
    </xf>
    <xf numFmtId="0" fontId="30" fillId="13" borderId="1" xfId="0" applyFont="1" applyFill="1" applyBorder="1" applyAlignment="1">
      <alignment horizontal="left" vertical="center" wrapText="1"/>
    </xf>
    <xf numFmtId="0" fontId="31" fillId="0" borderId="1" xfId="0" applyFont="1" applyFill="1" applyBorder="1" applyAlignment="1">
      <alignment vertical="center" wrapText="1"/>
    </xf>
    <xf numFmtId="178" fontId="10" fillId="0" borderId="1" xfId="0" applyNumberFormat="1" applyFont="1" applyFill="1" applyBorder="1" applyAlignment="1">
      <alignment horizontal="center" vertical="top" wrapText="1"/>
    </xf>
    <xf numFmtId="0" fontId="30" fillId="12" borderId="26" xfId="0" applyFont="1" applyFill="1" applyBorder="1" applyAlignment="1">
      <alignment horizontal="left" vertical="center"/>
    </xf>
    <xf numFmtId="0" fontId="32" fillId="12" borderId="27" xfId="0" applyFont="1" applyFill="1" applyBorder="1" applyAlignment="1">
      <alignment horizontal="left" vertical="center" wrapText="1"/>
    </xf>
    <xf numFmtId="0" fontId="32" fillId="12" borderId="2" xfId="0" applyFont="1" applyFill="1" applyBorder="1" applyAlignment="1">
      <alignment horizontal="left" vertical="center" wrapText="1"/>
    </xf>
    <xf numFmtId="0" fontId="32" fillId="0" borderId="2"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0" xfId="0" applyFont="1" applyFill="1" applyBorder="1" applyAlignment="1">
      <alignment horizontal="left" vertical="center" wrapText="1"/>
    </xf>
    <xf numFmtId="0" fontId="30" fillId="12" borderId="23" xfId="0" applyFont="1" applyFill="1" applyBorder="1" applyAlignment="1">
      <alignment horizontal="left" vertical="center" wrapText="1"/>
    </xf>
    <xf numFmtId="178" fontId="10" fillId="0" borderId="10" xfId="0" applyNumberFormat="1" applyFont="1" applyFill="1" applyBorder="1" applyAlignment="1">
      <alignment horizontal="center" vertical="top" wrapText="1"/>
    </xf>
    <xf numFmtId="178" fontId="29" fillId="11" borderId="17" xfId="0" applyNumberFormat="1" applyFont="1" applyFill="1" applyBorder="1" applyAlignment="1">
      <alignment horizontal="center" vertical="center" wrapText="1"/>
    </xf>
    <xf numFmtId="178" fontId="29" fillId="11" borderId="10" xfId="0" applyNumberFormat="1" applyFont="1" applyFill="1" applyBorder="1" applyAlignment="1">
      <alignment horizontal="center" vertical="center" wrapText="1"/>
    </xf>
    <xf numFmtId="178" fontId="29" fillId="11" borderId="18" xfId="0" applyNumberFormat="1" applyFont="1" applyFill="1" applyBorder="1" applyAlignment="1">
      <alignment horizontal="center" vertical="center" wrapText="1"/>
    </xf>
    <xf numFmtId="178" fontId="28" fillId="0" borderId="1" xfId="0" applyNumberFormat="1" applyFont="1" applyFill="1" applyBorder="1" applyAlignment="1">
      <alignment horizontal="center" vertical="center" wrapText="1"/>
    </xf>
    <xf numFmtId="0" fontId="28" fillId="12" borderId="1" xfId="0" applyFont="1" applyFill="1" applyBorder="1" applyAlignment="1">
      <alignment horizontal="left" vertical="center" wrapText="1"/>
    </xf>
    <xf numFmtId="0" fontId="28" fillId="0" borderId="1" xfId="0" applyFont="1" applyFill="1" applyBorder="1" applyAlignment="1">
      <alignment horizontal="left" vertical="center" wrapText="1"/>
    </xf>
    <xf numFmtId="0" fontId="28" fillId="0" borderId="10" xfId="0" applyFont="1" applyFill="1" applyBorder="1" applyAlignment="1">
      <alignment vertical="center"/>
    </xf>
    <xf numFmtId="0" fontId="28" fillId="0" borderId="18" xfId="0" applyFont="1" applyFill="1" applyBorder="1" applyAlignment="1">
      <alignment vertical="center"/>
    </xf>
    <xf numFmtId="0" fontId="27" fillId="0" borderId="2" xfId="0" applyFont="1" applyFill="1" applyBorder="1" applyAlignment="1">
      <alignment horizontal="left" vertical="center" wrapText="1"/>
    </xf>
    <xf numFmtId="58" fontId="28" fillId="0" borderId="1" xfId="0" applyNumberFormat="1" applyFont="1" applyFill="1" applyBorder="1" applyAlignment="1">
      <alignment horizontal="left" vertical="center" wrapText="1"/>
    </xf>
    <xf numFmtId="0" fontId="28" fillId="7" borderId="1" xfId="0" applyFont="1" applyFill="1" applyBorder="1" applyAlignment="1">
      <alignment horizontal="left" vertical="center" wrapText="1"/>
    </xf>
    <xf numFmtId="0" fontId="28" fillId="12" borderId="1" xfId="50" applyFont="1" applyFill="1" applyBorder="1" applyAlignment="1">
      <alignment horizontal="center" vertical="center" wrapText="1"/>
    </xf>
    <xf numFmtId="2" fontId="28" fillId="12" borderId="1" xfId="0" applyNumberFormat="1" applyFont="1" applyFill="1" applyBorder="1" applyAlignment="1">
      <alignment horizontal="left" vertical="center" wrapText="1"/>
    </xf>
    <xf numFmtId="2" fontId="28" fillId="0" borderId="1" xfId="0" applyNumberFormat="1" applyFont="1" applyFill="1" applyBorder="1" applyAlignment="1">
      <alignment horizontal="left" vertical="center" wrapText="1"/>
    </xf>
    <xf numFmtId="0" fontId="27" fillId="0" borderId="18" xfId="0" applyFont="1" applyFill="1" applyBorder="1" applyAlignment="1">
      <alignment horizontal="left" vertical="center" wrapText="1"/>
    </xf>
    <xf numFmtId="0" fontId="28" fillId="13" borderId="1" xfId="0" applyFont="1" applyFill="1" applyBorder="1" applyAlignment="1">
      <alignment horizontal="left" vertical="center" wrapText="1"/>
    </xf>
    <xf numFmtId="0" fontId="33" fillId="9" borderId="28" xfId="50" applyFont="1" applyFill="1" applyBorder="1" applyAlignment="1">
      <alignment horizontal="left" vertical="center" wrapText="1"/>
    </xf>
    <xf numFmtId="0" fontId="28" fillId="0" borderId="1" xfId="50" applyFont="1" applyFill="1" applyBorder="1" applyAlignment="1">
      <alignment horizontal="left" vertical="center" wrapText="1"/>
    </xf>
    <xf numFmtId="2" fontId="2" fillId="0" borderId="1" xfId="0" applyNumberFormat="1" applyFont="1" applyBorder="1" applyAlignment="1"/>
    <xf numFmtId="0" fontId="28" fillId="12" borderId="10" xfId="0" applyFont="1" applyFill="1" applyBorder="1" applyAlignment="1">
      <alignment vertical="center"/>
    </xf>
    <xf numFmtId="0" fontId="33" fillId="12" borderId="28" xfId="50" applyFont="1" applyFill="1" applyBorder="1" applyAlignment="1">
      <alignment horizontal="left" vertical="center" wrapText="1"/>
    </xf>
    <xf numFmtId="0" fontId="28" fillId="12" borderId="1" xfId="50" applyFont="1" applyFill="1" applyBorder="1" applyAlignment="1">
      <alignment horizontal="left" vertical="center" wrapText="1"/>
    </xf>
    <xf numFmtId="0" fontId="33" fillId="9" borderId="27" xfId="50" applyFont="1" applyFill="1" applyBorder="1" applyAlignment="1">
      <alignment horizontal="left" vertical="center" wrapText="1"/>
    </xf>
    <xf numFmtId="2" fontId="23" fillId="0" borderId="0" xfId="0" applyNumberFormat="1" applyFont="1" applyFill="1" applyAlignment="1">
      <alignment vertical="top"/>
    </xf>
    <xf numFmtId="2" fontId="28" fillId="0" borderId="0" xfId="0" applyNumberFormat="1" applyFont="1" applyFill="1" applyAlignment="1">
      <alignment vertical="center"/>
    </xf>
    <xf numFmtId="0" fontId="28" fillId="0" borderId="22" xfId="0" applyFont="1" applyFill="1" applyBorder="1" applyAlignment="1">
      <alignment vertical="center"/>
    </xf>
    <xf numFmtId="0" fontId="28" fillId="0" borderId="29" xfId="0" applyFont="1" applyFill="1" applyBorder="1" applyAlignment="1">
      <alignment horizontal="left" vertical="center" wrapText="1"/>
    </xf>
    <xf numFmtId="0" fontId="33" fillId="9" borderId="10" xfId="50" applyFont="1" applyFill="1" applyBorder="1" applyAlignment="1">
      <alignment horizontal="left" vertical="center" wrapText="1"/>
    </xf>
    <xf numFmtId="0" fontId="28" fillId="13" borderId="1" xfId="50" applyFont="1" applyFill="1" applyBorder="1" applyAlignment="1">
      <alignment horizontal="left" vertical="center" wrapText="1"/>
    </xf>
    <xf numFmtId="178" fontId="28" fillId="0" borderId="1" xfId="0" applyNumberFormat="1" applyFont="1" applyFill="1" applyBorder="1" applyAlignment="1">
      <alignment vertical="center" wrapText="1"/>
    </xf>
    <xf numFmtId="2" fontId="28" fillId="12" borderId="1" xfId="0" applyNumberFormat="1" applyFont="1" applyFill="1" applyBorder="1" applyAlignment="1">
      <alignment vertical="center" wrapText="1"/>
    </xf>
    <xf numFmtId="2" fontId="28" fillId="0" borderId="1" xfId="0" applyNumberFormat="1" applyFont="1" applyFill="1" applyBorder="1" applyAlignment="1">
      <alignment vertical="center" wrapText="1"/>
    </xf>
    <xf numFmtId="0" fontId="28" fillId="0" borderId="1" xfId="0" applyFont="1" applyFill="1" applyBorder="1" applyAlignment="1">
      <alignment vertical="center" wrapText="1"/>
    </xf>
    <xf numFmtId="0" fontId="28" fillId="0" borderId="10" xfId="0" applyFont="1" applyFill="1" applyBorder="1" applyAlignment="1">
      <alignment vertical="center" wrapText="1"/>
    </xf>
    <xf numFmtId="58" fontId="28" fillId="0" borderId="1" xfId="0" applyNumberFormat="1" applyFont="1" applyFill="1" applyBorder="1" applyAlignment="1">
      <alignment vertical="center" wrapText="1"/>
    </xf>
    <xf numFmtId="0" fontId="28" fillId="13" borderId="1" xfId="50" applyFont="1" applyFill="1" applyBorder="1" applyAlignment="1">
      <alignment vertical="center" wrapText="1"/>
    </xf>
    <xf numFmtId="0" fontId="29" fillId="11" borderId="27" xfId="0" applyFont="1" applyFill="1" applyBorder="1" applyAlignment="1">
      <alignment vertical="center" wrapText="1"/>
    </xf>
    <xf numFmtId="0" fontId="29" fillId="11" borderId="26" xfId="0" applyFont="1" applyFill="1" applyBorder="1" applyAlignment="1">
      <alignment vertical="center" wrapText="1"/>
    </xf>
    <xf numFmtId="0" fontId="29" fillId="11" borderId="28" xfId="0" applyFont="1" applyFill="1" applyBorder="1" applyAlignment="1">
      <alignment vertical="center" wrapText="1"/>
    </xf>
    <xf numFmtId="0" fontId="28" fillId="0" borderId="1" xfId="0" applyFont="1" applyFill="1" applyBorder="1" applyAlignment="1">
      <alignment horizontal="center" vertical="center" wrapText="1"/>
    </xf>
    <xf numFmtId="2" fontId="28" fillId="0" borderId="10" xfId="0" applyNumberFormat="1" applyFont="1" applyFill="1" applyBorder="1" applyAlignment="1">
      <alignment vertical="center"/>
    </xf>
    <xf numFmtId="0" fontId="28" fillId="0" borderId="2" xfId="0" applyFont="1" applyFill="1" applyBorder="1" applyAlignment="1">
      <alignment horizontal="left" vertical="center" wrapText="1"/>
    </xf>
    <xf numFmtId="0" fontId="28" fillId="0" borderId="1" xfId="0" applyFont="1" applyFill="1" applyBorder="1" applyAlignment="1">
      <alignment horizontal="left" vertical="top" wrapText="1"/>
    </xf>
    <xf numFmtId="0" fontId="10" fillId="0" borderId="10" xfId="0" applyNumberFormat="1" applyFont="1" applyFill="1" applyBorder="1" applyAlignment="1">
      <alignment horizontal="center" vertical="top" wrapText="1"/>
    </xf>
    <xf numFmtId="0" fontId="27" fillId="0" borderId="10" xfId="0" applyFont="1" applyFill="1" applyBorder="1" applyAlignment="1">
      <alignment vertical="center"/>
    </xf>
    <xf numFmtId="0" fontId="23" fillId="0" borderId="0" xfId="0" applyFont="1" applyFill="1" applyAlignment="1">
      <alignment wrapText="1"/>
    </xf>
    <xf numFmtId="0" fontId="25" fillId="0" borderId="0" xfId="0" applyFont="1" applyFill="1" applyAlignment="1"/>
    <xf numFmtId="2" fontId="2" fillId="0" borderId="0" xfId="0" applyNumberFormat="1" applyFont="1" applyFill="1" applyBorder="1" applyAlignment="1"/>
    <xf numFmtId="0" fontId="2" fillId="0" borderId="0" xfId="0" applyFont="1" applyFill="1" applyAlignment="1"/>
    <xf numFmtId="0" fontId="7" fillId="14" borderId="0" xfId="0" applyFont="1" applyFill="1" applyAlignment="1">
      <alignment horizontal="center" vertical="top" wrapText="1"/>
    </xf>
    <xf numFmtId="0" fontId="2" fillId="0" borderId="0" xfId="0" applyFont="1" applyFill="1" applyAlignment="1">
      <alignment vertical="top" wrapText="1"/>
    </xf>
    <xf numFmtId="0" fontId="3" fillId="15" borderId="4" xfId="0" applyFont="1" applyFill="1" applyBorder="1" applyAlignment="1">
      <alignment vertical="top" wrapText="1"/>
    </xf>
    <xf numFmtId="0" fontId="3" fillId="0" borderId="30" xfId="0" applyFont="1" applyFill="1" applyBorder="1" applyAlignment="1">
      <alignment vertical="top" wrapText="1"/>
    </xf>
    <xf numFmtId="0" fontId="3" fillId="0" borderId="6" xfId="0" applyFont="1" applyFill="1" applyBorder="1" applyAlignment="1">
      <alignment vertical="top" wrapText="1"/>
    </xf>
    <xf numFmtId="0" fontId="3" fillId="0" borderId="20" xfId="0" applyFont="1" applyFill="1" applyBorder="1" applyAlignment="1">
      <alignment vertical="top" wrapText="1"/>
    </xf>
    <xf numFmtId="0" fontId="3" fillId="15" borderId="8" xfId="0" applyFont="1" applyFill="1" applyBorder="1" applyAlignment="1">
      <alignment vertical="top" wrapText="1"/>
    </xf>
    <xf numFmtId="0" fontId="3" fillId="0" borderId="17" xfId="0" applyFont="1" applyFill="1" applyBorder="1" applyAlignment="1">
      <alignment vertical="top" wrapText="1"/>
    </xf>
    <xf numFmtId="0" fontId="3" fillId="0" borderId="10" xfId="0" applyFont="1" applyFill="1" applyBorder="1" applyAlignment="1">
      <alignment vertical="top" wrapText="1"/>
    </xf>
    <xf numFmtId="0" fontId="3" fillId="0" borderId="11" xfId="0" applyFont="1" applyFill="1" applyBorder="1" applyAlignment="1">
      <alignment vertical="top" wrapText="1"/>
    </xf>
    <xf numFmtId="0" fontId="3" fillId="0" borderId="17"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2" fillId="0" borderId="0" xfId="0" applyFont="1" applyFill="1" applyAlignment="1">
      <alignment horizontal="center" vertical="top" wrapText="1"/>
    </xf>
    <xf numFmtId="0" fontId="3" fillId="16" borderId="8" xfId="0" applyFont="1" applyFill="1" applyBorder="1" applyAlignment="1">
      <alignment horizontal="center" vertical="top" wrapText="1"/>
    </xf>
    <xf numFmtId="0" fontId="3" fillId="16" borderId="1" xfId="0" applyFont="1" applyFill="1" applyBorder="1" applyAlignment="1">
      <alignment horizontal="center" vertical="top" wrapText="1"/>
    </xf>
    <xf numFmtId="0" fontId="3" fillId="16" borderId="9" xfId="0" applyFont="1" applyFill="1" applyBorder="1" applyAlignment="1">
      <alignment horizontal="center" vertical="top" wrapText="1"/>
    </xf>
    <xf numFmtId="0" fontId="3" fillId="16" borderId="13" xfId="0" applyFont="1" applyFill="1" applyBorder="1" applyAlignment="1">
      <alignment horizontal="center" vertical="top" wrapText="1"/>
    </xf>
    <xf numFmtId="0" fontId="3" fillId="16" borderId="14" xfId="0" applyFont="1" applyFill="1" applyBorder="1" applyAlignment="1">
      <alignment horizontal="center" vertical="top" wrapText="1"/>
    </xf>
    <xf numFmtId="0" fontId="3" fillId="16" borderId="21" xfId="0" applyFont="1" applyFill="1" applyBorder="1" applyAlignment="1">
      <alignment horizontal="center" vertical="top" wrapText="1"/>
    </xf>
    <xf numFmtId="0" fontId="6" fillId="14" borderId="1" xfId="0" applyFont="1" applyFill="1" applyBorder="1" applyAlignment="1">
      <alignment horizontal="center" vertical="top" wrapText="1"/>
    </xf>
    <xf numFmtId="0" fontId="3" fillId="16" borderId="1" xfId="0" applyFont="1" applyFill="1" applyBorder="1" applyAlignment="1">
      <alignment horizontal="center" vertical="center" wrapText="1"/>
    </xf>
    <xf numFmtId="0" fontId="10" fillId="6" borderId="1" xfId="0" applyNumberFormat="1" applyFont="1" applyFill="1" applyBorder="1" applyAlignment="1">
      <alignment horizontal="center" vertical="top" wrapText="1"/>
    </xf>
    <xf numFmtId="0" fontId="3" fillId="0" borderId="1" xfId="0" applyFont="1" applyFill="1" applyBorder="1" applyAlignment="1">
      <alignment horizontal="center" vertical="top" wrapText="1"/>
    </xf>
    <xf numFmtId="0" fontId="2" fillId="0" borderId="1" xfId="0" applyFont="1" applyFill="1" applyBorder="1" applyAlignment="1">
      <alignment vertical="top" wrapText="1"/>
    </xf>
    <xf numFmtId="179" fontId="2" fillId="0" borderId="1" xfId="0" applyNumberFormat="1" applyFont="1" applyFill="1" applyBorder="1" applyAlignment="1">
      <alignment horizontal="center" vertical="top" wrapText="1"/>
    </xf>
    <xf numFmtId="0" fontId="2" fillId="0" borderId="1" xfId="0" applyFont="1" applyFill="1" applyBorder="1" applyAlignment="1">
      <alignment horizontal="center" vertical="top" wrapText="1"/>
    </xf>
    <xf numFmtId="0" fontId="2" fillId="0" borderId="1" xfId="0" applyFont="1" applyFill="1" applyBorder="1" applyAlignment="1"/>
    <xf numFmtId="0" fontId="1" fillId="0" borderId="1" xfId="0" applyFont="1" applyBorder="1" applyAlignment="1">
      <alignment horizontal="center" vertical="top"/>
    </xf>
    <xf numFmtId="178" fontId="10" fillId="6" borderId="18" xfId="0" applyNumberFormat="1" applyFont="1" applyFill="1" applyBorder="1" applyAlignment="1">
      <alignment horizontal="center" vertical="top" wrapText="1"/>
    </xf>
    <xf numFmtId="0" fontId="2" fillId="0" borderId="27" xfId="0" applyFont="1" applyFill="1" applyBorder="1" applyAlignment="1">
      <alignment horizontal="left" vertical="center" wrapText="1"/>
    </xf>
    <xf numFmtId="0" fontId="2" fillId="0" borderId="3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27" xfId="0" applyFont="1" applyFill="1" applyBorder="1" applyAlignment="1">
      <alignment horizontal="left" vertical="top" wrapText="1"/>
    </xf>
    <xf numFmtId="0" fontId="2" fillId="0" borderId="2" xfId="0" applyFont="1" applyFill="1" applyBorder="1" applyAlignment="1">
      <alignment horizontal="left" vertical="top" wrapText="1"/>
    </xf>
    <xf numFmtId="0" fontId="34" fillId="0" borderId="0" xfId="0" applyFont="1" applyFill="1" applyAlignment="1">
      <alignment horizontal="left" vertical="top"/>
    </xf>
    <xf numFmtId="0" fontId="3" fillId="16" borderId="17" xfId="0" applyFont="1" applyFill="1" applyBorder="1" applyAlignment="1">
      <alignment horizontal="center" vertical="center" wrapText="1"/>
    </xf>
    <xf numFmtId="0" fontId="3" fillId="16" borderId="10" xfId="0" applyFont="1" applyFill="1" applyBorder="1" applyAlignment="1">
      <alignment horizontal="center" vertical="center" wrapText="1"/>
    </xf>
    <xf numFmtId="0" fontId="3" fillId="16" borderId="18"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8"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1" fillId="0" borderId="0" xfId="0" applyFont="1" applyBorder="1" applyAlignment="1">
      <alignment vertical="top"/>
    </xf>
    <xf numFmtId="0" fontId="1" fillId="0" borderId="0" xfId="0" applyFont="1" applyFill="1" applyAlignment="1"/>
    <xf numFmtId="0" fontId="1" fillId="0" borderId="0" xfId="0" applyFont="1" applyFill="1" applyAlignment="1">
      <alignment vertical="center" wrapText="1"/>
    </xf>
    <xf numFmtId="0" fontId="1" fillId="0" borderId="0" xfId="0" applyFont="1" applyFill="1" applyAlignment="1">
      <alignment vertical="top"/>
    </xf>
    <xf numFmtId="0" fontId="1" fillId="12" borderId="0" xfId="0" applyFont="1" applyFill="1" applyAlignment="1">
      <alignment vertical="top"/>
    </xf>
    <xf numFmtId="2" fontId="2" fillId="0" borderId="0" xfId="0" applyNumberFormat="1" applyFont="1" applyFill="1" applyAlignment="1"/>
    <xf numFmtId="0" fontId="3" fillId="0" borderId="1" xfId="50" applyFont="1" applyFill="1" applyBorder="1" applyAlignment="1">
      <alignment horizontal="center"/>
    </xf>
    <xf numFmtId="0" fontId="1" fillId="0" borderId="0" xfId="0" applyFont="1" applyFill="1" applyAlignment="1">
      <alignment wrapText="1"/>
    </xf>
    <xf numFmtId="0" fontId="3" fillId="0" borderId="1" xfId="50" applyFont="1" applyFill="1" applyBorder="1" applyAlignment="1">
      <alignment horizontal="left" wrapText="1"/>
    </xf>
    <xf numFmtId="0" fontId="2" fillId="0" borderId="17" xfId="50" applyFont="1" applyFill="1" applyBorder="1" applyAlignment="1">
      <alignment horizontal="center" wrapText="1"/>
    </xf>
    <xf numFmtId="0" fontId="2" fillId="0" borderId="10" xfId="50" applyFont="1" applyFill="1" applyBorder="1" applyAlignment="1">
      <alignment horizontal="center" wrapText="1"/>
    </xf>
    <xf numFmtId="0" fontId="2" fillId="0" borderId="18" xfId="50" applyFont="1" applyFill="1" applyBorder="1" applyAlignment="1">
      <alignment horizontal="center" wrapText="1"/>
    </xf>
    <xf numFmtId="0" fontId="2" fillId="0" borderId="0" xfId="50" applyFont="1" applyFill="1" applyAlignment="1">
      <alignment horizontal="left" wrapText="1"/>
    </xf>
    <xf numFmtId="0" fontId="3" fillId="0" borderId="1" xfId="50" applyFont="1" applyFill="1" applyBorder="1" applyAlignment="1">
      <alignment horizontal="left" vertical="center" wrapText="1"/>
    </xf>
    <xf numFmtId="0" fontId="2" fillId="0" borderId="17" xfId="50" applyFont="1" applyFill="1" applyBorder="1" applyAlignment="1">
      <alignment horizontal="center" vertical="top" wrapText="1"/>
    </xf>
    <xf numFmtId="0" fontId="2" fillId="0" borderId="10" xfId="50" applyFont="1" applyFill="1" applyBorder="1" applyAlignment="1">
      <alignment horizontal="center" vertical="top" wrapText="1"/>
    </xf>
    <xf numFmtId="0" fontId="2" fillId="0" borderId="18" xfId="50" applyFont="1" applyFill="1" applyBorder="1" applyAlignment="1">
      <alignment horizontal="center" vertical="top" wrapText="1"/>
    </xf>
    <xf numFmtId="0" fontId="2" fillId="0" borderId="17" xfId="50" applyFont="1" applyFill="1" applyBorder="1" applyAlignment="1">
      <alignment horizontal="center" vertical="center" wrapText="1"/>
    </xf>
    <xf numFmtId="0" fontId="2" fillId="0" borderId="10" xfId="50" applyFont="1" applyFill="1" applyBorder="1" applyAlignment="1">
      <alignment horizontal="center" vertical="center" wrapText="1"/>
    </xf>
    <xf numFmtId="0" fontId="2" fillId="0" borderId="18" xfId="50" applyFont="1" applyFill="1" applyBorder="1" applyAlignment="1">
      <alignment horizontal="center" vertical="center" wrapText="1"/>
    </xf>
    <xf numFmtId="0" fontId="2" fillId="0" borderId="0" xfId="50" applyFont="1" applyFill="1" applyAlignment="1">
      <alignment horizontal="left" vertical="center" wrapText="1"/>
    </xf>
    <xf numFmtId="0" fontId="1" fillId="0" borderId="1" xfId="0" applyFont="1" applyFill="1" applyBorder="1" applyAlignment="1">
      <alignment horizontal="right"/>
    </xf>
    <xf numFmtId="0" fontId="1" fillId="0" borderId="1" xfId="0" applyFont="1" applyFill="1" applyBorder="1" applyAlignment="1">
      <alignment wrapText="1"/>
    </xf>
    <xf numFmtId="0" fontId="1" fillId="0" borderId="1" xfId="0" applyFont="1" applyFill="1" applyBorder="1" applyAlignment="1">
      <alignment horizontal="center" wrapText="1"/>
    </xf>
    <xf numFmtId="0" fontId="1" fillId="0" borderId="0" xfId="0" applyFont="1" applyFill="1" applyAlignment="1">
      <alignment horizontal="center" wrapText="1"/>
    </xf>
    <xf numFmtId="0" fontId="1" fillId="0" borderId="1" xfId="0" applyFont="1" applyFill="1" applyBorder="1" applyAlignment="1">
      <alignment horizontal="center"/>
    </xf>
    <xf numFmtId="1" fontId="1" fillId="0" borderId="1" xfId="0" applyNumberFormat="1" applyFont="1" applyFill="1" applyBorder="1" applyAlignment="1">
      <alignment horizontal="center" wrapText="1"/>
    </xf>
    <xf numFmtId="1" fontId="1" fillId="0" borderId="0" xfId="0" applyNumberFormat="1" applyFont="1" applyFill="1" applyAlignment="1">
      <alignment horizontal="center" wrapText="1"/>
    </xf>
    <xf numFmtId="0" fontId="35" fillId="10" borderId="1" xfId="50" applyFont="1" applyFill="1" applyBorder="1" applyAlignment="1">
      <alignment horizontal="center" vertical="center" wrapText="1"/>
    </xf>
    <xf numFmtId="0" fontId="35" fillId="10" borderId="1" xfId="50" applyFont="1" applyFill="1" applyBorder="1" applyAlignment="1">
      <alignment vertical="center" wrapText="1"/>
    </xf>
    <xf numFmtId="0" fontId="1" fillId="0" borderId="1" xfId="0" applyFont="1" applyFill="1" applyBorder="1" applyAlignment="1"/>
    <xf numFmtId="0" fontId="35" fillId="10" borderId="2" xfId="50" applyFont="1" applyFill="1" applyBorder="1" applyAlignment="1">
      <alignment horizontal="center" vertical="center" wrapText="1"/>
    </xf>
    <xf numFmtId="0" fontId="3" fillId="17" borderId="1" xfId="50" applyFont="1" applyFill="1" applyBorder="1" applyAlignment="1">
      <alignment horizontal="center" vertical="center" wrapText="1"/>
    </xf>
    <xf numFmtId="0" fontId="35" fillId="18" borderId="17" xfId="0" applyFont="1" applyFill="1" applyBorder="1" applyAlignment="1">
      <alignment vertical="center" wrapText="1"/>
    </xf>
    <xf numFmtId="0" fontId="35" fillId="18" borderId="10" xfId="0" applyFont="1" applyFill="1" applyBorder="1" applyAlignment="1">
      <alignment vertical="center"/>
    </xf>
    <xf numFmtId="0" fontId="35" fillId="18" borderId="18" xfId="0" applyFont="1" applyFill="1" applyBorder="1" applyAlignment="1">
      <alignment vertical="center"/>
    </xf>
    <xf numFmtId="178"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58" fontId="2" fillId="0"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0" borderId="1" xfId="50" applyFont="1" applyFill="1" applyBorder="1" applyAlignment="1">
      <alignment vertical="center" wrapText="1"/>
    </xf>
    <xf numFmtId="0" fontId="2" fillId="12" borderId="1" xfId="0" applyFont="1" applyFill="1" applyBorder="1" applyAlignment="1">
      <alignment horizontal="left" vertical="center" wrapText="1"/>
    </xf>
    <xf numFmtId="0" fontId="2" fillId="12" borderId="1" xfId="0" applyFont="1" applyFill="1" applyBorder="1" applyAlignment="1"/>
    <xf numFmtId="0" fontId="2" fillId="12" borderId="1" xfId="0" applyFont="1" applyFill="1" applyBorder="1" applyAlignment="1">
      <alignment horizontal="center" vertical="center" wrapText="1"/>
    </xf>
    <xf numFmtId="58" fontId="2" fillId="12" borderId="1" xfId="0" applyNumberFormat="1" applyFont="1" applyFill="1" applyBorder="1" applyAlignment="1">
      <alignment horizontal="center" vertical="center" wrapText="1"/>
    </xf>
    <xf numFmtId="0" fontId="35" fillId="18" borderId="17" xfId="0" applyFont="1" applyFill="1" applyBorder="1" applyAlignment="1">
      <alignment horizontal="center" vertical="center"/>
    </xf>
    <xf numFmtId="0" fontId="35" fillId="18" borderId="10" xfId="0" applyFont="1" applyFill="1" applyBorder="1" applyAlignment="1">
      <alignment horizontal="center" vertical="center"/>
    </xf>
    <xf numFmtId="0" fontId="35" fillId="18" borderId="18" xfId="0" applyFont="1" applyFill="1" applyBorder="1" applyAlignment="1">
      <alignment horizontal="center" vertical="center"/>
    </xf>
    <xf numFmtId="0" fontId="2" fillId="20" borderId="1" xfId="0" applyFont="1" applyFill="1" applyBorder="1" applyAlignment="1">
      <alignment horizontal="center" vertical="center" wrapText="1"/>
    </xf>
    <xf numFmtId="0" fontId="3" fillId="17" borderId="17" xfId="50" applyFont="1" applyFill="1" applyBorder="1" applyAlignment="1">
      <alignment horizontal="center" vertical="center" wrapText="1"/>
    </xf>
    <xf numFmtId="0" fontId="3" fillId="17" borderId="10" xfId="50" applyFont="1" applyFill="1" applyBorder="1" applyAlignment="1">
      <alignment horizontal="center" vertical="center" wrapText="1"/>
    </xf>
    <xf numFmtId="0" fontId="3" fillId="17" borderId="18" xfId="50" applyFont="1" applyFill="1" applyBorder="1" applyAlignment="1">
      <alignment horizontal="center" vertical="center" wrapText="1"/>
    </xf>
    <xf numFmtId="2" fontId="2" fillId="0" borderId="1" xfId="0" applyNumberFormat="1" applyFont="1" applyFill="1" applyBorder="1" applyAlignment="1">
      <alignment horizontal="left" vertical="center" wrapText="1"/>
    </xf>
    <xf numFmtId="0" fontId="2" fillId="0" borderId="1" xfId="50" applyFont="1" applyFill="1" applyBorder="1" applyAlignment="1">
      <alignment horizontal="center" vertical="center" wrapText="1"/>
    </xf>
    <xf numFmtId="58" fontId="2" fillId="0" borderId="1" xfId="50" applyNumberFormat="1" applyFont="1" applyFill="1" applyBorder="1" applyAlignment="1">
      <alignment horizontal="center" vertical="center" wrapText="1"/>
    </xf>
    <xf numFmtId="0" fontId="2" fillId="9" borderId="1" xfId="50" applyFont="1" applyFill="1" applyBorder="1" applyAlignment="1">
      <alignment horizontal="center" vertical="center" wrapText="1"/>
    </xf>
    <xf numFmtId="178" fontId="3" fillId="17" borderId="17" xfId="0" applyNumberFormat="1" applyFont="1" applyFill="1" applyBorder="1" applyAlignment="1">
      <alignment horizontal="center" vertical="center" wrapText="1"/>
    </xf>
    <xf numFmtId="178" fontId="3" fillId="17" borderId="10" xfId="0" applyNumberFormat="1" applyFont="1" applyFill="1" applyBorder="1" applyAlignment="1">
      <alignment horizontal="center" vertical="center" wrapText="1"/>
    </xf>
    <xf numFmtId="178" fontId="3" fillId="17" borderId="18" xfId="0" applyNumberFormat="1" applyFont="1" applyFill="1" applyBorder="1" applyAlignment="1">
      <alignment horizontal="center" vertical="center" wrapText="1"/>
    </xf>
    <xf numFmtId="0" fontId="2" fillId="0" borderId="1" xfId="0" applyFont="1" applyFill="1" applyBorder="1" applyAlignment="1">
      <alignment horizontal="center"/>
    </xf>
    <xf numFmtId="2" fontId="2" fillId="0" borderId="1" xfId="0" applyNumberFormat="1" applyFont="1" applyFill="1" applyBorder="1" applyAlignment="1">
      <alignment horizontal="center" vertical="center" wrapText="1"/>
    </xf>
    <xf numFmtId="0" fontId="3" fillId="17" borderId="17" xfId="0" applyFont="1" applyFill="1" applyBorder="1" applyAlignment="1">
      <alignment horizontal="center" vertical="center" wrapText="1"/>
    </xf>
    <xf numFmtId="0" fontId="3" fillId="17" borderId="10" xfId="0" applyFont="1" applyFill="1" applyBorder="1" applyAlignment="1">
      <alignment horizontal="center" vertical="center" wrapText="1"/>
    </xf>
    <xf numFmtId="0" fontId="3" fillId="17" borderId="18" xfId="0" applyFont="1" applyFill="1" applyBorder="1" applyAlignment="1">
      <alignment horizontal="center" vertical="center" wrapText="1"/>
    </xf>
    <xf numFmtId="2" fontId="2" fillId="0" borderId="0" xfId="0" applyNumberFormat="1" applyFont="1" applyAlignment="1"/>
    <xf numFmtId="0" fontId="2" fillId="0" borderId="1" xfId="0" applyFont="1" applyBorder="1" applyAlignment="1"/>
    <xf numFmtId="0" fontId="3" fillId="2" borderId="0" xfId="50" applyFont="1" applyFill="1" applyAlignment="1"/>
    <xf numFmtId="0" fontId="2" fillId="0" borderId="3" xfId="0" applyFont="1" applyBorder="1" applyAlignment="1"/>
    <xf numFmtId="0" fontId="2" fillId="0" borderId="6" xfId="0" applyFont="1" applyBorder="1" applyAlignment="1"/>
    <xf numFmtId="0" fontId="2" fillId="0" borderId="7" xfId="0" applyFont="1" applyBorder="1" applyAlignment="1"/>
    <xf numFmtId="0" fontId="2" fillId="0" borderId="10" xfId="0" applyFont="1" applyBorder="1" applyAlignment="1"/>
    <xf numFmtId="0" fontId="2" fillId="0" borderId="11" xfId="0" applyFont="1" applyBorder="1" applyAlignment="1"/>
    <xf numFmtId="0" fontId="2" fillId="2" borderId="9" xfId="50" applyFont="1" applyFill="1" applyBorder="1" applyAlignment="1">
      <alignment vertical="center" wrapText="1"/>
    </xf>
    <xf numFmtId="0" fontId="1" fillId="2" borderId="8" xfId="0" applyFont="1" applyFill="1" applyBorder="1" applyAlignment="1"/>
    <xf numFmtId="0" fontId="1" fillId="2" borderId="13" xfId="0" applyFont="1" applyFill="1" applyBorder="1" applyAlignment="1"/>
    <xf numFmtId="0" fontId="1" fillId="0" borderId="15" xfId="0" applyFont="1" applyBorder="1" applyAlignment="1"/>
    <xf numFmtId="1" fontId="1" fillId="2" borderId="0" xfId="0" applyNumberFormat="1" applyFont="1" applyFill="1" applyBorder="1" applyAlignment="1">
      <alignment wrapText="1"/>
    </xf>
    <xf numFmtId="0" fontId="1" fillId="2" borderId="16" xfId="0" applyFont="1" applyFill="1" applyBorder="1" applyAlignment="1"/>
    <xf numFmtId="0" fontId="2" fillId="0" borderId="16" xfId="0" applyFont="1" applyBorder="1" applyAlignment="1"/>
    <xf numFmtId="0" fontId="2" fillId="0" borderId="0" xfId="0" applyFont="1" applyBorder="1" applyAlignment="1"/>
    <xf numFmtId="0" fontId="1" fillId="2" borderId="0" xfId="0" applyFont="1" applyFill="1" applyBorder="1" applyAlignment="1">
      <alignment wrapText="1"/>
    </xf>
    <xf numFmtId="0" fontId="6" fillId="3" borderId="1" xfId="0" applyNumberFormat="1" applyFont="1" applyFill="1" applyBorder="1" applyAlignment="1">
      <alignment vertical="center" wrapText="1"/>
    </xf>
    <xf numFmtId="0" fontId="6" fillId="4" borderId="1" xfId="0" applyNumberFormat="1" applyFont="1" applyFill="1" applyBorder="1" applyAlignment="1">
      <alignment vertical="center" wrapText="1"/>
    </xf>
    <xf numFmtId="0" fontId="2" fillId="4" borderId="1" xfId="0" applyFont="1" applyFill="1" applyBorder="1" applyAlignment="1"/>
    <xf numFmtId="0" fontId="3" fillId="0" borderId="1" xfId="0" applyNumberFormat="1" applyFont="1" applyFill="1" applyBorder="1" applyAlignment="1">
      <alignment vertical="top" wrapText="1"/>
    </xf>
    <xf numFmtId="0" fontId="2" fillId="0" borderId="1" xfId="0" applyNumberFormat="1" applyFont="1" applyFill="1" applyBorder="1" applyAlignment="1">
      <alignment vertical="top" wrapText="1"/>
    </xf>
    <xf numFmtId="58" fontId="2" fillId="0" borderId="1" xfId="0" applyNumberFormat="1" applyFont="1" applyFill="1" applyBorder="1" applyAlignment="1">
      <alignment vertical="top" wrapText="1"/>
    </xf>
    <xf numFmtId="0" fontId="2" fillId="7" borderId="1" xfId="0" applyNumberFormat="1" applyFont="1" applyFill="1" applyBorder="1" applyAlignment="1">
      <alignment vertical="top" wrapText="1"/>
    </xf>
    <xf numFmtId="178" fontId="3" fillId="0" borderId="1" xfId="0" applyNumberFormat="1" applyFont="1" applyFill="1" applyBorder="1" applyAlignment="1">
      <alignment vertical="top" wrapText="1"/>
    </xf>
    <xf numFmtId="0" fontId="1" fillId="0" borderId="1" xfId="0" applyNumberFormat="1" applyFont="1" applyFill="1" applyBorder="1" applyAlignment="1">
      <alignment vertical="top" wrapText="1"/>
    </xf>
    <xf numFmtId="0" fontId="1" fillId="7" borderId="1" xfId="0" applyNumberFormat="1" applyFont="1" applyFill="1" applyBorder="1" applyAlignment="1">
      <alignment vertical="top" wrapText="1"/>
    </xf>
    <xf numFmtId="178" fontId="10" fillId="6" borderId="17" xfId="0" applyNumberFormat="1" applyFont="1" applyFill="1" applyBorder="1" applyAlignment="1">
      <alignment horizontal="center" vertical="top" wrapText="1"/>
    </xf>
    <xf numFmtId="178" fontId="10" fillId="6" borderId="10" xfId="0" applyNumberFormat="1" applyFont="1" applyFill="1" applyBorder="1" applyAlignment="1">
      <alignment horizontal="center" vertical="top" wrapText="1"/>
    </xf>
    <xf numFmtId="0" fontId="1" fillId="13" borderId="1" xfId="0" applyNumberFormat="1" applyFont="1" applyFill="1" applyBorder="1" applyAlignment="1">
      <alignment vertical="top" wrapText="1"/>
    </xf>
    <xf numFmtId="0" fontId="2" fillId="13" borderId="1" xfId="0" applyNumberFormat="1" applyFont="1" applyFill="1" applyBorder="1" applyAlignment="1">
      <alignment vertical="top" wrapText="1"/>
    </xf>
    <xf numFmtId="2" fontId="2" fillId="0" borderId="1" xfId="0" applyNumberFormat="1" applyFont="1" applyFill="1" applyBorder="1" applyAlignment="1">
      <alignment vertical="top" wrapText="1"/>
    </xf>
    <xf numFmtId="0" fontId="13" fillId="13" borderId="1" xfId="0" applyNumberFormat="1" applyFont="1" applyFill="1" applyBorder="1" applyAlignment="1">
      <alignment vertical="top" wrapText="1"/>
    </xf>
    <xf numFmtId="0" fontId="13" fillId="9" borderId="1" xfId="0" applyNumberFormat="1" applyFont="1" applyFill="1" applyBorder="1" applyAlignment="1">
      <alignment vertical="top" wrapText="1"/>
    </xf>
    <xf numFmtId="0" fontId="36" fillId="0" borderId="1" xfId="0" applyFont="1" applyBorder="1" applyAlignment="1"/>
    <xf numFmtId="0" fontId="13" fillId="0" borderId="1" xfId="0" applyNumberFormat="1" applyFont="1" applyFill="1" applyBorder="1" applyAlignment="1">
      <alignment vertical="top" wrapText="1"/>
    </xf>
    <xf numFmtId="0" fontId="16" fillId="0" borderId="1" xfId="0" applyFont="1" applyBorder="1" applyAlignment="1"/>
    <xf numFmtId="179" fontId="1" fillId="0" borderId="1" xfId="0" applyNumberFormat="1" applyFont="1" applyFill="1" applyBorder="1" applyAlignment="1">
      <alignment vertical="top" wrapText="1"/>
    </xf>
    <xf numFmtId="0" fontId="18" fillId="0" borderId="1" xfId="0" applyNumberFormat="1" applyFont="1" applyFill="1" applyBorder="1" applyAlignment="1">
      <alignment vertical="top" wrapText="1"/>
    </xf>
    <xf numFmtId="2" fontId="2" fillId="13" borderId="1" xfId="0" applyNumberFormat="1" applyFont="1" applyFill="1" applyBorder="1" applyAlignment="1">
      <alignment vertical="top" wrapText="1"/>
    </xf>
    <xf numFmtId="179" fontId="2" fillId="0" borderId="1" xfId="0" applyNumberFormat="1" applyFont="1" applyFill="1" applyBorder="1" applyAlignment="1">
      <alignment vertical="top" wrapText="1"/>
    </xf>
    <xf numFmtId="0" fontId="10" fillId="6" borderId="17" xfId="0" applyNumberFormat="1" applyFont="1" applyFill="1" applyBorder="1" applyAlignment="1">
      <alignment horizontal="center" vertical="top" wrapText="1"/>
    </xf>
    <xf numFmtId="0" fontId="10" fillId="6" borderId="10" xfId="0" applyNumberFormat="1" applyFont="1" applyFill="1" applyBorder="1" applyAlignment="1">
      <alignment horizontal="center" vertical="top" wrapText="1"/>
    </xf>
    <xf numFmtId="0" fontId="10" fillId="6" borderId="18" xfId="0" applyNumberFormat="1" applyFont="1" applyFill="1" applyBorder="1" applyAlignment="1">
      <alignment horizontal="center" vertical="top" wrapText="1"/>
    </xf>
    <xf numFmtId="0" fontId="3" fillId="0" borderId="1" xfId="0" applyNumberFormat="1" applyFont="1" applyFill="1" applyBorder="1" applyAlignment="1">
      <alignment vertical="center" wrapText="1"/>
    </xf>
    <xf numFmtId="0" fontId="2" fillId="0" borderId="1" xfId="0" applyNumberFormat="1" applyFont="1" applyFill="1" applyBorder="1" applyAlignment="1">
      <alignment vertical="top"/>
    </xf>
    <xf numFmtId="0" fontId="3" fillId="21" borderId="17" xfId="0" applyNumberFormat="1" applyFont="1" applyFill="1" applyBorder="1" applyAlignment="1">
      <alignment horizontal="center" vertical="center" wrapText="1"/>
    </xf>
    <xf numFmtId="0" fontId="3" fillId="21" borderId="10" xfId="0" applyNumberFormat="1" applyFont="1" applyFill="1" applyBorder="1" applyAlignment="1">
      <alignment horizontal="center" vertical="center" wrapText="1"/>
    </xf>
    <xf numFmtId="0" fontId="3" fillId="21" borderId="18" xfId="0" applyNumberFormat="1" applyFont="1" applyFill="1" applyBorder="1" applyAlignment="1">
      <alignment horizontal="center" vertical="center" wrapText="1"/>
    </xf>
    <xf numFmtId="0" fontId="2" fillId="0" borderId="1" xfId="0" applyNumberFormat="1" applyFont="1" applyFill="1" applyBorder="1" applyAlignment="1">
      <alignment wrapText="1"/>
    </xf>
    <xf numFmtId="58" fontId="2" fillId="0" borderId="1" xfId="0" applyNumberFormat="1" applyFont="1" applyFill="1" applyBorder="1" applyAlignment="1">
      <alignment vertical="center" wrapText="1"/>
    </xf>
    <xf numFmtId="0" fontId="2" fillId="0" borderId="2" xfId="0" applyFont="1" applyBorder="1" applyAlignment="1"/>
    <xf numFmtId="0" fontId="0" fillId="0" borderId="0" xfId="0" applyAlignment="1">
      <alignment wrapText="1"/>
    </xf>
    <xf numFmtId="0" fontId="37" fillId="0" borderId="0" xfId="49" applyFont="1"/>
    <xf numFmtId="0" fontId="24" fillId="0" borderId="0" xfId="49" applyFont="1"/>
    <xf numFmtId="0" fontId="25" fillId="0" borderId="0" xfId="49" applyFont="1"/>
    <xf numFmtId="180" fontId="25" fillId="0" borderId="0" xfId="49" applyNumberFormat="1" applyFont="1"/>
    <xf numFmtId="0" fontId="25" fillId="0" borderId="0" xfId="49" applyFont="1" applyAlignment="1">
      <alignment horizontal="right"/>
    </xf>
    <xf numFmtId="0" fontId="25" fillId="0" borderId="0" xfId="0" applyFont="1"/>
    <xf numFmtId="179" fontId="25" fillId="0" borderId="32" xfId="0" applyNumberFormat="1" applyFont="1" applyBorder="1" applyAlignment="1">
      <alignment horizontal="right"/>
    </xf>
    <xf numFmtId="0" fontId="38" fillId="22" borderId="33" xfId="0" applyFont="1" applyFill="1" applyBorder="1" applyAlignment="1">
      <alignment horizontal="center"/>
    </xf>
    <xf numFmtId="0" fontId="38" fillId="22" borderId="34" xfId="0" applyFont="1" applyFill="1" applyBorder="1" applyAlignment="1">
      <alignment horizontal="center"/>
    </xf>
    <xf numFmtId="0" fontId="38" fillId="22" borderId="34" xfId="0" applyFont="1" applyFill="1" applyBorder="1" applyAlignment="1">
      <alignment horizontal="center" wrapText="1"/>
    </xf>
    <xf numFmtId="0" fontId="38" fillId="22" borderId="35" xfId="0" applyFont="1" applyFill="1" applyBorder="1" applyAlignment="1">
      <alignment horizontal="center" wrapText="1"/>
    </xf>
    <xf numFmtId="0" fontId="25" fillId="0" borderId="0" xfId="0" applyFont="1" applyAlignment="1">
      <alignment wrapText="1"/>
    </xf>
    <xf numFmtId="0" fontId="25" fillId="0" borderId="32" xfId="0" applyFont="1" applyBorder="1" applyAlignment="1">
      <alignment horizontal="center" vertical="center" wrapText="1"/>
    </xf>
    <xf numFmtId="0" fontId="25" fillId="0" borderId="36" xfId="0" applyFont="1" applyBorder="1" applyAlignment="1">
      <alignment horizontal="left" vertical="center" wrapText="1"/>
    </xf>
    <xf numFmtId="1" fontId="25" fillId="0" borderId="37" xfId="0" applyNumberFormat="1" applyFont="1" applyBorder="1" applyAlignment="1">
      <alignment horizontal="center" vertical="center" wrapText="1"/>
    </xf>
    <xf numFmtId="1" fontId="25" fillId="0" borderId="38" xfId="0" applyNumberFormat="1" applyFont="1" applyBorder="1" applyAlignment="1">
      <alignment horizontal="center" vertical="center" wrapText="1"/>
    </xf>
    <xf numFmtId="0" fontId="25" fillId="0" borderId="36" xfId="0" applyFont="1" applyBorder="1" applyAlignment="1">
      <alignment horizontal="center" vertical="center" wrapText="1"/>
    </xf>
    <xf numFmtId="0" fontId="39" fillId="22" borderId="39" xfId="0" applyFont="1" applyFill="1" applyBorder="1" applyAlignment="1">
      <alignment horizontal="center"/>
    </xf>
    <xf numFmtId="0" fontId="38" fillId="22" borderId="40" xfId="0" applyFont="1" applyFill="1" applyBorder="1"/>
    <xf numFmtId="0" fontId="39" fillId="22" borderId="40" xfId="0" applyFont="1" applyFill="1" applyBorder="1" applyAlignment="1">
      <alignment horizontal="center"/>
    </xf>
    <xf numFmtId="0" fontId="39" fillId="22" borderId="41" xfId="0" applyFont="1" applyFill="1" applyBorder="1" applyAlignment="1">
      <alignment horizontal="center"/>
    </xf>
    <xf numFmtId="0" fontId="25" fillId="0" borderId="0" xfId="0" applyFont="1" applyAlignment="1">
      <alignment horizontal="center"/>
    </xf>
    <xf numFmtId="10" fontId="25" fillId="0" borderId="0" xfId="0" applyNumberFormat="1" applyFont="1" applyAlignment="1">
      <alignment horizontal="center"/>
    </xf>
    <xf numFmtId="9" fontId="25" fillId="0" borderId="0" xfId="0" applyNumberFormat="1" applyFont="1" applyAlignment="1">
      <alignment horizontal="center"/>
    </xf>
    <xf numFmtId="2" fontId="40" fillId="0" borderId="0" xfId="0" applyNumberFormat="1" applyFont="1" applyAlignment="1">
      <alignment horizontal="right" wrapText="1"/>
    </xf>
    <xf numFmtId="0" fontId="20" fillId="0" borderId="0" xfId="0" applyFont="1" applyAlignment="1">
      <alignment horizontal="center"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unctional Test Case v1.0" xfId="49"/>
    <cellStyle name="Normal_Sheet1_Vanco_CR022a1_TestCase_v0.1" xfId="50"/>
    <cellStyle name="標準_結合試験(AllOvertheWorld)" xfId="51"/>
  </cellStyles>
  <dxfs count="20">
    <dxf>
      <font>
        <b val="1"/>
        <color rgb="FF92400E"/>
      </font>
      <fill>
        <patternFill patternType="solid">
          <bgColor rgb="FFFEF3C7"/>
        </patternFill>
      </fill>
    </dxf>
    <dxf>
      <font>
        <b val="1"/>
        <color rgb="FF991B1B"/>
      </font>
      <fill>
        <patternFill patternType="solid">
          <bgColor rgb="FFFEE2E2"/>
        </patternFill>
      </fill>
    </dxf>
    <dxf>
      <font>
        <b val="1"/>
        <color rgb="FF166534"/>
      </font>
      <fill>
        <patternFill patternType="solid">
          <bgColor rgb="FFDCFCE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Стандартная">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Стандартная">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workbookViewId="0">
      <selection activeCell="F3" sqref="F3"/>
    </sheetView>
  </sheetViews>
  <sheetFormatPr defaultColWidth="9" defaultRowHeight="13.2" outlineLevelCol="6"/>
  <cols>
    <col min="3" max="3" width="28.3333333333333" customWidth="1"/>
    <col min="4" max="4" width="14" customWidth="1"/>
    <col min="5" max="5" width="9.22222222222222"/>
    <col min="7" max="7" width="18.8796296296296" customWidth="1"/>
    <col min="8" max="8" width="20.8888888888889" customWidth="1"/>
  </cols>
  <sheetData>
    <row r="1" ht="22.2" customHeight="1" spans="1:7">
      <c r="A1" s="388" t="s">
        <v>0</v>
      </c>
      <c r="B1" s="389"/>
      <c r="C1" s="390"/>
      <c r="D1" s="390"/>
      <c r="E1" s="390"/>
      <c r="F1" s="390"/>
      <c r="G1" s="391"/>
    </row>
    <row r="2" ht="14.25" customHeight="1" spans="1:7">
      <c r="A2" s="388"/>
      <c r="B2" s="389" t="s">
        <v>1</v>
      </c>
      <c r="C2" s="392">
        <v>4</v>
      </c>
      <c r="D2" s="390"/>
      <c r="E2" s="390"/>
      <c r="F2" s="390"/>
      <c r="G2" s="391"/>
    </row>
    <row r="3" spans="1:7">
      <c r="B3" s="393" t="s">
        <v>2</v>
      </c>
      <c r="C3" s="392" t="s">
        <v>3</v>
      </c>
      <c r="D3" s="390"/>
      <c r="E3" s="390"/>
      <c r="F3" s="390"/>
      <c r="G3" s="391"/>
    </row>
    <row r="4" spans="1:7">
      <c r="B4" s="393" t="s">
        <v>4</v>
      </c>
      <c r="C4" s="394">
        <v>46059</v>
      </c>
      <c r="D4" s="393"/>
      <c r="E4" s="393"/>
      <c r="F4" s="393"/>
      <c r="G4" s="393"/>
    </row>
    <row r="5" spans="1:7">
      <c r="A5" s="393"/>
      <c r="B5" s="393"/>
      <c r="C5" s="393"/>
      <c r="D5" s="393"/>
      <c r="E5" s="393"/>
      <c r="F5" s="393"/>
      <c r="G5" s="393"/>
    </row>
    <row r="6" spans="1:7">
      <c r="A6" s="393"/>
      <c r="B6" s="393"/>
      <c r="C6" s="393"/>
      <c r="D6" s="393"/>
      <c r="E6" s="393"/>
      <c r="F6" s="393"/>
      <c r="G6" s="393"/>
    </row>
    <row r="7" ht="26.4" customHeight="1" spans="1:7">
      <c r="A7" s="393"/>
      <c r="B7" s="395" t="s">
        <v>5</v>
      </c>
      <c r="C7" s="396" t="s">
        <v>6</v>
      </c>
      <c r="D7" s="397" t="s">
        <v>7</v>
      </c>
      <c r="E7" s="396" t="s">
        <v>8</v>
      </c>
      <c r="F7" s="396" t="s">
        <v>9</v>
      </c>
      <c r="G7" s="398" t="s">
        <v>10</v>
      </c>
    </row>
    <row r="8" s="387" customFormat="1" ht="26.4" spans="1:7">
      <c r="A8" s="399"/>
      <c r="B8" s="400">
        <v>1</v>
      </c>
      <c r="C8" s="401" t="s">
        <v>11</v>
      </c>
      <c r="D8" s="402">
        <f>COUNTIF('Chức năng Quản lý Sản phẩm '!I:I,"Pass")</f>
        <v>60</v>
      </c>
      <c r="E8" s="402">
        <f>COUNTIF('Chức năng Quản lý Sản phẩm '!I:I,"Fail")</f>
        <v>58</v>
      </c>
      <c r="F8" s="402">
        <f>COUNTIF('Chức năng Quản lý Sản phẩm '!I:I,"Pending")</f>
        <v>0</v>
      </c>
      <c r="G8" s="402">
        <f>SUM(D8:F8)</f>
        <v>118</v>
      </c>
    </row>
    <row r="9" s="387" customFormat="1" spans="1:7">
      <c r="A9" s="399"/>
      <c r="B9" s="400">
        <v>2</v>
      </c>
      <c r="C9" s="401" t="s">
        <v>12</v>
      </c>
      <c r="D9" s="402">
        <f>COUNTIF('Chức năng giỏ hàng'!I:I,"Pass")</f>
        <v>67</v>
      </c>
      <c r="E9" s="402">
        <f>COUNTIF('Chức năng giỏ hàng'!I:I,"Fail")</f>
        <v>13</v>
      </c>
      <c r="F9" s="402">
        <f>COUNTIF('Chức năng giỏ hàng'!I:I,"Pending")</f>
        <v>0</v>
      </c>
      <c r="G9" s="402">
        <f>SUM(D9:F9)</f>
        <v>80</v>
      </c>
    </row>
    <row r="10" s="387" customFormat="1" ht="26.4" spans="1:7">
      <c r="A10" s="399"/>
      <c r="B10" s="400">
        <v>3</v>
      </c>
      <c r="C10" s="401" t="s">
        <v>13</v>
      </c>
      <c r="D10" s="402">
        <f>COUNTIF('Chức năng Quản lý tài khoản'!I:I,"Pass")</f>
        <v>44</v>
      </c>
      <c r="E10" s="402">
        <f>COUNTIF('Chức năng Quản lý tài khoản'!I:I,"Fail")</f>
        <v>23</v>
      </c>
      <c r="F10" s="402">
        <f>COUNTIF('Chức năng Quản lý tài khoản'!I:I,"Pending")</f>
        <v>3</v>
      </c>
      <c r="G10" s="402">
        <f>SUM(D10:F10)</f>
        <v>70</v>
      </c>
    </row>
    <row r="11" s="387" customFormat="1" spans="1:7">
      <c r="A11" s="399"/>
      <c r="B11" s="400">
        <v>4</v>
      </c>
      <c r="C11" s="401" t="s">
        <v>14</v>
      </c>
      <c r="D11" s="402">
        <f>COUNTIF('Chức năng thanh toán'!G:G,"Pass")</f>
        <v>47</v>
      </c>
      <c r="E11" s="402">
        <f>COUNTIF('Chức năng thanh toán'!G:G,"Fail")</f>
        <v>23</v>
      </c>
      <c r="F11" s="402">
        <f>COUNTIF('Chức năng thanh toán'!G:G,"Pending")</f>
        <v>0</v>
      </c>
      <c r="G11" s="402">
        <f>SUM(D11:F11)</f>
        <v>70</v>
      </c>
    </row>
    <row r="12" s="387" customFormat="1" ht="26.4" spans="1:7">
      <c r="A12" s="399"/>
      <c r="B12" s="400">
        <v>5</v>
      </c>
      <c r="C12" s="401" t="s">
        <v>15</v>
      </c>
      <c r="D12" s="403">
        <f>COUNTIF('chức năng Báo cáo thống kê'!I:I,"Pass")</f>
        <v>43</v>
      </c>
      <c r="E12" s="404">
        <f>COUNTIF('chức năng Báo cáo thống kê'!I:I,"Fail")</f>
        <v>37</v>
      </c>
      <c r="F12" s="402">
        <f>COUNTIF('chức năng Báo cáo thống kê'!I:I,"Pending")</f>
        <v>0</v>
      </c>
      <c r="G12" s="402">
        <f>COUNTIF('chức năng Báo cáo thống kê'!I:I,"Pass")+COUNTIF('chức năng Báo cáo thống kê'!I:I,"Fail")</f>
        <v>80</v>
      </c>
    </row>
    <row r="13" s="387" customFormat="1" spans="1:7">
      <c r="A13" s="399"/>
      <c r="B13" s="405"/>
      <c r="C13" s="406" t="s">
        <v>16</v>
      </c>
      <c r="D13" s="407">
        <f>SUM(D8:D12)</f>
        <v>261</v>
      </c>
      <c r="E13" s="407">
        <f>SUM(E8:E12)</f>
        <v>154</v>
      </c>
      <c r="F13" s="407">
        <f>SUM(F8:F12)</f>
        <v>3</v>
      </c>
      <c r="G13" s="408">
        <f>SUM(G8:G12)</f>
        <v>418</v>
      </c>
    </row>
    <row r="14" spans="1:7">
      <c r="A14" s="393"/>
      <c r="B14" s="409"/>
      <c r="C14" s="393"/>
      <c r="D14" s="410"/>
      <c r="E14" s="411"/>
      <c r="F14" s="411"/>
      <c r="G14" s="411"/>
    </row>
    <row r="15" spans="1:7">
      <c r="A15" s="393"/>
      <c r="B15" s="393"/>
      <c r="C15" s="393" t="s">
        <v>17</v>
      </c>
      <c r="D15" s="393"/>
      <c r="E15" s="412">
        <f>(D13+E13)*100/G13</f>
        <v>99.2822966507177</v>
      </c>
      <c r="F15" s="393" t="s">
        <v>18</v>
      </c>
      <c r="G15" s="413"/>
    </row>
    <row r="16" spans="1:7">
      <c r="A16" s="393"/>
      <c r="B16" s="393"/>
      <c r="C16" s="393" t="s">
        <v>19</v>
      </c>
      <c r="D16" s="393"/>
      <c r="E16" s="412">
        <f>D13*100/G13</f>
        <v>62.4401913875598</v>
      </c>
      <c r="F16" s="393" t="s">
        <v>18</v>
      </c>
      <c r="G16" s="413"/>
    </row>
    <row r="17" spans="1:1">
      <c r="A17" s="393"/>
    </row>
    <row r="18" spans="1:1">
      <c r="A18" s="39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C282"/>
  <sheetViews>
    <sheetView zoomScale="56" zoomScaleNormal="56" topLeftCell="D1" workbookViewId="0">
      <selection activeCell="L1" sqref="L$1:L$1048576"/>
    </sheetView>
  </sheetViews>
  <sheetFormatPr defaultColWidth="9" defaultRowHeight="16.8"/>
  <cols>
    <col min="1" max="1" width="13" style="9" customWidth="1"/>
    <col min="2" max="2" width="38" style="9" customWidth="1"/>
    <col min="3" max="4" width="55" style="9" customWidth="1"/>
    <col min="5" max="5" width="9" style="9"/>
    <col min="6" max="6" width="23.6296296296296" style="9" customWidth="1"/>
    <col min="7" max="7" width="18.5" style="9" hidden="1" customWidth="1"/>
    <col min="8" max="8" width="16" style="9" customWidth="1"/>
    <col min="9" max="9" width="14" style="336" customWidth="1"/>
    <col min="10" max="10" width="101.425925925926" style="336" customWidth="1"/>
    <col min="11" max="11" width="41.0648148148148" style="9" customWidth="1"/>
    <col min="12" max="12" width="29.1666666666667" style="9" customWidth="1"/>
    <col min="13" max="16384" width="9" style="9"/>
  </cols>
  <sheetData>
    <row r="1" s="14" customFormat="1" ht="12.75" customHeight="1" spans="1:1024 1025:1771">
      <c r="A1" s="337" t="s">
        <v>20</v>
      </c>
      <c r="B1" s="11"/>
      <c r="E1" s="12"/>
      <c r="F1" s="12"/>
      <c r="G1" s="12"/>
      <c r="H1" s="12"/>
      <c r="I1" s="12"/>
      <c r="J1" s="12"/>
      <c r="K1" s="110"/>
    </row>
    <row r="2" s="14" customFormat="1" ht="11.25" customHeight="1" spans="1:1024 1025:1771">
      <c r="A2" s="110"/>
      <c r="B2" s="338"/>
      <c r="C2" s="338"/>
      <c r="D2" s="338"/>
      <c r="E2" s="12"/>
      <c r="F2" s="12"/>
      <c r="G2" s="12"/>
      <c r="H2" s="12"/>
      <c r="I2" s="12"/>
      <c r="J2" s="12"/>
      <c r="K2" s="110"/>
    </row>
    <row r="3" s="14" customFormat="1" ht="15" customHeight="1" spans="1:1024 1025:1771">
      <c r="A3" s="16" t="s">
        <v>21</v>
      </c>
      <c r="B3" s="17" t="s">
        <v>22</v>
      </c>
      <c r="C3" s="339"/>
      <c r="D3" s="340"/>
      <c r="E3" s="20"/>
      <c r="F3" s="20"/>
      <c r="G3" s="20"/>
      <c r="H3" s="12"/>
      <c r="K3" s="110"/>
    </row>
    <row r="4" s="14" customFormat="1" ht="33.6" spans="1:1024 1025:1771">
      <c r="A4" s="21" t="s">
        <v>23</v>
      </c>
      <c r="B4" s="22" t="s">
        <v>24</v>
      </c>
      <c r="C4" s="341"/>
      <c r="D4" s="342"/>
      <c r="E4" s="20"/>
      <c r="F4" s="20"/>
      <c r="G4" s="20"/>
      <c r="H4" s="12"/>
      <c r="K4" s="110"/>
    </row>
    <row r="5" s="2" customFormat="1" ht="26.4" customHeight="1" spans="1:1024 1025:1771">
      <c r="A5" s="21" t="s">
        <v>25</v>
      </c>
      <c r="B5" s="343" t="s">
        <v>26</v>
      </c>
      <c r="C5" s="341"/>
      <c r="D5" s="342"/>
      <c r="E5" s="26"/>
      <c r="F5" s="26"/>
      <c r="G5" s="26"/>
      <c r="H5" s="27"/>
      <c r="K5" s="27"/>
    </row>
    <row r="6" s="14" customFormat="1" ht="15" customHeight="1" spans="1:1024 1025:1771">
      <c r="A6" s="344" t="s">
        <v>7</v>
      </c>
      <c r="B6" s="29">
        <f>COUNTIF(I12:I98,"Pass")</f>
        <v>43</v>
      </c>
      <c r="C6" s="29" t="s">
        <v>9</v>
      </c>
      <c r="D6" s="30">
        <f>COUNTIF(I12:I86,"Pending")</f>
        <v>0</v>
      </c>
      <c r="E6" s="12"/>
      <c r="F6" s="12"/>
      <c r="G6" s="12"/>
      <c r="H6" s="31" t="s">
        <v>27</v>
      </c>
      <c r="K6" s="110"/>
    </row>
    <row r="7" s="14" customFormat="1" ht="15" customHeight="1" spans="1:1024 1025:1771">
      <c r="A7" s="345" t="s">
        <v>8</v>
      </c>
      <c r="B7" s="33">
        <f>COUNTIF(I12:I98,"Fail")</f>
        <v>37</v>
      </c>
      <c r="C7" s="346" t="s">
        <v>28</v>
      </c>
      <c r="D7" s="35">
        <f>COUNTIF(A12:A98,"*TC*")</f>
        <v>80</v>
      </c>
      <c r="E7" s="347"/>
      <c r="F7" s="36"/>
      <c r="G7" s="36"/>
      <c r="H7" s="12"/>
      <c r="K7" s="110"/>
    </row>
    <row r="8" s="14" customFormat="1" ht="15" customHeight="1" spans="1:1024 1025:1771">
      <c r="A8" s="348"/>
      <c r="B8" s="349"/>
      <c r="C8" s="349"/>
      <c r="D8" s="350"/>
      <c r="E8" s="12"/>
      <c r="F8" s="12"/>
      <c r="G8" s="12"/>
      <c r="H8" s="12"/>
      <c r="I8" s="351"/>
      <c r="J8" s="351"/>
      <c r="K8" s="110"/>
    </row>
    <row r="9" s="14" customFormat="1" ht="30" customHeight="1" spans="1:1024 1025:1771">
      <c r="A9" s="352" t="s">
        <v>29</v>
      </c>
      <c r="B9" s="352" t="s">
        <v>30</v>
      </c>
      <c r="C9" s="352" t="s">
        <v>31</v>
      </c>
      <c r="D9" s="352" t="s">
        <v>32</v>
      </c>
      <c r="E9" s="352"/>
      <c r="F9" s="352"/>
      <c r="G9" s="352"/>
      <c r="H9" s="352" t="s">
        <v>33</v>
      </c>
      <c r="I9" s="352" t="s">
        <v>34</v>
      </c>
      <c r="J9" s="353" t="s">
        <v>35</v>
      </c>
      <c r="K9" s="41" t="s">
        <v>36</v>
      </c>
      <c r="L9" s="41" t="s">
        <v>37</v>
      </c>
    </row>
    <row r="10" s="14" customFormat="1" ht="12" customHeight="1" spans="1:1024 1025:1771">
      <c r="A10" s="336"/>
      <c r="B10" s="336"/>
      <c r="C10" s="336"/>
      <c r="D10" s="336"/>
      <c r="E10" s="336"/>
      <c r="F10" s="336"/>
      <c r="G10" s="336"/>
      <c r="H10" s="336"/>
      <c r="I10" s="336"/>
      <c r="J10" s="354"/>
      <c r="K10" s="41"/>
      <c r="L10" s="43"/>
    </row>
    <row r="11" s="9" customFormat="1" ht="24" customHeight="1" spans="1:1024 1025:1771">
      <c r="A11" s="250" t="s">
        <v>38</v>
      </c>
      <c r="B11" s="250"/>
      <c r="C11" s="250"/>
      <c r="D11" s="250"/>
      <c r="E11" s="250"/>
      <c r="F11" s="250"/>
      <c r="G11" s="250"/>
      <c r="H11" s="250"/>
      <c r="I11" s="250"/>
      <c r="J11" s="250"/>
      <c r="K11" s="250"/>
      <c r="L11" s="250"/>
    </row>
    <row r="12" s="4" customFormat="1" ht="60" customHeight="1" spans="1:1024 1025:1771">
      <c r="A12" s="355" t="s">
        <v>39</v>
      </c>
      <c r="B12" s="356" t="s">
        <v>40</v>
      </c>
      <c r="C12" s="356" t="s">
        <v>41</v>
      </c>
      <c r="D12" s="356" t="s">
        <v>42</v>
      </c>
      <c r="E12" s="356"/>
      <c r="F12" s="356"/>
      <c r="G12" s="356"/>
      <c r="H12" s="357">
        <f>DATEVALUE("05/19/2026")</f>
        <v>46161</v>
      </c>
      <c r="I12" s="358" t="s">
        <v>7</v>
      </c>
      <c r="J12" s="356"/>
      <c r="K12" s="5"/>
      <c r="L12" s="5" t="s">
        <v>43</v>
      </c>
    </row>
    <row r="13" s="4" customFormat="1" ht="60" customHeight="1" spans="1:1024 1025:1771">
      <c r="A13" s="359" t="s">
        <v>44</v>
      </c>
      <c r="B13" s="356" t="s">
        <v>45</v>
      </c>
      <c r="C13" s="356" t="s">
        <v>46</v>
      </c>
      <c r="D13" s="356" t="s">
        <v>47</v>
      </c>
      <c r="E13" s="356"/>
      <c r="F13" s="356"/>
      <c r="G13" s="360"/>
      <c r="H13" s="357">
        <f t="shared" ref="H13:H26" si="0">DATEVALUE("05/19/2026")</f>
        <v>46161</v>
      </c>
      <c r="I13" s="361" t="s">
        <v>7</v>
      </c>
      <c r="J13" s="360"/>
      <c r="K13" s="5"/>
      <c r="L13" s="5" t="s">
        <v>43</v>
      </c>
    </row>
    <row r="14" s="4" customFormat="1" ht="60" customHeight="1" spans="1:1024 1025:1771">
      <c r="A14" s="359" t="s">
        <v>48</v>
      </c>
      <c r="B14" s="356" t="s">
        <v>49</v>
      </c>
      <c r="C14" s="356" t="s">
        <v>50</v>
      </c>
      <c r="D14" s="356" t="s">
        <v>51</v>
      </c>
      <c r="E14" s="356"/>
      <c r="F14" s="356"/>
      <c r="G14" s="360"/>
      <c r="H14" s="357">
        <f t="shared" si="0"/>
        <v>46161</v>
      </c>
      <c r="I14" s="361" t="s">
        <v>7</v>
      </c>
      <c r="J14" s="360"/>
      <c r="K14" s="5"/>
      <c r="L14" s="5" t="s">
        <v>43</v>
      </c>
    </row>
    <row r="15" s="4" customFormat="1" ht="60" customHeight="1" spans="1:1024 1025:1771">
      <c r="A15" s="355" t="s">
        <v>52</v>
      </c>
      <c r="B15" s="356" t="s">
        <v>53</v>
      </c>
      <c r="C15" s="356" t="s">
        <v>54</v>
      </c>
      <c r="D15" s="356" t="s">
        <v>55</v>
      </c>
      <c r="E15" s="356"/>
      <c r="F15" s="356"/>
      <c r="G15" s="356"/>
      <c r="H15" s="357">
        <f t="shared" si="0"/>
        <v>46161</v>
      </c>
      <c r="I15" s="358" t="s">
        <v>7</v>
      </c>
      <c r="J15" s="356"/>
      <c r="K15" s="5"/>
      <c r="L15" s="5" t="s">
        <v>43</v>
      </c>
    </row>
    <row r="16" s="5" customFormat="1" ht="60" customHeight="1" spans="1:1024 1025:1771">
      <c r="A16" s="359" t="s">
        <v>56</v>
      </c>
      <c r="B16" s="356" t="s">
        <v>57</v>
      </c>
      <c r="C16" s="356" t="s">
        <v>58</v>
      </c>
      <c r="D16" s="356" t="s">
        <v>59</v>
      </c>
      <c r="E16" s="356"/>
      <c r="F16" s="356"/>
      <c r="G16" s="360"/>
      <c r="H16" s="357">
        <f t="shared" si="0"/>
        <v>46161</v>
      </c>
      <c r="I16" s="361" t="s">
        <v>7</v>
      </c>
      <c r="J16" s="360"/>
      <c r="L16" s="5" t="s">
        <v>43</v>
      </c>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c r="AXW16" s="4"/>
      <c r="AXX16" s="4"/>
      <c r="AXY16" s="4"/>
      <c r="AXZ16" s="4"/>
      <c r="AYA16" s="4"/>
      <c r="AYB16" s="4"/>
      <c r="AYC16" s="4"/>
      <c r="AYD16" s="4"/>
      <c r="AYE16" s="4"/>
      <c r="AYF16" s="4"/>
      <c r="AYG16" s="4"/>
      <c r="AYH16" s="4"/>
      <c r="AYI16" s="4"/>
      <c r="AYJ16" s="4"/>
      <c r="AYK16" s="4"/>
      <c r="AYL16" s="4"/>
      <c r="AYM16" s="4"/>
      <c r="AYN16" s="4"/>
      <c r="AYO16" s="4"/>
      <c r="AYP16" s="4"/>
      <c r="AYQ16" s="4"/>
      <c r="AYR16" s="4"/>
      <c r="AYS16" s="4"/>
      <c r="AYT16" s="4"/>
      <c r="AYU16" s="4"/>
      <c r="AYV16" s="4"/>
      <c r="AYW16" s="4"/>
      <c r="AYX16" s="4"/>
      <c r="AYY16" s="4"/>
      <c r="AYZ16" s="4"/>
      <c r="AZA16" s="4"/>
      <c r="AZB16" s="4"/>
      <c r="AZC16" s="4"/>
      <c r="AZD16" s="4"/>
      <c r="AZE16" s="4"/>
      <c r="AZF16" s="4"/>
      <c r="AZG16" s="4"/>
      <c r="AZH16" s="4"/>
      <c r="AZI16" s="4"/>
      <c r="AZJ16" s="4"/>
      <c r="AZK16" s="4"/>
      <c r="AZL16" s="4"/>
      <c r="AZM16" s="4"/>
      <c r="AZN16" s="4"/>
      <c r="AZO16" s="4"/>
      <c r="AZP16" s="4"/>
      <c r="AZQ16" s="4"/>
      <c r="AZR16" s="4"/>
      <c r="AZS16" s="4"/>
      <c r="AZT16" s="4"/>
      <c r="AZU16" s="4"/>
      <c r="AZV16" s="4"/>
      <c r="AZW16" s="4"/>
      <c r="AZX16" s="4"/>
      <c r="AZY16" s="4"/>
      <c r="AZZ16" s="4"/>
      <c r="BAA16" s="4"/>
      <c r="BAB16" s="4"/>
      <c r="BAC16" s="4"/>
      <c r="BAD16" s="4"/>
      <c r="BAE16" s="4"/>
      <c r="BAF16" s="4"/>
      <c r="BAG16" s="4"/>
      <c r="BAH16" s="4"/>
      <c r="BAI16" s="4"/>
      <c r="BAJ16" s="4"/>
      <c r="BAK16" s="4"/>
      <c r="BAL16" s="4"/>
      <c r="BAM16" s="4"/>
      <c r="BAN16" s="4"/>
      <c r="BAO16" s="4"/>
      <c r="BAP16" s="4"/>
      <c r="BAQ16" s="4"/>
      <c r="BAR16" s="4"/>
      <c r="BAS16" s="4"/>
      <c r="BAT16" s="4"/>
      <c r="BAU16" s="4"/>
      <c r="BAV16" s="4"/>
      <c r="BAW16" s="4"/>
      <c r="BAX16" s="4"/>
      <c r="BAY16" s="4"/>
      <c r="BAZ16" s="4"/>
      <c r="BBA16" s="4"/>
      <c r="BBB16" s="4"/>
      <c r="BBC16" s="4"/>
      <c r="BBD16" s="4"/>
      <c r="BBE16" s="4"/>
      <c r="BBF16" s="4"/>
      <c r="BBG16" s="4"/>
      <c r="BBH16" s="4"/>
      <c r="BBI16" s="4"/>
      <c r="BBJ16" s="4"/>
      <c r="BBK16" s="4"/>
      <c r="BBL16" s="4"/>
      <c r="BBM16" s="4"/>
      <c r="BBN16" s="4"/>
      <c r="BBO16" s="4"/>
      <c r="BBP16" s="4"/>
      <c r="BBQ16" s="4"/>
      <c r="BBR16" s="4"/>
      <c r="BBS16" s="4"/>
      <c r="BBT16" s="4"/>
      <c r="BBU16" s="4"/>
      <c r="BBV16" s="4"/>
      <c r="BBW16" s="4"/>
      <c r="BBX16" s="4"/>
      <c r="BBY16" s="4"/>
      <c r="BBZ16" s="4"/>
      <c r="BCA16" s="4"/>
      <c r="BCB16" s="4"/>
      <c r="BCC16" s="4"/>
      <c r="BCD16" s="4"/>
      <c r="BCE16" s="4"/>
      <c r="BCF16" s="4"/>
      <c r="BCG16" s="4"/>
      <c r="BCH16" s="4"/>
      <c r="BCI16" s="4"/>
      <c r="BCJ16" s="4"/>
      <c r="BCK16" s="4"/>
      <c r="BCL16" s="4"/>
      <c r="BCM16" s="4"/>
      <c r="BCN16" s="4"/>
      <c r="BCO16" s="4"/>
      <c r="BCP16" s="4"/>
      <c r="BCQ16" s="4"/>
      <c r="BCR16" s="4"/>
      <c r="BCS16" s="4"/>
      <c r="BCT16" s="4"/>
      <c r="BCU16" s="4"/>
      <c r="BCV16" s="4"/>
      <c r="BCW16" s="4"/>
      <c r="BCX16" s="4"/>
      <c r="BCY16" s="4"/>
      <c r="BCZ16" s="4"/>
      <c r="BDA16" s="4"/>
      <c r="BDB16" s="4"/>
      <c r="BDC16" s="4"/>
      <c r="BDD16" s="4"/>
      <c r="BDE16" s="4"/>
      <c r="BDF16" s="4"/>
      <c r="BDG16" s="4"/>
      <c r="BDH16" s="4"/>
      <c r="BDI16" s="4"/>
      <c r="BDJ16" s="4"/>
      <c r="BDK16" s="4"/>
      <c r="BDL16" s="4"/>
      <c r="BDM16" s="4"/>
      <c r="BDN16" s="4"/>
      <c r="BDO16" s="4"/>
      <c r="BDP16" s="4"/>
      <c r="BDQ16" s="4"/>
      <c r="BDR16" s="4"/>
      <c r="BDS16" s="4"/>
      <c r="BDT16" s="4"/>
      <c r="BDU16" s="4"/>
      <c r="BDV16" s="4"/>
      <c r="BDW16" s="4"/>
      <c r="BDX16" s="4"/>
      <c r="BDY16" s="4"/>
      <c r="BDZ16" s="4"/>
      <c r="BEA16" s="4"/>
      <c r="BEB16" s="4"/>
      <c r="BEC16" s="4"/>
      <c r="BED16" s="4"/>
      <c r="BEE16" s="4"/>
      <c r="BEF16" s="4"/>
      <c r="BEG16" s="4"/>
      <c r="BEH16" s="4"/>
      <c r="BEI16" s="4"/>
      <c r="BEJ16" s="4"/>
      <c r="BEK16" s="4"/>
      <c r="BEL16" s="4"/>
      <c r="BEM16" s="4"/>
      <c r="BEN16" s="4"/>
      <c r="BEO16" s="4"/>
      <c r="BEP16" s="4"/>
      <c r="BEQ16" s="4"/>
      <c r="BER16" s="4"/>
      <c r="BES16" s="4"/>
      <c r="BET16" s="4"/>
      <c r="BEU16" s="4"/>
      <c r="BEV16" s="4"/>
      <c r="BEW16" s="4"/>
      <c r="BEX16" s="4"/>
      <c r="BEY16" s="4"/>
      <c r="BEZ16" s="4"/>
      <c r="BFA16" s="4"/>
      <c r="BFB16" s="4"/>
      <c r="BFC16" s="4"/>
      <c r="BFD16" s="4"/>
      <c r="BFE16" s="4"/>
      <c r="BFF16" s="4"/>
      <c r="BFG16" s="4"/>
      <c r="BFH16" s="4"/>
      <c r="BFI16" s="4"/>
      <c r="BFJ16" s="4"/>
      <c r="BFK16" s="4"/>
      <c r="BFL16" s="4"/>
      <c r="BFM16" s="4"/>
      <c r="BFN16" s="4"/>
      <c r="BFO16" s="4"/>
      <c r="BFP16" s="4"/>
      <c r="BFQ16" s="4"/>
      <c r="BFR16" s="4"/>
      <c r="BFS16" s="4"/>
      <c r="BFT16" s="4"/>
      <c r="BFU16" s="4"/>
      <c r="BFV16" s="4"/>
      <c r="BFW16" s="4"/>
      <c r="BFX16" s="4"/>
      <c r="BFY16" s="4"/>
      <c r="BFZ16" s="4"/>
      <c r="BGA16" s="4"/>
      <c r="BGB16" s="4"/>
      <c r="BGC16" s="4"/>
      <c r="BGD16" s="4"/>
      <c r="BGE16" s="4"/>
      <c r="BGF16" s="4"/>
      <c r="BGG16" s="4"/>
      <c r="BGH16" s="4"/>
      <c r="BGI16" s="4"/>
      <c r="BGJ16" s="4"/>
      <c r="BGK16" s="4"/>
      <c r="BGL16" s="4"/>
      <c r="BGM16" s="4"/>
      <c r="BGN16" s="4"/>
      <c r="BGO16" s="4"/>
      <c r="BGP16" s="4"/>
      <c r="BGQ16" s="4"/>
      <c r="BGR16" s="4"/>
      <c r="BGS16" s="4"/>
      <c r="BGT16" s="4"/>
      <c r="BGU16" s="4"/>
      <c r="BGV16" s="4"/>
      <c r="BGW16" s="4"/>
      <c r="BGX16" s="4"/>
      <c r="BGY16" s="4"/>
      <c r="BGZ16" s="4"/>
      <c r="BHA16" s="4"/>
      <c r="BHB16" s="4"/>
      <c r="BHC16" s="4"/>
      <c r="BHD16" s="4"/>
      <c r="BHE16" s="4"/>
      <c r="BHF16" s="4"/>
      <c r="BHG16" s="4"/>
      <c r="BHH16" s="4"/>
      <c r="BHI16" s="4"/>
      <c r="BHJ16" s="4"/>
      <c r="BHK16" s="4"/>
      <c r="BHL16" s="4"/>
      <c r="BHM16" s="4"/>
      <c r="BHN16" s="4"/>
      <c r="BHO16" s="4"/>
      <c r="BHP16" s="4"/>
      <c r="BHQ16" s="4"/>
      <c r="BHR16" s="4"/>
      <c r="BHS16" s="4"/>
      <c r="BHT16" s="4"/>
      <c r="BHU16" s="4"/>
      <c r="BHV16" s="4"/>
      <c r="BHW16" s="4"/>
      <c r="BHX16" s="4"/>
      <c r="BHY16" s="4"/>
      <c r="BHZ16" s="4"/>
      <c r="BIA16" s="4"/>
      <c r="BIB16" s="4"/>
      <c r="BIC16" s="4"/>
      <c r="BID16" s="4"/>
      <c r="BIE16" s="4"/>
      <c r="BIF16" s="4"/>
      <c r="BIG16" s="4"/>
      <c r="BIH16" s="4"/>
      <c r="BII16" s="4"/>
      <c r="BIJ16" s="4"/>
      <c r="BIK16" s="4"/>
      <c r="BIL16" s="4"/>
      <c r="BIM16" s="4"/>
      <c r="BIN16" s="4"/>
      <c r="BIO16" s="4"/>
      <c r="BIP16" s="4"/>
      <c r="BIQ16" s="4"/>
      <c r="BIR16" s="4"/>
      <c r="BIS16" s="4"/>
      <c r="BIT16" s="4"/>
      <c r="BIU16" s="4"/>
      <c r="BIV16" s="4"/>
      <c r="BIW16" s="4"/>
      <c r="BIX16" s="4"/>
      <c r="BIY16" s="4"/>
      <c r="BIZ16" s="4"/>
      <c r="BJA16" s="4"/>
      <c r="BJB16" s="4"/>
      <c r="BJC16" s="4"/>
      <c r="BJD16" s="4"/>
      <c r="BJE16" s="4"/>
      <c r="BJF16" s="4"/>
      <c r="BJG16" s="4"/>
      <c r="BJH16" s="4"/>
      <c r="BJI16" s="4"/>
      <c r="BJJ16" s="4"/>
      <c r="BJK16" s="4"/>
      <c r="BJL16" s="4"/>
      <c r="BJM16" s="4"/>
      <c r="BJN16" s="4"/>
      <c r="BJO16" s="4"/>
      <c r="BJP16" s="4"/>
      <c r="BJQ16" s="4"/>
      <c r="BJR16" s="4"/>
      <c r="BJS16" s="4"/>
      <c r="BJT16" s="4"/>
      <c r="BJU16" s="4"/>
      <c r="BJV16" s="4"/>
      <c r="BJW16" s="4"/>
      <c r="BJX16" s="4"/>
      <c r="BJY16" s="4"/>
      <c r="BJZ16" s="4"/>
      <c r="BKA16" s="4"/>
      <c r="BKB16" s="4"/>
      <c r="BKC16" s="4"/>
      <c r="BKD16" s="4"/>
      <c r="BKE16" s="4"/>
      <c r="BKF16" s="4"/>
      <c r="BKG16" s="4"/>
      <c r="BKH16" s="4"/>
      <c r="BKI16" s="4"/>
      <c r="BKJ16" s="4"/>
      <c r="BKK16" s="4"/>
      <c r="BKL16" s="4"/>
      <c r="BKM16" s="4"/>
      <c r="BKN16" s="4"/>
      <c r="BKO16" s="4"/>
      <c r="BKP16" s="4"/>
      <c r="BKQ16" s="4"/>
      <c r="BKR16" s="4"/>
      <c r="BKS16" s="4"/>
      <c r="BKT16" s="4"/>
      <c r="BKU16" s="4"/>
      <c r="BKV16" s="4"/>
      <c r="BKW16" s="4"/>
      <c r="BKX16" s="4"/>
      <c r="BKY16" s="4"/>
      <c r="BKZ16" s="4"/>
      <c r="BLA16" s="4"/>
      <c r="BLB16" s="4"/>
      <c r="BLC16" s="4"/>
      <c r="BLD16" s="4"/>
      <c r="BLE16" s="4"/>
      <c r="BLF16" s="4"/>
      <c r="BLG16" s="4"/>
      <c r="BLH16" s="4"/>
      <c r="BLI16" s="4"/>
      <c r="BLJ16" s="4"/>
      <c r="BLK16" s="4"/>
      <c r="BLL16" s="4"/>
      <c r="BLM16" s="4"/>
      <c r="BLN16" s="4"/>
      <c r="BLO16" s="4"/>
      <c r="BLP16" s="4"/>
      <c r="BLQ16" s="4"/>
      <c r="BLR16" s="4"/>
      <c r="BLS16" s="4"/>
      <c r="BLT16" s="4"/>
      <c r="BLU16" s="4"/>
      <c r="BLV16" s="4"/>
      <c r="BLW16" s="4"/>
      <c r="BLX16" s="4"/>
      <c r="BLY16" s="4"/>
      <c r="BLZ16" s="4"/>
      <c r="BMA16" s="4"/>
      <c r="BMB16" s="4"/>
      <c r="BMC16" s="4"/>
      <c r="BMD16" s="4"/>
      <c r="BME16" s="4"/>
      <c r="BMF16" s="4"/>
      <c r="BMG16" s="4"/>
      <c r="BMH16" s="4"/>
      <c r="BMI16" s="4"/>
      <c r="BMJ16" s="4"/>
      <c r="BMK16" s="4"/>
      <c r="BML16" s="4"/>
      <c r="BMM16" s="4"/>
      <c r="BMN16" s="4"/>
      <c r="BMO16" s="4"/>
      <c r="BMP16" s="4"/>
      <c r="BMQ16" s="4"/>
      <c r="BMR16" s="4"/>
      <c r="BMS16" s="4"/>
      <c r="BMT16" s="4"/>
      <c r="BMU16" s="4"/>
      <c r="BMV16" s="4"/>
      <c r="BMW16" s="4"/>
      <c r="BMX16" s="4"/>
      <c r="BMY16" s="4"/>
      <c r="BMZ16" s="4"/>
      <c r="BNA16" s="4"/>
      <c r="BNB16" s="4"/>
      <c r="BNC16" s="4"/>
      <c r="BND16" s="4"/>
      <c r="BNE16" s="4"/>
      <c r="BNF16" s="4"/>
      <c r="BNG16" s="4"/>
      <c r="BNH16" s="4"/>
      <c r="BNI16" s="4"/>
      <c r="BNJ16" s="4"/>
      <c r="BNK16" s="4"/>
      <c r="BNL16" s="4"/>
      <c r="BNM16" s="4"/>
      <c r="BNN16" s="4"/>
      <c r="BNO16" s="4"/>
      <c r="BNP16" s="4"/>
      <c r="BNQ16" s="4"/>
      <c r="BNR16" s="4"/>
      <c r="BNS16" s="4"/>
      <c r="BNT16" s="4"/>
      <c r="BNU16" s="4"/>
      <c r="BNV16" s="4"/>
      <c r="BNW16" s="4"/>
      <c r="BNX16" s="4"/>
      <c r="BNY16" s="4"/>
      <c r="BNZ16" s="4"/>
      <c r="BOA16" s="4"/>
      <c r="BOB16" s="4"/>
      <c r="BOC16" s="4"/>
      <c r="BOD16" s="4"/>
      <c r="BOE16" s="4"/>
      <c r="BOF16" s="4"/>
      <c r="BOG16" s="4"/>
      <c r="BOH16" s="4"/>
      <c r="BOI16" s="4"/>
      <c r="BOJ16" s="4"/>
      <c r="BOK16" s="4"/>
      <c r="BOL16" s="4"/>
      <c r="BOM16" s="4"/>
      <c r="BON16" s="4"/>
      <c r="BOO16" s="4"/>
      <c r="BOP16" s="4"/>
      <c r="BOQ16" s="4"/>
      <c r="BOR16" s="4"/>
      <c r="BOS16" s="4"/>
      <c r="BOT16" s="4"/>
      <c r="BOU16" s="4"/>
      <c r="BOV16" s="4"/>
      <c r="BOW16" s="4"/>
      <c r="BOX16" s="4"/>
      <c r="BOY16" s="4"/>
      <c r="BOZ16" s="4"/>
      <c r="BPA16" s="4"/>
      <c r="BPB16" s="4"/>
      <c r="BPC16" s="60"/>
    </row>
    <row r="17" s="5" customFormat="1" ht="60" customHeight="1" spans="1:1024 1025:1771">
      <c r="A17" s="359" t="s">
        <v>60</v>
      </c>
      <c r="B17" s="356" t="s">
        <v>61</v>
      </c>
      <c r="C17" s="356" t="s">
        <v>62</v>
      </c>
      <c r="D17" s="356" t="s">
        <v>63</v>
      </c>
      <c r="E17" s="356"/>
      <c r="F17" s="356"/>
      <c r="G17" s="360"/>
      <c r="H17" s="357">
        <f t="shared" si="0"/>
        <v>46161</v>
      </c>
      <c r="I17" s="361" t="s">
        <v>7</v>
      </c>
      <c r="J17" s="360"/>
      <c r="L17" s="5" t="s">
        <v>43</v>
      </c>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c r="VL17" s="4"/>
      <c r="VM17" s="4"/>
      <c r="VN17" s="4"/>
      <c r="VO17" s="4"/>
      <c r="VP17" s="4"/>
      <c r="VQ17" s="4"/>
      <c r="VR17" s="4"/>
      <c r="VS17" s="4"/>
      <c r="VT17" s="4"/>
      <c r="VU17" s="4"/>
      <c r="VV17" s="4"/>
      <c r="VW17" s="4"/>
      <c r="VX17" s="4"/>
      <c r="VY17" s="4"/>
      <c r="VZ17" s="4"/>
      <c r="WA17" s="4"/>
      <c r="WB17" s="4"/>
      <c r="WC17" s="4"/>
      <c r="WD17" s="4"/>
      <c r="WE17" s="4"/>
      <c r="WF17" s="4"/>
      <c r="WG17" s="4"/>
      <c r="WH17" s="4"/>
      <c r="WI17" s="4"/>
      <c r="WJ17" s="4"/>
      <c r="WK17" s="4"/>
      <c r="WL17" s="4"/>
      <c r="WM17" s="4"/>
      <c r="WN17" s="4"/>
      <c r="WO17" s="4"/>
      <c r="WP17" s="4"/>
      <c r="WQ17" s="4"/>
      <c r="WR17" s="4"/>
      <c r="WS17" s="4"/>
      <c r="WT17" s="4"/>
      <c r="WU17" s="4"/>
      <c r="WV17" s="4"/>
      <c r="WW17" s="4"/>
      <c r="WX17" s="4"/>
      <c r="WY17" s="4"/>
      <c r="WZ17" s="4"/>
      <c r="XA17" s="4"/>
      <c r="XB17" s="4"/>
      <c r="XC17" s="4"/>
      <c r="XD17" s="4"/>
      <c r="XE17" s="4"/>
      <c r="XF17" s="4"/>
      <c r="XG17" s="4"/>
      <c r="XH17" s="4"/>
      <c r="XI17" s="4"/>
      <c r="XJ17" s="4"/>
      <c r="XK17" s="4"/>
      <c r="XL17" s="4"/>
      <c r="XM17" s="4"/>
      <c r="XN17" s="4"/>
      <c r="XO17" s="4"/>
      <c r="XP17" s="4"/>
      <c r="XQ17" s="4"/>
      <c r="XR17" s="4"/>
      <c r="XS17" s="4"/>
      <c r="XT17" s="4"/>
      <c r="XU17" s="4"/>
      <c r="XV17" s="4"/>
      <c r="XW17" s="4"/>
      <c r="XX17" s="4"/>
      <c r="XY17" s="4"/>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c r="ZB17" s="4"/>
      <c r="ZC17" s="4"/>
      <c r="ZD17" s="4"/>
      <c r="ZE17" s="4"/>
      <c r="ZF17" s="4"/>
      <c r="ZG17" s="4"/>
      <c r="ZH17" s="4"/>
      <c r="ZI17" s="4"/>
      <c r="ZJ17" s="4"/>
      <c r="ZK17" s="4"/>
      <c r="ZL17" s="4"/>
      <c r="ZM17" s="4"/>
      <c r="ZN17" s="4"/>
      <c r="ZO17" s="4"/>
      <c r="ZP17" s="4"/>
      <c r="ZQ17" s="4"/>
      <c r="ZR17" s="4"/>
      <c r="ZS17" s="4"/>
      <c r="ZT17" s="4"/>
      <c r="ZU17" s="4"/>
      <c r="ZV17" s="4"/>
      <c r="ZW17" s="4"/>
      <c r="ZX17" s="4"/>
      <c r="ZY17" s="4"/>
      <c r="ZZ17" s="4"/>
      <c r="AAA17" s="4"/>
      <c r="AAB17" s="4"/>
      <c r="AAC17" s="4"/>
      <c r="AAD17" s="4"/>
      <c r="AAE17" s="4"/>
      <c r="AAF17" s="4"/>
      <c r="AAG17" s="4"/>
      <c r="AAH17" s="4"/>
      <c r="AAI17" s="4"/>
      <c r="AAJ17" s="4"/>
      <c r="AAK17" s="4"/>
      <c r="AAL17" s="4"/>
      <c r="AAM17" s="4"/>
      <c r="AAN17" s="4"/>
      <c r="AAO17" s="4"/>
      <c r="AAP17" s="4"/>
      <c r="AAQ17" s="4"/>
      <c r="AAR17" s="4"/>
      <c r="AAS17" s="4"/>
      <c r="AAT17" s="4"/>
      <c r="AAU17" s="4"/>
      <c r="AAV17" s="4"/>
      <c r="AAW17" s="4"/>
      <c r="AAX17" s="4"/>
      <c r="AAY17" s="4"/>
      <c r="AAZ17" s="4"/>
      <c r="ABA17" s="4"/>
      <c r="ABB17" s="4"/>
      <c r="ABC17" s="4"/>
      <c r="ABD17" s="4"/>
      <c r="ABE17" s="4"/>
      <c r="ABF17" s="4"/>
      <c r="ABG17" s="4"/>
      <c r="ABH17" s="4"/>
      <c r="ABI17" s="4"/>
      <c r="ABJ17" s="4"/>
      <c r="ABK17" s="4"/>
      <c r="ABL17" s="4"/>
      <c r="ABM17" s="4"/>
      <c r="ABN17" s="4"/>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c r="ACX17" s="4"/>
      <c r="ACY17" s="4"/>
      <c r="ACZ17" s="4"/>
      <c r="ADA17" s="4"/>
      <c r="ADB17" s="4"/>
      <c r="ADC17" s="4"/>
      <c r="ADD17" s="4"/>
      <c r="ADE17" s="4"/>
      <c r="ADF17" s="4"/>
      <c r="ADG17" s="4"/>
      <c r="ADH17" s="4"/>
      <c r="ADI17" s="4"/>
      <c r="ADJ17" s="4"/>
      <c r="ADK17" s="4"/>
      <c r="ADL17" s="4"/>
      <c r="ADM17" s="4"/>
      <c r="ADN17" s="4"/>
      <c r="ADO17" s="4"/>
      <c r="ADP17" s="4"/>
      <c r="ADQ17" s="4"/>
      <c r="ADR17" s="4"/>
      <c r="ADS17" s="4"/>
      <c r="ADT17" s="4"/>
      <c r="ADU17" s="4"/>
      <c r="ADV17" s="4"/>
      <c r="ADW17" s="4"/>
      <c r="ADX17" s="4"/>
      <c r="ADY17" s="4"/>
      <c r="ADZ17" s="4"/>
      <c r="AEA17" s="4"/>
      <c r="AEB17" s="4"/>
      <c r="AEC17" s="4"/>
      <c r="AED17" s="4"/>
      <c r="AEE17" s="4"/>
      <c r="AEF17" s="4"/>
      <c r="AEG17" s="4"/>
      <c r="AEH17" s="4"/>
      <c r="AEI17" s="4"/>
      <c r="AEJ17" s="4"/>
      <c r="AEK17" s="4"/>
      <c r="AEL17" s="4"/>
      <c r="AEM17" s="4"/>
      <c r="AEN17" s="4"/>
      <c r="AEO17" s="4"/>
      <c r="AEP17" s="4"/>
      <c r="AEQ17" s="4"/>
      <c r="AER17" s="4"/>
      <c r="AES17" s="4"/>
      <c r="AET17" s="4"/>
      <c r="AEU17" s="4"/>
      <c r="AEV17" s="4"/>
      <c r="AEW17" s="4"/>
      <c r="AEX17" s="4"/>
      <c r="AEY17" s="4"/>
      <c r="AEZ17" s="4"/>
      <c r="AFA17" s="4"/>
      <c r="AFB17" s="4"/>
      <c r="AFC17" s="4"/>
      <c r="AFD17" s="4"/>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c r="AGE17" s="4"/>
      <c r="AGF17" s="4"/>
      <c r="AGG17" s="4"/>
      <c r="AGH17" s="4"/>
      <c r="AGI17" s="4"/>
      <c r="AGJ17" s="4"/>
      <c r="AGK17" s="4"/>
      <c r="AGL17" s="4"/>
      <c r="AGM17" s="4"/>
      <c r="AGN17" s="4"/>
      <c r="AGO17" s="4"/>
      <c r="AGP17" s="4"/>
      <c r="AGQ17" s="4"/>
      <c r="AGR17" s="4"/>
      <c r="AGS17" s="4"/>
      <c r="AGT17" s="4"/>
      <c r="AGU17" s="4"/>
      <c r="AGV17" s="4"/>
      <c r="AGW17" s="4"/>
      <c r="AGX17" s="4"/>
      <c r="AGY17" s="4"/>
      <c r="AGZ17" s="4"/>
      <c r="AHA17" s="4"/>
      <c r="AHB17" s="4"/>
      <c r="AHC17" s="4"/>
      <c r="AHD17" s="4"/>
      <c r="AHE17" s="4"/>
      <c r="AHF17" s="4"/>
      <c r="AHG17" s="4"/>
      <c r="AHH17" s="4"/>
      <c r="AHI17" s="4"/>
      <c r="AHJ17" s="4"/>
      <c r="AHK17" s="4"/>
      <c r="AHL17" s="4"/>
      <c r="AHM17" s="4"/>
      <c r="AHN17" s="4"/>
      <c r="AHO17" s="4"/>
      <c r="AHP17" s="4"/>
      <c r="AHQ17" s="4"/>
      <c r="AHR17" s="4"/>
      <c r="AHS17" s="4"/>
      <c r="AHT17" s="4"/>
      <c r="AHU17" s="4"/>
      <c r="AHV17" s="4"/>
      <c r="AHW17" s="4"/>
      <c r="AHX17" s="4"/>
      <c r="AHY17" s="4"/>
      <c r="AHZ17" s="4"/>
      <c r="AIA17" s="4"/>
      <c r="AIB17" s="4"/>
      <c r="AIC17" s="4"/>
      <c r="AID17" s="4"/>
      <c r="AIE17" s="4"/>
      <c r="AIF17" s="4"/>
      <c r="AIG17" s="4"/>
      <c r="AIH17" s="4"/>
      <c r="AII17" s="4"/>
      <c r="AIJ17" s="4"/>
      <c r="AIK17" s="4"/>
      <c r="AIL17" s="4"/>
      <c r="AIM17" s="4"/>
      <c r="AIN17" s="4"/>
      <c r="AIO17" s="4"/>
      <c r="AIP17" s="4"/>
      <c r="AIQ17" s="4"/>
      <c r="AIR17" s="4"/>
      <c r="AIS17" s="4"/>
      <c r="AIT17" s="4"/>
      <c r="AIU17" s="4"/>
      <c r="AIV17" s="4"/>
      <c r="AIW17" s="4"/>
      <c r="AIX17" s="4"/>
      <c r="AIY17" s="4"/>
      <c r="AIZ17" s="4"/>
      <c r="AJA17" s="4"/>
      <c r="AJB17" s="4"/>
      <c r="AJC17" s="4"/>
      <c r="AJD17" s="4"/>
      <c r="AJE17" s="4"/>
      <c r="AJF17" s="4"/>
      <c r="AJG17" s="4"/>
      <c r="AJH17" s="4"/>
      <c r="AJI17" s="4"/>
      <c r="AJJ17" s="4"/>
      <c r="AJK17" s="4"/>
      <c r="AJL17" s="4"/>
      <c r="AJM17" s="4"/>
      <c r="AJN17" s="4"/>
      <c r="AJO17" s="4"/>
      <c r="AJP17" s="4"/>
      <c r="AJQ17" s="4"/>
      <c r="AJR17" s="4"/>
      <c r="AJS17" s="4"/>
      <c r="AJT17" s="4"/>
      <c r="AJU17" s="4"/>
      <c r="AJV17" s="4"/>
      <c r="AJW17" s="4"/>
      <c r="AJX17" s="4"/>
      <c r="AJY17" s="4"/>
      <c r="AJZ17" s="4"/>
      <c r="AKA17" s="4"/>
      <c r="AKB17" s="4"/>
      <c r="AKC17" s="4"/>
      <c r="AKD17" s="4"/>
      <c r="AKE17" s="4"/>
      <c r="AKF17" s="4"/>
      <c r="AKG17" s="4"/>
      <c r="AKH17" s="4"/>
      <c r="AKI17" s="4"/>
      <c r="AKJ17" s="4"/>
      <c r="AKK17" s="4"/>
      <c r="AKL17" s="4"/>
      <c r="AKM17" s="4"/>
      <c r="AKN17" s="4"/>
      <c r="AKO17" s="4"/>
      <c r="AKP17" s="4"/>
      <c r="AKQ17" s="4"/>
      <c r="AKR17" s="4"/>
      <c r="AKS17" s="4"/>
      <c r="AKT17" s="4"/>
      <c r="AKU17" s="4"/>
      <c r="AKV17" s="4"/>
      <c r="AKW17" s="4"/>
      <c r="AKX17" s="4"/>
      <c r="AKY17" s="4"/>
      <c r="AKZ17" s="4"/>
      <c r="ALA17" s="4"/>
      <c r="ALB17" s="4"/>
      <c r="ALC17" s="4"/>
      <c r="ALD17" s="4"/>
      <c r="ALE17" s="4"/>
      <c r="ALF17" s="4"/>
      <c r="ALG17" s="4"/>
      <c r="ALH17" s="4"/>
      <c r="ALI17" s="4"/>
      <c r="ALJ17" s="4"/>
      <c r="ALK17" s="4"/>
      <c r="ALL17" s="4"/>
      <c r="ALM17" s="4"/>
      <c r="ALN17" s="4"/>
      <c r="ALO17" s="4"/>
      <c r="ALP17" s="4"/>
      <c r="ALQ17" s="4"/>
      <c r="ALR17" s="4"/>
      <c r="ALS17" s="4"/>
      <c r="ALT17" s="4"/>
      <c r="ALU17" s="4"/>
      <c r="ALV17" s="4"/>
      <c r="ALW17" s="4"/>
      <c r="ALX17" s="4"/>
      <c r="ALY17" s="4"/>
      <c r="ALZ17" s="4"/>
      <c r="AMA17" s="4"/>
      <c r="AMB17" s="4"/>
      <c r="AMC17" s="4"/>
      <c r="AMD17" s="4"/>
      <c r="AME17" s="4"/>
      <c r="AMF17" s="4"/>
      <c r="AMG17" s="4"/>
      <c r="AMH17" s="4"/>
      <c r="AMI17" s="4"/>
      <c r="AMJ17" s="4"/>
      <c r="AMK17" s="4"/>
      <c r="AML17" s="4"/>
      <c r="AMM17" s="4"/>
      <c r="AMN17" s="4"/>
      <c r="AMO17" s="4"/>
      <c r="AMP17" s="4"/>
      <c r="AMQ17" s="4"/>
      <c r="AMR17" s="4"/>
      <c r="AMS17" s="4"/>
      <c r="AMT17" s="4"/>
      <c r="AMU17" s="4"/>
      <c r="AMV17" s="4"/>
      <c r="AMW17" s="4"/>
      <c r="AMX17" s="4"/>
      <c r="AMY17" s="4"/>
      <c r="AMZ17" s="4"/>
      <c r="ANA17" s="4"/>
      <c r="ANB17" s="4"/>
      <c r="ANC17" s="4"/>
      <c r="AND17" s="4"/>
      <c r="ANE17" s="4"/>
      <c r="ANF17" s="4"/>
      <c r="ANG17" s="4"/>
      <c r="ANH17" s="4"/>
      <c r="ANI17" s="4"/>
      <c r="ANJ17" s="4"/>
      <c r="ANK17" s="4"/>
      <c r="ANL17" s="4"/>
      <c r="ANM17" s="4"/>
      <c r="ANN17" s="4"/>
      <c r="ANO17" s="4"/>
      <c r="ANP17" s="4"/>
      <c r="ANQ17" s="4"/>
      <c r="ANR17" s="4"/>
      <c r="ANS17" s="4"/>
      <c r="ANT17" s="4"/>
      <c r="ANU17" s="4"/>
      <c r="ANV17" s="4"/>
      <c r="ANW17" s="4"/>
      <c r="ANX17" s="4"/>
      <c r="ANY17" s="4"/>
      <c r="ANZ17" s="4"/>
      <c r="AOA17" s="4"/>
      <c r="AOB17" s="4"/>
      <c r="AOC17" s="4"/>
      <c r="AOD17" s="4"/>
      <c r="AOE17" s="4"/>
      <c r="AOF17" s="4"/>
      <c r="AOG17" s="4"/>
      <c r="AOH17" s="4"/>
      <c r="AOI17" s="4"/>
      <c r="AOJ17" s="4"/>
      <c r="AOK17" s="4"/>
      <c r="AOL17" s="4"/>
      <c r="AOM17" s="4"/>
      <c r="AON17" s="4"/>
      <c r="AOO17" s="4"/>
      <c r="AOP17" s="4"/>
      <c r="AOQ17" s="4"/>
      <c r="AOR17" s="4"/>
      <c r="AOS17" s="4"/>
      <c r="AOT17" s="4"/>
      <c r="AOU17" s="4"/>
      <c r="AOV17" s="4"/>
      <c r="AOW17" s="4"/>
      <c r="AOX17" s="4"/>
      <c r="AOY17" s="4"/>
      <c r="AOZ17" s="4"/>
      <c r="APA17" s="4"/>
      <c r="APB17" s="4"/>
      <c r="APC17" s="4"/>
      <c r="APD17" s="4"/>
      <c r="APE17" s="4"/>
      <c r="APF17" s="4"/>
      <c r="APG17" s="4"/>
      <c r="APH17" s="4"/>
      <c r="API17" s="4"/>
      <c r="APJ17" s="4"/>
      <c r="APK17" s="4"/>
      <c r="APL17" s="4"/>
      <c r="APM17" s="4"/>
      <c r="APN17" s="4"/>
      <c r="APO17" s="4"/>
      <c r="APP17" s="4"/>
      <c r="APQ17" s="4"/>
      <c r="APR17" s="4"/>
      <c r="APS17" s="4"/>
      <c r="APT17" s="4"/>
      <c r="APU17" s="4"/>
      <c r="APV17" s="4"/>
      <c r="APW17" s="4"/>
      <c r="APX17" s="4"/>
      <c r="APY17" s="4"/>
      <c r="APZ17" s="4"/>
      <c r="AQA17" s="4"/>
      <c r="AQB17" s="4"/>
      <c r="AQC17" s="4"/>
      <c r="AQD17" s="4"/>
      <c r="AQE17" s="4"/>
      <c r="AQF17" s="4"/>
      <c r="AQG17" s="4"/>
      <c r="AQH17" s="4"/>
      <c r="AQI17" s="4"/>
      <c r="AQJ17" s="4"/>
      <c r="AQK17" s="4"/>
      <c r="AQL17" s="4"/>
      <c r="AQM17" s="4"/>
      <c r="AQN17" s="4"/>
      <c r="AQO17" s="4"/>
      <c r="AQP17" s="4"/>
      <c r="AQQ17" s="4"/>
      <c r="AQR17" s="4"/>
      <c r="AQS17" s="4"/>
      <c r="AQT17" s="4"/>
      <c r="AQU17" s="4"/>
      <c r="AQV17" s="4"/>
      <c r="AQW17" s="4"/>
      <c r="AQX17" s="4"/>
      <c r="AQY17" s="4"/>
      <c r="AQZ17" s="4"/>
      <c r="ARA17" s="4"/>
      <c r="ARB17" s="4"/>
      <c r="ARC17" s="4"/>
      <c r="ARD17" s="4"/>
      <c r="ARE17" s="4"/>
      <c r="ARF17" s="4"/>
      <c r="ARG17" s="4"/>
      <c r="ARH17" s="4"/>
      <c r="ARI17" s="4"/>
      <c r="ARJ17" s="4"/>
      <c r="ARK17" s="4"/>
      <c r="ARL17" s="4"/>
      <c r="ARM17" s="4"/>
      <c r="ARN17" s="4"/>
      <c r="ARO17" s="4"/>
      <c r="ARP17" s="4"/>
      <c r="ARQ17" s="4"/>
      <c r="ARR17" s="4"/>
      <c r="ARS17" s="4"/>
      <c r="ART17" s="4"/>
      <c r="ARU17" s="4"/>
      <c r="ARV17" s="4"/>
      <c r="ARW17" s="4"/>
      <c r="ARX17" s="4"/>
      <c r="ARY17" s="4"/>
      <c r="ARZ17" s="4"/>
      <c r="ASA17" s="4"/>
      <c r="ASB17" s="4"/>
      <c r="ASC17" s="4"/>
      <c r="ASD17" s="4"/>
      <c r="ASE17" s="4"/>
      <c r="ASF17" s="4"/>
      <c r="ASG17" s="4"/>
      <c r="ASH17" s="4"/>
      <c r="ASI17" s="4"/>
      <c r="ASJ17" s="4"/>
      <c r="ASK17" s="4"/>
      <c r="ASL17" s="4"/>
      <c r="ASM17" s="4"/>
      <c r="ASN17" s="4"/>
      <c r="ASO17" s="4"/>
      <c r="ASP17" s="4"/>
      <c r="ASQ17" s="4"/>
      <c r="ASR17" s="4"/>
      <c r="ASS17" s="4"/>
      <c r="AST17" s="4"/>
      <c r="ASU17" s="4"/>
      <c r="ASV17" s="4"/>
      <c r="ASW17" s="4"/>
      <c r="ASX17" s="4"/>
      <c r="ASY17" s="4"/>
      <c r="ASZ17" s="4"/>
      <c r="ATA17" s="4"/>
      <c r="ATB17" s="4"/>
      <c r="ATC17" s="4"/>
      <c r="ATD17" s="4"/>
      <c r="ATE17" s="4"/>
      <c r="ATF17" s="4"/>
      <c r="ATG17" s="4"/>
      <c r="ATH17" s="4"/>
      <c r="ATI17" s="4"/>
      <c r="ATJ17" s="4"/>
      <c r="ATK17" s="4"/>
      <c r="ATL17" s="4"/>
      <c r="ATM17" s="4"/>
      <c r="ATN17" s="4"/>
      <c r="ATO17" s="4"/>
      <c r="ATP17" s="4"/>
      <c r="ATQ17" s="4"/>
      <c r="ATR17" s="4"/>
      <c r="ATS17" s="4"/>
      <c r="ATT17" s="4"/>
      <c r="ATU17" s="4"/>
      <c r="ATV17" s="4"/>
      <c r="ATW17" s="4"/>
      <c r="ATX17" s="4"/>
      <c r="ATY17" s="4"/>
      <c r="ATZ17" s="4"/>
      <c r="AUA17" s="4"/>
      <c r="AUB17" s="4"/>
      <c r="AUC17" s="4"/>
      <c r="AUD17" s="4"/>
      <c r="AUE17" s="4"/>
      <c r="AUF17" s="4"/>
      <c r="AUG17" s="4"/>
      <c r="AUH17" s="4"/>
      <c r="AUI17" s="4"/>
      <c r="AUJ17" s="4"/>
      <c r="AUK17" s="4"/>
      <c r="AUL17" s="4"/>
      <c r="AUM17" s="4"/>
      <c r="AUN17" s="4"/>
      <c r="AUO17" s="4"/>
      <c r="AUP17" s="4"/>
      <c r="AUQ17" s="4"/>
      <c r="AUR17" s="4"/>
      <c r="AUS17" s="4"/>
      <c r="AUT17" s="4"/>
      <c r="AUU17" s="4"/>
      <c r="AUV17" s="4"/>
      <c r="AUW17" s="4"/>
      <c r="AUX17" s="4"/>
      <c r="AUY17" s="4"/>
      <c r="AUZ17" s="4"/>
      <c r="AVA17" s="4"/>
      <c r="AVB17" s="4"/>
      <c r="AVC17" s="4"/>
      <c r="AVD17" s="4"/>
      <c r="AVE17" s="4"/>
      <c r="AVF17" s="4"/>
      <c r="AVG17" s="4"/>
      <c r="AVH17" s="4"/>
      <c r="AVI17" s="4"/>
      <c r="AVJ17" s="4"/>
      <c r="AVK17" s="4"/>
      <c r="AVL17" s="4"/>
      <c r="AVM17" s="4"/>
      <c r="AVN17" s="4"/>
      <c r="AVO17" s="4"/>
      <c r="AVP17" s="4"/>
      <c r="AVQ17" s="4"/>
      <c r="AVR17" s="4"/>
      <c r="AVS17" s="4"/>
      <c r="AVT17" s="4"/>
      <c r="AVU17" s="4"/>
      <c r="AVV17" s="4"/>
      <c r="AVW17" s="4"/>
      <c r="AVX17" s="4"/>
      <c r="AVY17" s="4"/>
      <c r="AVZ17" s="4"/>
      <c r="AWA17" s="4"/>
      <c r="AWB17" s="4"/>
      <c r="AWC17" s="4"/>
      <c r="AWD17" s="4"/>
      <c r="AWE17" s="4"/>
      <c r="AWF17" s="4"/>
      <c r="AWG17" s="4"/>
      <c r="AWH17" s="4"/>
      <c r="AWI17" s="4"/>
      <c r="AWJ17" s="4"/>
      <c r="AWK17" s="4"/>
      <c r="AWL17" s="4"/>
      <c r="AWM17" s="4"/>
      <c r="AWN17" s="4"/>
      <c r="AWO17" s="4"/>
      <c r="AWP17" s="4"/>
      <c r="AWQ17" s="4"/>
      <c r="AWR17" s="4"/>
      <c r="AWS17" s="4"/>
      <c r="AWT17" s="4"/>
      <c r="AWU17" s="4"/>
      <c r="AWV17" s="4"/>
      <c r="AWW17" s="4"/>
      <c r="AWX17" s="4"/>
      <c r="AWY17" s="4"/>
      <c r="AWZ17" s="4"/>
      <c r="AXA17" s="4"/>
      <c r="AXB17" s="4"/>
      <c r="AXC17" s="4"/>
      <c r="AXD17" s="4"/>
      <c r="AXE17" s="4"/>
      <c r="AXF17" s="4"/>
      <c r="AXG17" s="4"/>
      <c r="AXH17" s="4"/>
      <c r="AXI17" s="4"/>
      <c r="AXJ17" s="4"/>
      <c r="AXK17" s="4"/>
      <c r="AXL17" s="4"/>
      <c r="AXM17" s="4"/>
      <c r="AXN17" s="4"/>
      <c r="AXO17" s="4"/>
      <c r="AXP17" s="4"/>
      <c r="AXQ17" s="4"/>
      <c r="AXR17" s="4"/>
      <c r="AXS17" s="4"/>
      <c r="AXT17" s="4"/>
      <c r="AXU17" s="4"/>
      <c r="AXV17" s="4"/>
      <c r="AXW17" s="4"/>
      <c r="AXX17" s="4"/>
      <c r="AXY17" s="4"/>
      <c r="AXZ17" s="4"/>
      <c r="AYA17" s="4"/>
      <c r="AYB17" s="4"/>
      <c r="AYC17" s="4"/>
      <c r="AYD17" s="4"/>
      <c r="AYE17" s="4"/>
      <c r="AYF17" s="4"/>
      <c r="AYG17" s="4"/>
      <c r="AYH17" s="4"/>
      <c r="AYI17" s="4"/>
      <c r="AYJ17" s="4"/>
      <c r="AYK17" s="4"/>
      <c r="AYL17" s="4"/>
      <c r="AYM17" s="4"/>
      <c r="AYN17" s="4"/>
      <c r="AYO17" s="4"/>
      <c r="AYP17" s="4"/>
      <c r="AYQ17" s="4"/>
      <c r="AYR17" s="4"/>
      <c r="AYS17" s="4"/>
      <c r="AYT17" s="4"/>
      <c r="AYU17" s="4"/>
      <c r="AYV17" s="4"/>
      <c r="AYW17" s="4"/>
      <c r="AYX17" s="4"/>
      <c r="AYY17" s="4"/>
      <c r="AYZ17" s="4"/>
      <c r="AZA17" s="4"/>
      <c r="AZB17" s="4"/>
      <c r="AZC17" s="4"/>
      <c r="AZD17" s="4"/>
      <c r="AZE17" s="4"/>
      <c r="AZF17" s="4"/>
      <c r="AZG17" s="4"/>
      <c r="AZH17" s="4"/>
      <c r="AZI17" s="4"/>
      <c r="AZJ17" s="4"/>
      <c r="AZK17" s="4"/>
      <c r="AZL17" s="4"/>
      <c r="AZM17" s="4"/>
      <c r="AZN17" s="4"/>
      <c r="AZO17" s="4"/>
      <c r="AZP17" s="4"/>
      <c r="AZQ17" s="4"/>
      <c r="AZR17" s="4"/>
      <c r="AZS17" s="4"/>
      <c r="AZT17" s="4"/>
      <c r="AZU17" s="4"/>
      <c r="AZV17" s="4"/>
      <c r="AZW17" s="4"/>
      <c r="AZX17" s="4"/>
      <c r="AZY17" s="4"/>
      <c r="AZZ17" s="4"/>
      <c r="BAA17" s="4"/>
      <c r="BAB17" s="4"/>
      <c r="BAC17" s="4"/>
      <c r="BAD17" s="4"/>
      <c r="BAE17" s="4"/>
      <c r="BAF17" s="4"/>
      <c r="BAG17" s="4"/>
      <c r="BAH17" s="4"/>
      <c r="BAI17" s="4"/>
      <c r="BAJ17" s="4"/>
      <c r="BAK17" s="4"/>
      <c r="BAL17" s="4"/>
      <c r="BAM17" s="4"/>
      <c r="BAN17" s="4"/>
      <c r="BAO17" s="4"/>
      <c r="BAP17" s="4"/>
      <c r="BAQ17" s="4"/>
      <c r="BAR17" s="4"/>
      <c r="BAS17" s="4"/>
      <c r="BAT17" s="4"/>
      <c r="BAU17" s="4"/>
      <c r="BAV17" s="4"/>
      <c r="BAW17" s="4"/>
      <c r="BAX17" s="4"/>
      <c r="BAY17" s="4"/>
      <c r="BAZ17" s="4"/>
      <c r="BBA17" s="4"/>
      <c r="BBB17" s="4"/>
      <c r="BBC17" s="4"/>
      <c r="BBD17" s="4"/>
      <c r="BBE17" s="4"/>
      <c r="BBF17" s="4"/>
      <c r="BBG17" s="4"/>
      <c r="BBH17" s="4"/>
      <c r="BBI17" s="4"/>
      <c r="BBJ17" s="4"/>
      <c r="BBK17" s="4"/>
      <c r="BBL17" s="4"/>
      <c r="BBM17" s="4"/>
      <c r="BBN17" s="4"/>
      <c r="BBO17" s="4"/>
      <c r="BBP17" s="4"/>
      <c r="BBQ17" s="4"/>
      <c r="BBR17" s="4"/>
      <c r="BBS17" s="4"/>
      <c r="BBT17" s="4"/>
      <c r="BBU17" s="4"/>
      <c r="BBV17" s="4"/>
      <c r="BBW17" s="4"/>
      <c r="BBX17" s="4"/>
      <c r="BBY17" s="4"/>
      <c r="BBZ17" s="4"/>
      <c r="BCA17" s="4"/>
      <c r="BCB17" s="4"/>
      <c r="BCC17" s="4"/>
      <c r="BCD17" s="4"/>
      <c r="BCE17" s="4"/>
      <c r="BCF17" s="4"/>
      <c r="BCG17" s="4"/>
      <c r="BCH17" s="4"/>
      <c r="BCI17" s="4"/>
      <c r="BCJ17" s="4"/>
      <c r="BCK17" s="4"/>
      <c r="BCL17" s="4"/>
      <c r="BCM17" s="4"/>
      <c r="BCN17" s="4"/>
      <c r="BCO17" s="4"/>
      <c r="BCP17" s="4"/>
      <c r="BCQ17" s="4"/>
      <c r="BCR17" s="4"/>
      <c r="BCS17" s="4"/>
      <c r="BCT17" s="4"/>
      <c r="BCU17" s="4"/>
      <c r="BCV17" s="4"/>
      <c r="BCW17" s="4"/>
      <c r="BCX17" s="4"/>
      <c r="BCY17" s="4"/>
      <c r="BCZ17" s="4"/>
      <c r="BDA17" s="4"/>
      <c r="BDB17" s="4"/>
      <c r="BDC17" s="4"/>
      <c r="BDD17" s="4"/>
      <c r="BDE17" s="4"/>
      <c r="BDF17" s="4"/>
      <c r="BDG17" s="4"/>
      <c r="BDH17" s="4"/>
      <c r="BDI17" s="4"/>
      <c r="BDJ17" s="4"/>
      <c r="BDK17" s="4"/>
      <c r="BDL17" s="4"/>
      <c r="BDM17" s="4"/>
      <c r="BDN17" s="4"/>
      <c r="BDO17" s="4"/>
      <c r="BDP17" s="4"/>
      <c r="BDQ17" s="4"/>
      <c r="BDR17" s="4"/>
      <c r="BDS17" s="4"/>
      <c r="BDT17" s="4"/>
      <c r="BDU17" s="4"/>
      <c r="BDV17" s="4"/>
      <c r="BDW17" s="4"/>
      <c r="BDX17" s="4"/>
      <c r="BDY17" s="4"/>
      <c r="BDZ17" s="4"/>
      <c r="BEA17" s="4"/>
      <c r="BEB17" s="4"/>
      <c r="BEC17" s="4"/>
      <c r="BED17" s="4"/>
      <c r="BEE17" s="4"/>
      <c r="BEF17" s="4"/>
      <c r="BEG17" s="4"/>
      <c r="BEH17" s="4"/>
      <c r="BEI17" s="4"/>
      <c r="BEJ17" s="4"/>
      <c r="BEK17" s="4"/>
      <c r="BEL17" s="4"/>
      <c r="BEM17" s="4"/>
      <c r="BEN17" s="4"/>
      <c r="BEO17" s="4"/>
      <c r="BEP17" s="4"/>
      <c r="BEQ17" s="4"/>
      <c r="BER17" s="4"/>
      <c r="BES17" s="4"/>
      <c r="BET17" s="4"/>
      <c r="BEU17" s="4"/>
      <c r="BEV17" s="4"/>
      <c r="BEW17" s="4"/>
      <c r="BEX17" s="4"/>
      <c r="BEY17" s="4"/>
      <c r="BEZ17" s="4"/>
      <c r="BFA17" s="4"/>
      <c r="BFB17" s="4"/>
      <c r="BFC17" s="4"/>
      <c r="BFD17" s="4"/>
      <c r="BFE17" s="4"/>
      <c r="BFF17" s="4"/>
      <c r="BFG17" s="4"/>
      <c r="BFH17" s="4"/>
      <c r="BFI17" s="4"/>
      <c r="BFJ17" s="4"/>
      <c r="BFK17" s="4"/>
      <c r="BFL17" s="4"/>
      <c r="BFM17" s="4"/>
      <c r="BFN17" s="4"/>
      <c r="BFO17" s="4"/>
      <c r="BFP17" s="4"/>
      <c r="BFQ17" s="4"/>
      <c r="BFR17" s="4"/>
      <c r="BFS17" s="4"/>
      <c r="BFT17" s="4"/>
      <c r="BFU17" s="4"/>
      <c r="BFV17" s="4"/>
      <c r="BFW17" s="4"/>
      <c r="BFX17" s="4"/>
      <c r="BFY17" s="4"/>
      <c r="BFZ17" s="4"/>
      <c r="BGA17" s="4"/>
      <c r="BGB17" s="4"/>
      <c r="BGC17" s="4"/>
      <c r="BGD17" s="4"/>
      <c r="BGE17" s="4"/>
      <c r="BGF17" s="4"/>
      <c r="BGG17" s="4"/>
      <c r="BGH17" s="4"/>
      <c r="BGI17" s="4"/>
      <c r="BGJ17" s="4"/>
      <c r="BGK17" s="4"/>
      <c r="BGL17" s="4"/>
      <c r="BGM17" s="4"/>
      <c r="BGN17" s="4"/>
      <c r="BGO17" s="4"/>
      <c r="BGP17" s="4"/>
      <c r="BGQ17" s="4"/>
      <c r="BGR17" s="4"/>
      <c r="BGS17" s="4"/>
      <c r="BGT17" s="4"/>
      <c r="BGU17" s="4"/>
      <c r="BGV17" s="4"/>
      <c r="BGW17" s="4"/>
      <c r="BGX17" s="4"/>
      <c r="BGY17" s="4"/>
      <c r="BGZ17" s="4"/>
      <c r="BHA17" s="4"/>
      <c r="BHB17" s="4"/>
      <c r="BHC17" s="4"/>
      <c r="BHD17" s="4"/>
      <c r="BHE17" s="4"/>
      <c r="BHF17" s="4"/>
      <c r="BHG17" s="4"/>
      <c r="BHH17" s="4"/>
      <c r="BHI17" s="4"/>
      <c r="BHJ17" s="4"/>
      <c r="BHK17" s="4"/>
      <c r="BHL17" s="4"/>
      <c r="BHM17" s="4"/>
      <c r="BHN17" s="4"/>
      <c r="BHO17" s="4"/>
      <c r="BHP17" s="4"/>
      <c r="BHQ17" s="4"/>
      <c r="BHR17" s="4"/>
      <c r="BHS17" s="4"/>
      <c r="BHT17" s="4"/>
      <c r="BHU17" s="4"/>
      <c r="BHV17" s="4"/>
      <c r="BHW17" s="4"/>
      <c r="BHX17" s="4"/>
      <c r="BHY17" s="4"/>
      <c r="BHZ17" s="4"/>
      <c r="BIA17" s="4"/>
      <c r="BIB17" s="4"/>
      <c r="BIC17" s="4"/>
      <c r="BID17" s="4"/>
      <c r="BIE17" s="4"/>
      <c r="BIF17" s="4"/>
      <c r="BIG17" s="4"/>
      <c r="BIH17" s="4"/>
      <c r="BII17" s="4"/>
      <c r="BIJ17" s="4"/>
      <c r="BIK17" s="4"/>
      <c r="BIL17" s="4"/>
      <c r="BIM17" s="4"/>
      <c r="BIN17" s="4"/>
      <c r="BIO17" s="4"/>
      <c r="BIP17" s="4"/>
      <c r="BIQ17" s="4"/>
      <c r="BIR17" s="4"/>
      <c r="BIS17" s="4"/>
      <c r="BIT17" s="4"/>
      <c r="BIU17" s="4"/>
      <c r="BIV17" s="4"/>
      <c r="BIW17" s="4"/>
      <c r="BIX17" s="4"/>
      <c r="BIY17" s="4"/>
      <c r="BIZ17" s="4"/>
      <c r="BJA17" s="4"/>
      <c r="BJB17" s="4"/>
      <c r="BJC17" s="4"/>
      <c r="BJD17" s="4"/>
      <c r="BJE17" s="4"/>
      <c r="BJF17" s="4"/>
      <c r="BJG17" s="4"/>
      <c r="BJH17" s="4"/>
      <c r="BJI17" s="4"/>
      <c r="BJJ17" s="4"/>
      <c r="BJK17" s="4"/>
      <c r="BJL17" s="4"/>
      <c r="BJM17" s="4"/>
      <c r="BJN17" s="4"/>
      <c r="BJO17" s="4"/>
      <c r="BJP17" s="4"/>
      <c r="BJQ17" s="4"/>
      <c r="BJR17" s="4"/>
      <c r="BJS17" s="4"/>
      <c r="BJT17" s="4"/>
      <c r="BJU17" s="4"/>
      <c r="BJV17" s="4"/>
      <c r="BJW17" s="4"/>
      <c r="BJX17" s="4"/>
      <c r="BJY17" s="4"/>
      <c r="BJZ17" s="4"/>
      <c r="BKA17" s="4"/>
      <c r="BKB17" s="4"/>
      <c r="BKC17" s="4"/>
      <c r="BKD17" s="4"/>
      <c r="BKE17" s="4"/>
      <c r="BKF17" s="4"/>
      <c r="BKG17" s="4"/>
      <c r="BKH17" s="4"/>
      <c r="BKI17" s="4"/>
      <c r="BKJ17" s="4"/>
      <c r="BKK17" s="4"/>
      <c r="BKL17" s="4"/>
      <c r="BKM17" s="4"/>
      <c r="BKN17" s="4"/>
      <c r="BKO17" s="4"/>
      <c r="BKP17" s="4"/>
      <c r="BKQ17" s="4"/>
      <c r="BKR17" s="4"/>
      <c r="BKS17" s="4"/>
      <c r="BKT17" s="4"/>
      <c r="BKU17" s="4"/>
      <c r="BKV17" s="4"/>
      <c r="BKW17" s="4"/>
      <c r="BKX17" s="4"/>
      <c r="BKY17" s="4"/>
      <c r="BKZ17" s="4"/>
      <c r="BLA17" s="4"/>
      <c r="BLB17" s="4"/>
      <c r="BLC17" s="4"/>
      <c r="BLD17" s="4"/>
      <c r="BLE17" s="4"/>
      <c r="BLF17" s="4"/>
      <c r="BLG17" s="4"/>
      <c r="BLH17" s="4"/>
      <c r="BLI17" s="4"/>
      <c r="BLJ17" s="4"/>
      <c r="BLK17" s="4"/>
      <c r="BLL17" s="4"/>
      <c r="BLM17" s="4"/>
      <c r="BLN17" s="4"/>
      <c r="BLO17" s="4"/>
      <c r="BLP17" s="4"/>
      <c r="BLQ17" s="4"/>
      <c r="BLR17" s="4"/>
      <c r="BLS17" s="4"/>
      <c r="BLT17" s="4"/>
      <c r="BLU17" s="4"/>
      <c r="BLV17" s="4"/>
      <c r="BLW17" s="4"/>
      <c r="BLX17" s="4"/>
      <c r="BLY17" s="4"/>
      <c r="BLZ17" s="4"/>
      <c r="BMA17" s="4"/>
      <c r="BMB17" s="4"/>
      <c r="BMC17" s="4"/>
      <c r="BMD17" s="4"/>
      <c r="BME17" s="4"/>
      <c r="BMF17" s="4"/>
      <c r="BMG17" s="4"/>
      <c r="BMH17" s="4"/>
      <c r="BMI17" s="4"/>
      <c r="BMJ17" s="4"/>
      <c r="BMK17" s="4"/>
      <c r="BML17" s="4"/>
      <c r="BMM17" s="4"/>
      <c r="BMN17" s="4"/>
      <c r="BMO17" s="4"/>
      <c r="BMP17" s="4"/>
      <c r="BMQ17" s="4"/>
      <c r="BMR17" s="4"/>
      <c r="BMS17" s="4"/>
      <c r="BMT17" s="4"/>
      <c r="BMU17" s="4"/>
      <c r="BMV17" s="4"/>
      <c r="BMW17" s="4"/>
      <c r="BMX17" s="4"/>
      <c r="BMY17" s="4"/>
      <c r="BMZ17" s="4"/>
      <c r="BNA17" s="4"/>
      <c r="BNB17" s="4"/>
      <c r="BNC17" s="4"/>
      <c r="BND17" s="4"/>
      <c r="BNE17" s="4"/>
      <c r="BNF17" s="4"/>
      <c r="BNG17" s="4"/>
      <c r="BNH17" s="4"/>
      <c r="BNI17" s="4"/>
      <c r="BNJ17" s="4"/>
      <c r="BNK17" s="4"/>
      <c r="BNL17" s="4"/>
      <c r="BNM17" s="4"/>
      <c r="BNN17" s="4"/>
      <c r="BNO17" s="4"/>
      <c r="BNP17" s="4"/>
      <c r="BNQ17" s="4"/>
      <c r="BNR17" s="4"/>
      <c r="BNS17" s="4"/>
      <c r="BNT17" s="4"/>
      <c r="BNU17" s="4"/>
      <c r="BNV17" s="4"/>
      <c r="BNW17" s="4"/>
      <c r="BNX17" s="4"/>
      <c r="BNY17" s="4"/>
      <c r="BNZ17" s="4"/>
      <c r="BOA17" s="4"/>
      <c r="BOB17" s="4"/>
      <c r="BOC17" s="4"/>
      <c r="BOD17" s="4"/>
      <c r="BOE17" s="4"/>
      <c r="BOF17" s="4"/>
      <c r="BOG17" s="4"/>
      <c r="BOH17" s="4"/>
      <c r="BOI17" s="4"/>
      <c r="BOJ17" s="4"/>
      <c r="BOK17" s="4"/>
      <c r="BOL17" s="4"/>
      <c r="BOM17" s="4"/>
      <c r="BON17" s="4"/>
      <c r="BOO17" s="4"/>
      <c r="BOP17" s="4"/>
      <c r="BOQ17" s="4"/>
      <c r="BOR17" s="4"/>
      <c r="BOS17" s="4"/>
      <c r="BOT17" s="4"/>
      <c r="BOU17" s="4"/>
      <c r="BOV17" s="4"/>
      <c r="BOW17" s="4"/>
      <c r="BOX17" s="4"/>
      <c r="BOY17" s="4"/>
      <c r="BOZ17" s="4"/>
      <c r="BPA17" s="4"/>
      <c r="BPB17" s="4"/>
      <c r="BPC17" s="60"/>
    </row>
    <row r="18" s="5" customFormat="1" ht="60" customHeight="1" spans="1:1024 1025:1771">
      <c r="A18" s="359" t="s">
        <v>64</v>
      </c>
      <c r="B18" s="356" t="s">
        <v>65</v>
      </c>
      <c r="C18" s="356" t="s">
        <v>66</v>
      </c>
      <c r="D18" s="356" t="s">
        <v>67</v>
      </c>
      <c r="E18" s="356"/>
      <c r="F18" s="356"/>
      <c r="G18" s="360"/>
      <c r="H18" s="357">
        <f t="shared" si="0"/>
        <v>46161</v>
      </c>
      <c r="I18" s="361" t="s">
        <v>7</v>
      </c>
      <c r="J18" s="360"/>
      <c r="L18" s="5" t="s">
        <v>43</v>
      </c>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c r="VL18" s="4"/>
      <c r="VM18" s="4"/>
      <c r="VN18" s="4"/>
      <c r="VO18" s="4"/>
      <c r="VP18" s="4"/>
      <c r="VQ18" s="4"/>
      <c r="VR18" s="4"/>
      <c r="VS18" s="4"/>
      <c r="VT18" s="4"/>
      <c r="VU18" s="4"/>
      <c r="VV18" s="4"/>
      <c r="VW18" s="4"/>
      <c r="VX18" s="4"/>
      <c r="VY18" s="4"/>
      <c r="VZ18" s="4"/>
      <c r="WA18" s="4"/>
      <c r="WB18" s="4"/>
      <c r="WC18" s="4"/>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c r="XK18" s="4"/>
      <c r="XL18" s="4"/>
      <c r="XM18" s="4"/>
      <c r="XN18" s="4"/>
      <c r="XO18" s="4"/>
      <c r="XP18" s="4"/>
      <c r="XQ18" s="4"/>
      <c r="XR18" s="4"/>
      <c r="XS18" s="4"/>
      <c r="XT18" s="4"/>
      <c r="XU18" s="4"/>
      <c r="XV18" s="4"/>
      <c r="XW18" s="4"/>
      <c r="XX18" s="4"/>
      <c r="XY18" s="4"/>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c r="ZB18" s="4"/>
      <c r="ZC18" s="4"/>
      <c r="ZD18" s="4"/>
      <c r="ZE18" s="4"/>
      <c r="ZF18" s="4"/>
      <c r="ZG18" s="4"/>
      <c r="ZH18" s="4"/>
      <c r="ZI18" s="4"/>
      <c r="ZJ18" s="4"/>
      <c r="ZK18" s="4"/>
      <c r="ZL18" s="4"/>
      <c r="ZM18" s="4"/>
      <c r="ZN18" s="4"/>
      <c r="ZO18" s="4"/>
      <c r="ZP18" s="4"/>
      <c r="ZQ18" s="4"/>
      <c r="ZR18" s="4"/>
      <c r="ZS18" s="4"/>
      <c r="ZT18" s="4"/>
      <c r="ZU18" s="4"/>
      <c r="ZV18" s="4"/>
      <c r="ZW18" s="4"/>
      <c r="ZX18" s="4"/>
      <c r="ZY18" s="4"/>
      <c r="ZZ18" s="4"/>
      <c r="AAA18" s="4"/>
      <c r="AAB18" s="4"/>
      <c r="AAC18" s="4"/>
      <c r="AAD18" s="4"/>
      <c r="AAE18" s="4"/>
      <c r="AAF18" s="4"/>
      <c r="AAG18" s="4"/>
      <c r="AAH18" s="4"/>
      <c r="AAI18" s="4"/>
      <c r="AAJ18" s="4"/>
      <c r="AAK18" s="4"/>
      <c r="AAL18" s="4"/>
      <c r="AAM18" s="4"/>
      <c r="AAN18" s="4"/>
      <c r="AAO18" s="4"/>
      <c r="AAP18" s="4"/>
      <c r="AAQ18" s="4"/>
      <c r="AAR18" s="4"/>
      <c r="AAS18" s="4"/>
      <c r="AAT18" s="4"/>
      <c r="AAU18" s="4"/>
      <c r="AAV18" s="4"/>
      <c r="AAW18" s="4"/>
      <c r="AAX18" s="4"/>
      <c r="AAY18" s="4"/>
      <c r="AAZ18" s="4"/>
      <c r="ABA18" s="4"/>
      <c r="ABB18" s="4"/>
      <c r="ABC18" s="4"/>
      <c r="ABD18" s="4"/>
      <c r="ABE18" s="4"/>
      <c r="ABF18" s="4"/>
      <c r="ABG18" s="4"/>
      <c r="ABH18" s="4"/>
      <c r="ABI18" s="4"/>
      <c r="ABJ18" s="4"/>
      <c r="ABK18" s="4"/>
      <c r="ABL18" s="4"/>
      <c r="ABM18" s="4"/>
      <c r="ABN18" s="4"/>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c r="ACS18" s="4"/>
      <c r="ACT18" s="4"/>
      <c r="ACU18" s="4"/>
      <c r="ACV18" s="4"/>
      <c r="ACW18" s="4"/>
      <c r="ACX18" s="4"/>
      <c r="ACY18" s="4"/>
      <c r="ACZ18" s="4"/>
      <c r="ADA18" s="4"/>
      <c r="ADB18" s="4"/>
      <c r="ADC18" s="4"/>
      <c r="ADD18" s="4"/>
      <c r="ADE18" s="4"/>
      <c r="ADF18" s="4"/>
      <c r="ADG18" s="4"/>
      <c r="ADH18" s="4"/>
      <c r="ADI18" s="4"/>
      <c r="ADJ18" s="4"/>
      <c r="ADK18" s="4"/>
      <c r="ADL18" s="4"/>
      <c r="ADM18" s="4"/>
      <c r="ADN18" s="4"/>
      <c r="ADO18" s="4"/>
      <c r="ADP18" s="4"/>
      <c r="ADQ18" s="4"/>
      <c r="ADR18" s="4"/>
      <c r="ADS18" s="4"/>
      <c r="ADT18" s="4"/>
      <c r="ADU18" s="4"/>
      <c r="ADV18" s="4"/>
      <c r="ADW18" s="4"/>
      <c r="ADX18" s="4"/>
      <c r="ADY18" s="4"/>
      <c r="ADZ18" s="4"/>
      <c r="AEA18" s="4"/>
      <c r="AEB18" s="4"/>
      <c r="AEC18" s="4"/>
      <c r="AED18" s="4"/>
      <c r="AEE18" s="4"/>
      <c r="AEF18" s="4"/>
      <c r="AEG18" s="4"/>
      <c r="AEH18" s="4"/>
      <c r="AEI18" s="4"/>
      <c r="AEJ18" s="4"/>
      <c r="AEK18" s="4"/>
      <c r="AEL18" s="4"/>
      <c r="AEM18" s="4"/>
      <c r="AEN18" s="4"/>
      <c r="AEO18" s="4"/>
      <c r="AEP18" s="4"/>
      <c r="AEQ18" s="4"/>
      <c r="AER18" s="4"/>
      <c r="AES18" s="4"/>
      <c r="AET18" s="4"/>
      <c r="AEU18" s="4"/>
      <c r="AEV18" s="4"/>
      <c r="AEW18" s="4"/>
      <c r="AEX18" s="4"/>
      <c r="AEY18" s="4"/>
      <c r="AEZ18" s="4"/>
      <c r="AFA18" s="4"/>
      <c r="AFB18" s="4"/>
      <c r="AFC18" s="4"/>
      <c r="AFD18" s="4"/>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c r="AGE18" s="4"/>
      <c r="AGF18" s="4"/>
      <c r="AGG18" s="4"/>
      <c r="AGH18" s="4"/>
      <c r="AGI18" s="4"/>
      <c r="AGJ18" s="4"/>
      <c r="AGK18" s="4"/>
      <c r="AGL18" s="4"/>
      <c r="AGM18" s="4"/>
      <c r="AGN18" s="4"/>
      <c r="AGO18" s="4"/>
      <c r="AGP18" s="4"/>
      <c r="AGQ18" s="4"/>
      <c r="AGR18" s="4"/>
      <c r="AGS18" s="4"/>
      <c r="AGT18" s="4"/>
      <c r="AGU18" s="4"/>
      <c r="AGV18" s="4"/>
      <c r="AGW18" s="4"/>
      <c r="AGX18" s="4"/>
      <c r="AGY18" s="4"/>
      <c r="AGZ18" s="4"/>
      <c r="AHA18" s="4"/>
      <c r="AHB18" s="4"/>
      <c r="AHC18" s="4"/>
      <c r="AHD18" s="4"/>
      <c r="AHE18" s="4"/>
      <c r="AHF18" s="4"/>
      <c r="AHG18" s="4"/>
      <c r="AHH18" s="4"/>
      <c r="AHI18" s="4"/>
      <c r="AHJ18" s="4"/>
      <c r="AHK18" s="4"/>
      <c r="AHL18" s="4"/>
      <c r="AHM18" s="4"/>
      <c r="AHN18" s="4"/>
      <c r="AHO18" s="4"/>
      <c r="AHP18" s="4"/>
      <c r="AHQ18" s="4"/>
      <c r="AHR18" s="4"/>
      <c r="AHS18" s="4"/>
      <c r="AHT18" s="4"/>
      <c r="AHU18" s="4"/>
      <c r="AHV18" s="4"/>
      <c r="AHW18" s="4"/>
      <c r="AHX18" s="4"/>
      <c r="AHY18" s="4"/>
      <c r="AHZ18" s="4"/>
      <c r="AIA18" s="4"/>
      <c r="AIB18" s="4"/>
      <c r="AIC18" s="4"/>
      <c r="AID18" s="4"/>
      <c r="AIE18" s="4"/>
      <c r="AIF18" s="4"/>
      <c r="AIG18" s="4"/>
      <c r="AIH18" s="4"/>
      <c r="AII18" s="4"/>
      <c r="AIJ18" s="4"/>
      <c r="AIK18" s="4"/>
      <c r="AIL18" s="4"/>
      <c r="AIM18" s="4"/>
      <c r="AIN18" s="4"/>
      <c r="AIO18" s="4"/>
      <c r="AIP18" s="4"/>
      <c r="AIQ18" s="4"/>
      <c r="AIR18" s="4"/>
      <c r="AIS18" s="4"/>
      <c r="AIT18" s="4"/>
      <c r="AIU18" s="4"/>
      <c r="AIV18" s="4"/>
      <c r="AIW18" s="4"/>
      <c r="AIX18" s="4"/>
      <c r="AIY18" s="4"/>
      <c r="AIZ18" s="4"/>
      <c r="AJA18" s="4"/>
      <c r="AJB18" s="4"/>
      <c r="AJC18" s="4"/>
      <c r="AJD18" s="4"/>
      <c r="AJE18" s="4"/>
      <c r="AJF18" s="4"/>
      <c r="AJG18" s="4"/>
      <c r="AJH18" s="4"/>
      <c r="AJI18" s="4"/>
      <c r="AJJ18" s="4"/>
      <c r="AJK18" s="4"/>
      <c r="AJL18" s="4"/>
      <c r="AJM18" s="4"/>
      <c r="AJN18" s="4"/>
      <c r="AJO18" s="4"/>
      <c r="AJP18" s="4"/>
      <c r="AJQ18" s="4"/>
      <c r="AJR18" s="4"/>
      <c r="AJS18" s="4"/>
      <c r="AJT18" s="4"/>
      <c r="AJU18" s="4"/>
      <c r="AJV18" s="4"/>
      <c r="AJW18" s="4"/>
      <c r="AJX18" s="4"/>
      <c r="AJY18" s="4"/>
      <c r="AJZ18" s="4"/>
      <c r="AKA18" s="4"/>
      <c r="AKB18" s="4"/>
      <c r="AKC18" s="4"/>
      <c r="AKD18" s="4"/>
      <c r="AKE18" s="4"/>
      <c r="AKF18" s="4"/>
      <c r="AKG18" s="4"/>
      <c r="AKH18" s="4"/>
      <c r="AKI18" s="4"/>
      <c r="AKJ18" s="4"/>
      <c r="AKK18" s="4"/>
      <c r="AKL18" s="4"/>
      <c r="AKM18" s="4"/>
      <c r="AKN18" s="4"/>
      <c r="AKO18" s="4"/>
      <c r="AKP18" s="4"/>
      <c r="AKQ18" s="4"/>
      <c r="AKR18" s="4"/>
      <c r="AKS18" s="4"/>
      <c r="AKT18" s="4"/>
      <c r="AKU18" s="4"/>
      <c r="AKV18" s="4"/>
      <c r="AKW18" s="4"/>
      <c r="AKX18" s="4"/>
      <c r="AKY18" s="4"/>
      <c r="AKZ18" s="4"/>
      <c r="ALA18" s="4"/>
      <c r="ALB18" s="4"/>
      <c r="ALC18" s="4"/>
      <c r="ALD18" s="4"/>
      <c r="ALE18" s="4"/>
      <c r="ALF18" s="4"/>
      <c r="ALG18" s="4"/>
      <c r="ALH18" s="4"/>
      <c r="ALI18" s="4"/>
      <c r="ALJ18" s="4"/>
      <c r="ALK18" s="4"/>
      <c r="ALL18" s="4"/>
      <c r="ALM18" s="4"/>
      <c r="ALN18" s="4"/>
      <c r="ALO18" s="4"/>
      <c r="ALP18" s="4"/>
      <c r="ALQ18" s="4"/>
      <c r="ALR18" s="4"/>
      <c r="ALS18" s="4"/>
      <c r="ALT18" s="4"/>
      <c r="ALU18" s="4"/>
      <c r="ALV18" s="4"/>
      <c r="ALW18" s="4"/>
      <c r="ALX18" s="4"/>
      <c r="ALY18" s="4"/>
      <c r="ALZ18" s="4"/>
      <c r="AMA18" s="4"/>
      <c r="AMB18" s="4"/>
      <c r="AMC18" s="4"/>
      <c r="AMD18" s="4"/>
      <c r="AME18" s="4"/>
      <c r="AMF18" s="4"/>
      <c r="AMG18" s="4"/>
      <c r="AMH18" s="4"/>
      <c r="AMI18" s="4"/>
      <c r="AMJ18" s="4"/>
      <c r="AMK18" s="4"/>
      <c r="AML18" s="4"/>
      <c r="AMM18" s="4"/>
      <c r="AMN18" s="4"/>
      <c r="AMO18" s="4"/>
      <c r="AMP18" s="4"/>
      <c r="AMQ18" s="4"/>
      <c r="AMR18" s="4"/>
      <c r="AMS18" s="4"/>
      <c r="AMT18" s="4"/>
      <c r="AMU18" s="4"/>
      <c r="AMV18" s="4"/>
      <c r="AMW18" s="4"/>
      <c r="AMX18" s="4"/>
      <c r="AMY18" s="4"/>
      <c r="AMZ18" s="4"/>
      <c r="ANA18" s="4"/>
      <c r="ANB18" s="4"/>
      <c r="ANC18" s="4"/>
      <c r="AND18" s="4"/>
      <c r="ANE18" s="4"/>
      <c r="ANF18" s="4"/>
      <c r="ANG18" s="4"/>
      <c r="ANH18" s="4"/>
      <c r="ANI18" s="4"/>
      <c r="ANJ18" s="4"/>
      <c r="ANK18" s="4"/>
      <c r="ANL18" s="4"/>
      <c r="ANM18" s="4"/>
      <c r="ANN18" s="4"/>
      <c r="ANO18" s="4"/>
      <c r="ANP18" s="4"/>
      <c r="ANQ18" s="4"/>
      <c r="ANR18" s="4"/>
      <c r="ANS18" s="4"/>
      <c r="ANT18" s="4"/>
      <c r="ANU18" s="4"/>
      <c r="ANV18" s="4"/>
      <c r="ANW18" s="4"/>
      <c r="ANX18" s="4"/>
      <c r="ANY18" s="4"/>
      <c r="ANZ18" s="4"/>
      <c r="AOA18" s="4"/>
      <c r="AOB18" s="4"/>
      <c r="AOC18" s="4"/>
      <c r="AOD18" s="4"/>
      <c r="AOE18" s="4"/>
      <c r="AOF18" s="4"/>
      <c r="AOG18" s="4"/>
      <c r="AOH18" s="4"/>
      <c r="AOI18" s="4"/>
      <c r="AOJ18" s="4"/>
      <c r="AOK18" s="4"/>
      <c r="AOL18" s="4"/>
      <c r="AOM18" s="4"/>
      <c r="AON18" s="4"/>
      <c r="AOO18" s="4"/>
      <c r="AOP18" s="4"/>
      <c r="AOQ18" s="4"/>
      <c r="AOR18" s="4"/>
      <c r="AOS18" s="4"/>
      <c r="AOT18" s="4"/>
      <c r="AOU18" s="4"/>
      <c r="AOV18" s="4"/>
      <c r="AOW18" s="4"/>
      <c r="AOX18" s="4"/>
      <c r="AOY18" s="4"/>
      <c r="AOZ18" s="4"/>
      <c r="APA18" s="4"/>
      <c r="APB18" s="4"/>
      <c r="APC18" s="4"/>
      <c r="APD18" s="4"/>
      <c r="APE18" s="4"/>
      <c r="APF18" s="4"/>
      <c r="APG18" s="4"/>
      <c r="APH18" s="4"/>
      <c r="API18" s="4"/>
      <c r="APJ18" s="4"/>
      <c r="APK18" s="4"/>
      <c r="APL18" s="4"/>
      <c r="APM18" s="4"/>
      <c r="APN18" s="4"/>
      <c r="APO18" s="4"/>
      <c r="APP18" s="4"/>
      <c r="APQ18" s="4"/>
      <c r="APR18" s="4"/>
      <c r="APS18" s="4"/>
      <c r="APT18" s="4"/>
      <c r="APU18" s="4"/>
      <c r="APV18" s="4"/>
      <c r="APW18" s="4"/>
      <c r="APX18" s="4"/>
      <c r="APY18" s="4"/>
      <c r="APZ18" s="4"/>
      <c r="AQA18" s="4"/>
      <c r="AQB18" s="4"/>
      <c r="AQC18" s="4"/>
      <c r="AQD18" s="4"/>
      <c r="AQE18" s="4"/>
      <c r="AQF18" s="4"/>
      <c r="AQG18" s="4"/>
      <c r="AQH18" s="4"/>
      <c r="AQI18" s="4"/>
      <c r="AQJ18" s="4"/>
      <c r="AQK18" s="4"/>
      <c r="AQL18" s="4"/>
      <c r="AQM18" s="4"/>
      <c r="AQN18" s="4"/>
      <c r="AQO18" s="4"/>
      <c r="AQP18" s="4"/>
      <c r="AQQ18" s="4"/>
      <c r="AQR18" s="4"/>
      <c r="AQS18" s="4"/>
      <c r="AQT18" s="4"/>
      <c r="AQU18" s="4"/>
      <c r="AQV18" s="4"/>
      <c r="AQW18" s="4"/>
      <c r="AQX18" s="4"/>
      <c r="AQY18" s="4"/>
      <c r="AQZ18" s="4"/>
      <c r="ARA18" s="4"/>
      <c r="ARB18" s="4"/>
      <c r="ARC18" s="4"/>
      <c r="ARD18" s="4"/>
      <c r="ARE18" s="4"/>
      <c r="ARF18" s="4"/>
      <c r="ARG18" s="4"/>
      <c r="ARH18" s="4"/>
      <c r="ARI18" s="4"/>
      <c r="ARJ18" s="4"/>
      <c r="ARK18" s="4"/>
      <c r="ARL18" s="4"/>
      <c r="ARM18" s="4"/>
      <c r="ARN18" s="4"/>
      <c r="ARO18" s="4"/>
      <c r="ARP18" s="4"/>
      <c r="ARQ18" s="4"/>
      <c r="ARR18" s="4"/>
      <c r="ARS18" s="4"/>
      <c r="ART18" s="4"/>
      <c r="ARU18" s="4"/>
      <c r="ARV18" s="4"/>
      <c r="ARW18" s="4"/>
      <c r="ARX18" s="4"/>
      <c r="ARY18" s="4"/>
      <c r="ARZ18" s="4"/>
      <c r="ASA18" s="4"/>
      <c r="ASB18" s="4"/>
      <c r="ASC18" s="4"/>
      <c r="ASD18" s="4"/>
      <c r="ASE18" s="4"/>
      <c r="ASF18" s="4"/>
      <c r="ASG18" s="4"/>
      <c r="ASH18" s="4"/>
      <c r="ASI18" s="4"/>
      <c r="ASJ18" s="4"/>
      <c r="ASK18" s="4"/>
      <c r="ASL18" s="4"/>
      <c r="ASM18" s="4"/>
      <c r="ASN18" s="4"/>
      <c r="ASO18" s="4"/>
      <c r="ASP18" s="4"/>
      <c r="ASQ18" s="4"/>
      <c r="ASR18" s="4"/>
      <c r="ASS18" s="4"/>
      <c r="AST18" s="4"/>
      <c r="ASU18" s="4"/>
      <c r="ASV18" s="4"/>
      <c r="ASW18" s="4"/>
      <c r="ASX18" s="4"/>
      <c r="ASY18" s="4"/>
      <c r="ASZ18" s="4"/>
      <c r="ATA18" s="4"/>
      <c r="ATB18" s="4"/>
      <c r="ATC18" s="4"/>
      <c r="ATD18" s="4"/>
      <c r="ATE18" s="4"/>
      <c r="ATF18" s="4"/>
      <c r="ATG18" s="4"/>
      <c r="ATH18" s="4"/>
      <c r="ATI18" s="4"/>
      <c r="ATJ18" s="4"/>
      <c r="ATK18" s="4"/>
      <c r="ATL18" s="4"/>
      <c r="ATM18" s="4"/>
      <c r="ATN18" s="4"/>
      <c r="ATO18" s="4"/>
      <c r="ATP18" s="4"/>
      <c r="ATQ18" s="4"/>
      <c r="ATR18" s="4"/>
      <c r="ATS18" s="4"/>
      <c r="ATT18" s="4"/>
      <c r="ATU18" s="4"/>
      <c r="ATV18" s="4"/>
      <c r="ATW18" s="4"/>
      <c r="ATX18" s="4"/>
      <c r="ATY18" s="4"/>
      <c r="ATZ18" s="4"/>
      <c r="AUA18" s="4"/>
      <c r="AUB18" s="4"/>
      <c r="AUC18" s="4"/>
      <c r="AUD18" s="4"/>
      <c r="AUE18" s="4"/>
      <c r="AUF18" s="4"/>
      <c r="AUG18" s="4"/>
      <c r="AUH18" s="4"/>
      <c r="AUI18" s="4"/>
      <c r="AUJ18" s="4"/>
      <c r="AUK18" s="4"/>
      <c r="AUL18" s="4"/>
      <c r="AUM18" s="4"/>
      <c r="AUN18" s="4"/>
      <c r="AUO18" s="4"/>
      <c r="AUP18" s="4"/>
      <c r="AUQ18" s="4"/>
      <c r="AUR18" s="4"/>
      <c r="AUS18" s="4"/>
      <c r="AUT18" s="4"/>
      <c r="AUU18" s="4"/>
      <c r="AUV18" s="4"/>
      <c r="AUW18" s="4"/>
      <c r="AUX18" s="4"/>
      <c r="AUY18" s="4"/>
      <c r="AUZ18" s="4"/>
      <c r="AVA18" s="4"/>
      <c r="AVB18" s="4"/>
      <c r="AVC18" s="4"/>
      <c r="AVD18" s="4"/>
      <c r="AVE18" s="4"/>
      <c r="AVF18" s="4"/>
      <c r="AVG18" s="4"/>
      <c r="AVH18" s="4"/>
      <c r="AVI18" s="4"/>
      <c r="AVJ18" s="4"/>
      <c r="AVK18" s="4"/>
      <c r="AVL18" s="4"/>
      <c r="AVM18" s="4"/>
      <c r="AVN18" s="4"/>
      <c r="AVO18" s="4"/>
      <c r="AVP18" s="4"/>
      <c r="AVQ18" s="4"/>
      <c r="AVR18" s="4"/>
      <c r="AVS18" s="4"/>
      <c r="AVT18" s="4"/>
      <c r="AVU18" s="4"/>
      <c r="AVV18" s="4"/>
      <c r="AVW18" s="4"/>
      <c r="AVX18" s="4"/>
      <c r="AVY18" s="4"/>
      <c r="AVZ18" s="4"/>
      <c r="AWA18" s="4"/>
      <c r="AWB18" s="4"/>
      <c r="AWC18" s="4"/>
      <c r="AWD18" s="4"/>
      <c r="AWE18" s="4"/>
      <c r="AWF18" s="4"/>
      <c r="AWG18" s="4"/>
      <c r="AWH18" s="4"/>
      <c r="AWI18" s="4"/>
      <c r="AWJ18" s="4"/>
      <c r="AWK18" s="4"/>
      <c r="AWL18" s="4"/>
      <c r="AWM18" s="4"/>
      <c r="AWN18" s="4"/>
      <c r="AWO18" s="4"/>
      <c r="AWP18" s="4"/>
      <c r="AWQ18" s="4"/>
      <c r="AWR18" s="4"/>
      <c r="AWS18" s="4"/>
      <c r="AWT18" s="4"/>
      <c r="AWU18" s="4"/>
      <c r="AWV18" s="4"/>
      <c r="AWW18" s="4"/>
      <c r="AWX18" s="4"/>
      <c r="AWY18" s="4"/>
      <c r="AWZ18" s="4"/>
      <c r="AXA18" s="4"/>
      <c r="AXB18" s="4"/>
      <c r="AXC18" s="4"/>
      <c r="AXD18" s="4"/>
      <c r="AXE18" s="4"/>
      <c r="AXF18" s="4"/>
      <c r="AXG18" s="4"/>
      <c r="AXH18" s="4"/>
      <c r="AXI18" s="4"/>
      <c r="AXJ18" s="4"/>
      <c r="AXK18" s="4"/>
      <c r="AXL18" s="4"/>
      <c r="AXM18" s="4"/>
      <c r="AXN18" s="4"/>
      <c r="AXO18" s="4"/>
      <c r="AXP18" s="4"/>
      <c r="AXQ18" s="4"/>
      <c r="AXR18" s="4"/>
      <c r="AXS18" s="4"/>
      <c r="AXT18" s="4"/>
      <c r="AXU18" s="4"/>
      <c r="AXV18" s="4"/>
      <c r="AXW18" s="4"/>
      <c r="AXX18" s="4"/>
      <c r="AXY18" s="4"/>
      <c r="AXZ18" s="4"/>
      <c r="AYA18" s="4"/>
      <c r="AYB18" s="4"/>
      <c r="AYC18" s="4"/>
      <c r="AYD18" s="4"/>
      <c r="AYE18" s="4"/>
      <c r="AYF18" s="4"/>
      <c r="AYG18" s="4"/>
      <c r="AYH18" s="4"/>
      <c r="AYI18" s="4"/>
      <c r="AYJ18" s="4"/>
      <c r="AYK18" s="4"/>
      <c r="AYL18" s="4"/>
      <c r="AYM18" s="4"/>
      <c r="AYN18" s="4"/>
      <c r="AYO18" s="4"/>
      <c r="AYP18" s="4"/>
      <c r="AYQ18" s="4"/>
      <c r="AYR18" s="4"/>
      <c r="AYS18" s="4"/>
      <c r="AYT18" s="4"/>
      <c r="AYU18" s="4"/>
      <c r="AYV18" s="4"/>
      <c r="AYW18" s="4"/>
      <c r="AYX18" s="4"/>
      <c r="AYY18" s="4"/>
      <c r="AYZ18" s="4"/>
      <c r="AZA18" s="4"/>
      <c r="AZB18" s="4"/>
      <c r="AZC18" s="4"/>
      <c r="AZD18" s="4"/>
      <c r="AZE18" s="4"/>
      <c r="AZF18" s="4"/>
      <c r="AZG18" s="4"/>
      <c r="AZH18" s="4"/>
      <c r="AZI18" s="4"/>
      <c r="AZJ18" s="4"/>
      <c r="AZK18" s="4"/>
      <c r="AZL18" s="4"/>
      <c r="AZM18" s="4"/>
      <c r="AZN18" s="4"/>
      <c r="AZO18" s="4"/>
      <c r="AZP18" s="4"/>
      <c r="AZQ18" s="4"/>
      <c r="AZR18" s="4"/>
      <c r="AZS18" s="4"/>
      <c r="AZT18" s="4"/>
      <c r="AZU18" s="4"/>
      <c r="AZV18" s="4"/>
      <c r="AZW18" s="4"/>
      <c r="AZX18" s="4"/>
      <c r="AZY18" s="4"/>
      <c r="AZZ18" s="4"/>
      <c r="BAA18" s="4"/>
      <c r="BAB18" s="4"/>
      <c r="BAC18" s="4"/>
      <c r="BAD18" s="4"/>
      <c r="BAE18" s="4"/>
      <c r="BAF18" s="4"/>
      <c r="BAG18" s="4"/>
      <c r="BAH18" s="4"/>
      <c r="BAI18" s="4"/>
      <c r="BAJ18" s="4"/>
      <c r="BAK18" s="4"/>
      <c r="BAL18" s="4"/>
      <c r="BAM18" s="4"/>
      <c r="BAN18" s="4"/>
      <c r="BAO18" s="4"/>
      <c r="BAP18" s="4"/>
      <c r="BAQ18" s="4"/>
      <c r="BAR18" s="4"/>
      <c r="BAS18" s="4"/>
      <c r="BAT18" s="4"/>
      <c r="BAU18" s="4"/>
      <c r="BAV18" s="4"/>
      <c r="BAW18" s="4"/>
      <c r="BAX18" s="4"/>
      <c r="BAY18" s="4"/>
      <c r="BAZ18" s="4"/>
      <c r="BBA18" s="4"/>
      <c r="BBB18" s="4"/>
      <c r="BBC18" s="4"/>
      <c r="BBD18" s="4"/>
      <c r="BBE18" s="4"/>
      <c r="BBF18" s="4"/>
      <c r="BBG18" s="4"/>
      <c r="BBH18" s="4"/>
      <c r="BBI18" s="4"/>
      <c r="BBJ18" s="4"/>
      <c r="BBK18" s="4"/>
      <c r="BBL18" s="4"/>
      <c r="BBM18" s="4"/>
      <c r="BBN18" s="4"/>
      <c r="BBO18" s="4"/>
      <c r="BBP18" s="4"/>
      <c r="BBQ18" s="4"/>
      <c r="BBR18" s="4"/>
      <c r="BBS18" s="4"/>
      <c r="BBT18" s="4"/>
      <c r="BBU18" s="4"/>
      <c r="BBV18" s="4"/>
      <c r="BBW18" s="4"/>
      <c r="BBX18" s="4"/>
      <c r="BBY18" s="4"/>
      <c r="BBZ18" s="4"/>
      <c r="BCA18" s="4"/>
      <c r="BCB18" s="4"/>
      <c r="BCC18" s="4"/>
      <c r="BCD18" s="4"/>
      <c r="BCE18" s="4"/>
      <c r="BCF18" s="4"/>
      <c r="BCG18" s="4"/>
      <c r="BCH18" s="4"/>
      <c r="BCI18" s="4"/>
      <c r="BCJ18" s="4"/>
      <c r="BCK18" s="4"/>
      <c r="BCL18" s="4"/>
      <c r="BCM18" s="4"/>
      <c r="BCN18" s="4"/>
      <c r="BCO18" s="4"/>
      <c r="BCP18" s="4"/>
      <c r="BCQ18" s="4"/>
      <c r="BCR18" s="4"/>
      <c r="BCS18" s="4"/>
      <c r="BCT18" s="4"/>
      <c r="BCU18" s="4"/>
      <c r="BCV18" s="4"/>
      <c r="BCW18" s="4"/>
      <c r="BCX18" s="4"/>
      <c r="BCY18" s="4"/>
      <c r="BCZ18" s="4"/>
      <c r="BDA18" s="4"/>
      <c r="BDB18" s="4"/>
      <c r="BDC18" s="4"/>
      <c r="BDD18" s="4"/>
      <c r="BDE18" s="4"/>
      <c r="BDF18" s="4"/>
      <c r="BDG18" s="4"/>
      <c r="BDH18" s="4"/>
      <c r="BDI18" s="4"/>
      <c r="BDJ18" s="4"/>
      <c r="BDK18" s="4"/>
      <c r="BDL18" s="4"/>
      <c r="BDM18" s="4"/>
      <c r="BDN18" s="4"/>
      <c r="BDO18" s="4"/>
      <c r="BDP18" s="4"/>
      <c r="BDQ18" s="4"/>
      <c r="BDR18" s="4"/>
      <c r="BDS18" s="4"/>
      <c r="BDT18" s="4"/>
      <c r="BDU18" s="4"/>
      <c r="BDV18" s="4"/>
      <c r="BDW18" s="4"/>
      <c r="BDX18" s="4"/>
      <c r="BDY18" s="4"/>
      <c r="BDZ18" s="4"/>
      <c r="BEA18" s="4"/>
      <c r="BEB18" s="4"/>
      <c r="BEC18" s="4"/>
      <c r="BED18" s="4"/>
      <c r="BEE18" s="4"/>
      <c r="BEF18" s="4"/>
      <c r="BEG18" s="4"/>
      <c r="BEH18" s="4"/>
      <c r="BEI18" s="4"/>
      <c r="BEJ18" s="4"/>
      <c r="BEK18" s="4"/>
      <c r="BEL18" s="4"/>
      <c r="BEM18" s="4"/>
      <c r="BEN18" s="4"/>
      <c r="BEO18" s="4"/>
      <c r="BEP18" s="4"/>
      <c r="BEQ18" s="4"/>
      <c r="BER18" s="4"/>
      <c r="BES18" s="4"/>
      <c r="BET18" s="4"/>
      <c r="BEU18" s="4"/>
      <c r="BEV18" s="4"/>
      <c r="BEW18" s="4"/>
      <c r="BEX18" s="4"/>
      <c r="BEY18" s="4"/>
      <c r="BEZ18" s="4"/>
      <c r="BFA18" s="4"/>
      <c r="BFB18" s="4"/>
      <c r="BFC18" s="4"/>
      <c r="BFD18" s="4"/>
      <c r="BFE18" s="4"/>
      <c r="BFF18" s="4"/>
      <c r="BFG18" s="4"/>
      <c r="BFH18" s="4"/>
      <c r="BFI18" s="4"/>
      <c r="BFJ18" s="4"/>
      <c r="BFK18" s="4"/>
      <c r="BFL18" s="4"/>
      <c r="BFM18" s="4"/>
      <c r="BFN18" s="4"/>
      <c r="BFO18" s="4"/>
      <c r="BFP18" s="4"/>
      <c r="BFQ18" s="4"/>
      <c r="BFR18" s="4"/>
      <c r="BFS18" s="4"/>
      <c r="BFT18" s="4"/>
      <c r="BFU18" s="4"/>
      <c r="BFV18" s="4"/>
      <c r="BFW18" s="4"/>
      <c r="BFX18" s="4"/>
      <c r="BFY18" s="4"/>
      <c r="BFZ18" s="4"/>
      <c r="BGA18" s="4"/>
      <c r="BGB18" s="4"/>
      <c r="BGC18" s="4"/>
      <c r="BGD18" s="4"/>
      <c r="BGE18" s="4"/>
      <c r="BGF18" s="4"/>
      <c r="BGG18" s="4"/>
      <c r="BGH18" s="4"/>
      <c r="BGI18" s="4"/>
      <c r="BGJ18" s="4"/>
      <c r="BGK18" s="4"/>
      <c r="BGL18" s="4"/>
      <c r="BGM18" s="4"/>
      <c r="BGN18" s="4"/>
      <c r="BGO18" s="4"/>
      <c r="BGP18" s="4"/>
      <c r="BGQ18" s="4"/>
      <c r="BGR18" s="4"/>
      <c r="BGS18" s="4"/>
      <c r="BGT18" s="4"/>
      <c r="BGU18" s="4"/>
      <c r="BGV18" s="4"/>
      <c r="BGW18" s="4"/>
      <c r="BGX18" s="4"/>
      <c r="BGY18" s="4"/>
      <c r="BGZ18" s="4"/>
      <c r="BHA18" s="4"/>
      <c r="BHB18" s="4"/>
      <c r="BHC18" s="4"/>
      <c r="BHD18" s="4"/>
      <c r="BHE18" s="4"/>
      <c r="BHF18" s="4"/>
      <c r="BHG18" s="4"/>
      <c r="BHH18" s="4"/>
      <c r="BHI18" s="4"/>
      <c r="BHJ18" s="4"/>
      <c r="BHK18" s="4"/>
      <c r="BHL18" s="4"/>
      <c r="BHM18" s="4"/>
      <c r="BHN18" s="4"/>
      <c r="BHO18" s="4"/>
      <c r="BHP18" s="4"/>
      <c r="BHQ18" s="4"/>
      <c r="BHR18" s="4"/>
      <c r="BHS18" s="4"/>
      <c r="BHT18" s="4"/>
      <c r="BHU18" s="4"/>
      <c r="BHV18" s="4"/>
      <c r="BHW18" s="4"/>
      <c r="BHX18" s="4"/>
      <c r="BHY18" s="4"/>
      <c r="BHZ18" s="4"/>
      <c r="BIA18" s="4"/>
      <c r="BIB18" s="4"/>
      <c r="BIC18" s="4"/>
      <c r="BID18" s="4"/>
      <c r="BIE18" s="4"/>
      <c r="BIF18" s="4"/>
      <c r="BIG18" s="4"/>
      <c r="BIH18" s="4"/>
      <c r="BII18" s="4"/>
      <c r="BIJ18" s="4"/>
      <c r="BIK18" s="4"/>
      <c r="BIL18" s="4"/>
      <c r="BIM18" s="4"/>
      <c r="BIN18" s="4"/>
      <c r="BIO18" s="4"/>
      <c r="BIP18" s="4"/>
      <c r="BIQ18" s="4"/>
      <c r="BIR18" s="4"/>
      <c r="BIS18" s="4"/>
      <c r="BIT18" s="4"/>
      <c r="BIU18" s="4"/>
      <c r="BIV18" s="4"/>
      <c r="BIW18" s="4"/>
      <c r="BIX18" s="4"/>
      <c r="BIY18" s="4"/>
      <c r="BIZ18" s="4"/>
      <c r="BJA18" s="4"/>
      <c r="BJB18" s="4"/>
      <c r="BJC18" s="4"/>
      <c r="BJD18" s="4"/>
      <c r="BJE18" s="4"/>
      <c r="BJF18" s="4"/>
      <c r="BJG18" s="4"/>
      <c r="BJH18" s="4"/>
      <c r="BJI18" s="4"/>
      <c r="BJJ18" s="4"/>
      <c r="BJK18" s="4"/>
      <c r="BJL18" s="4"/>
      <c r="BJM18" s="4"/>
      <c r="BJN18" s="4"/>
      <c r="BJO18" s="4"/>
      <c r="BJP18" s="4"/>
      <c r="BJQ18" s="4"/>
      <c r="BJR18" s="4"/>
      <c r="BJS18" s="4"/>
      <c r="BJT18" s="4"/>
      <c r="BJU18" s="4"/>
      <c r="BJV18" s="4"/>
      <c r="BJW18" s="4"/>
      <c r="BJX18" s="4"/>
      <c r="BJY18" s="4"/>
      <c r="BJZ18" s="4"/>
      <c r="BKA18" s="4"/>
      <c r="BKB18" s="4"/>
      <c r="BKC18" s="4"/>
      <c r="BKD18" s="4"/>
      <c r="BKE18" s="4"/>
      <c r="BKF18" s="4"/>
      <c r="BKG18" s="4"/>
      <c r="BKH18" s="4"/>
      <c r="BKI18" s="4"/>
      <c r="BKJ18" s="4"/>
      <c r="BKK18" s="4"/>
      <c r="BKL18" s="4"/>
      <c r="BKM18" s="4"/>
      <c r="BKN18" s="4"/>
      <c r="BKO18" s="4"/>
      <c r="BKP18" s="4"/>
      <c r="BKQ18" s="4"/>
      <c r="BKR18" s="4"/>
      <c r="BKS18" s="4"/>
      <c r="BKT18" s="4"/>
      <c r="BKU18" s="4"/>
      <c r="BKV18" s="4"/>
      <c r="BKW18" s="4"/>
      <c r="BKX18" s="4"/>
      <c r="BKY18" s="4"/>
      <c r="BKZ18" s="4"/>
      <c r="BLA18" s="4"/>
      <c r="BLB18" s="4"/>
      <c r="BLC18" s="4"/>
      <c r="BLD18" s="4"/>
      <c r="BLE18" s="4"/>
      <c r="BLF18" s="4"/>
      <c r="BLG18" s="4"/>
      <c r="BLH18" s="4"/>
      <c r="BLI18" s="4"/>
      <c r="BLJ18" s="4"/>
      <c r="BLK18" s="4"/>
      <c r="BLL18" s="4"/>
      <c r="BLM18" s="4"/>
      <c r="BLN18" s="4"/>
      <c r="BLO18" s="4"/>
      <c r="BLP18" s="4"/>
      <c r="BLQ18" s="4"/>
      <c r="BLR18" s="4"/>
      <c r="BLS18" s="4"/>
      <c r="BLT18" s="4"/>
      <c r="BLU18" s="4"/>
      <c r="BLV18" s="4"/>
      <c r="BLW18" s="4"/>
      <c r="BLX18" s="4"/>
      <c r="BLY18" s="4"/>
      <c r="BLZ18" s="4"/>
      <c r="BMA18" s="4"/>
      <c r="BMB18" s="4"/>
      <c r="BMC18" s="4"/>
      <c r="BMD18" s="4"/>
      <c r="BME18" s="4"/>
      <c r="BMF18" s="4"/>
      <c r="BMG18" s="4"/>
      <c r="BMH18" s="4"/>
      <c r="BMI18" s="4"/>
      <c r="BMJ18" s="4"/>
      <c r="BMK18" s="4"/>
      <c r="BML18" s="4"/>
      <c r="BMM18" s="4"/>
      <c r="BMN18" s="4"/>
      <c r="BMO18" s="4"/>
      <c r="BMP18" s="4"/>
      <c r="BMQ18" s="4"/>
      <c r="BMR18" s="4"/>
      <c r="BMS18" s="4"/>
      <c r="BMT18" s="4"/>
      <c r="BMU18" s="4"/>
      <c r="BMV18" s="4"/>
      <c r="BMW18" s="4"/>
      <c r="BMX18" s="4"/>
      <c r="BMY18" s="4"/>
      <c r="BMZ18" s="4"/>
      <c r="BNA18" s="4"/>
      <c r="BNB18" s="4"/>
      <c r="BNC18" s="4"/>
      <c r="BND18" s="4"/>
      <c r="BNE18" s="4"/>
      <c r="BNF18" s="4"/>
      <c r="BNG18" s="4"/>
      <c r="BNH18" s="4"/>
      <c r="BNI18" s="4"/>
      <c r="BNJ18" s="4"/>
      <c r="BNK18" s="4"/>
      <c r="BNL18" s="4"/>
      <c r="BNM18" s="4"/>
      <c r="BNN18" s="4"/>
      <c r="BNO18" s="4"/>
      <c r="BNP18" s="4"/>
      <c r="BNQ18" s="4"/>
      <c r="BNR18" s="4"/>
      <c r="BNS18" s="4"/>
      <c r="BNT18" s="4"/>
      <c r="BNU18" s="4"/>
      <c r="BNV18" s="4"/>
      <c r="BNW18" s="4"/>
      <c r="BNX18" s="4"/>
      <c r="BNY18" s="4"/>
      <c r="BNZ18" s="4"/>
      <c r="BOA18" s="4"/>
      <c r="BOB18" s="4"/>
      <c r="BOC18" s="4"/>
      <c r="BOD18" s="4"/>
      <c r="BOE18" s="4"/>
      <c r="BOF18" s="4"/>
      <c r="BOG18" s="4"/>
      <c r="BOH18" s="4"/>
      <c r="BOI18" s="4"/>
      <c r="BOJ18" s="4"/>
      <c r="BOK18" s="4"/>
      <c r="BOL18" s="4"/>
      <c r="BOM18" s="4"/>
      <c r="BON18" s="4"/>
      <c r="BOO18" s="4"/>
      <c r="BOP18" s="4"/>
      <c r="BOQ18" s="4"/>
      <c r="BOR18" s="4"/>
      <c r="BOS18" s="4"/>
      <c r="BOT18" s="4"/>
      <c r="BOU18" s="4"/>
      <c r="BOV18" s="4"/>
      <c r="BOW18" s="4"/>
      <c r="BOX18" s="4"/>
      <c r="BOY18" s="4"/>
      <c r="BOZ18" s="4"/>
      <c r="BPA18" s="4"/>
      <c r="BPB18" s="4"/>
      <c r="BPC18" s="60"/>
    </row>
    <row r="19" s="5" customFormat="1" ht="60" customHeight="1" spans="1:1024 1025:1771">
      <c r="A19" s="359" t="s">
        <v>68</v>
      </c>
      <c r="B19" s="356" t="s">
        <v>69</v>
      </c>
      <c r="C19" s="356" t="s">
        <v>70</v>
      </c>
      <c r="D19" s="356" t="s">
        <v>71</v>
      </c>
      <c r="E19" s="356"/>
      <c r="F19" s="356"/>
      <c r="G19" s="360"/>
      <c r="H19" s="357">
        <f t="shared" si="0"/>
        <v>46161</v>
      </c>
      <c r="I19" s="361" t="s">
        <v>7</v>
      </c>
      <c r="J19" s="360"/>
      <c r="L19" s="5" t="s">
        <v>43</v>
      </c>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c r="UZ19" s="4"/>
      <c r="VA19" s="4"/>
      <c r="VB19" s="4"/>
      <c r="VC19" s="4"/>
      <c r="VD19" s="4"/>
      <c r="VE19" s="4"/>
      <c r="VF19" s="4"/>
      <c r="VG19" s="4"/>
      <c r="VH19" s="4"/>
      <c r="VI19" s="4"/>
      <c r="VJ19" s="4"/>
      <c r="VK19" s="4"/>
      <c r="VL19" s="4"/>
      <c r="VM19" s="4"/>
      <c r="VN19" s="4"/>
      <c r="VO19" s="4"/>
      <c r="VP19" s="4"/>
      <c r="VQ19" s="4"/>
      <c r="VR19" s="4"/>
      <c r="VS19" s="4"/>
      <c r="VT19" s="4"/>
      <c r="VU19" s="4"/>
      <c r="VV19" s="4"/>
      <c r="VW19" s="4"/>
      <c r="VX19" s="4"/>
      <c r="VY19" s="4"/>
      <c r="VZ19" s="4"/>
      <c r="WA19" s="4"/>
      <c r="WB19" s="4"/>
      <c r="WC19" s="4"/>
      <c r="WD19" s="4"/>
      <c r="WE19" s="4"/>
      <c r="WF19" s="4"/>
      <c r="WG19" s="4"/>
      <c r="WH19" s="4"/>
      <c r="WI19" s="4"/>
      <c r="WJ19" s="4"/>
      <c r="WK19" s="4"/>
      <c r="WL19" s="4"/>
      <c r="WM19" s="4"/>
      <c r="WN19" s="4"/>
      <c r="WO19" s="4"/>
      <c r="WP19" s="4"/>
      <c r="WQ19" s="4"/>
      <c r="WR19" s="4"/>
      <c r="WS19" s="4"/>
      <c r="WT19" s="4"/>
      <c r="WU19" s="4"/>
      <c r="WV19" s="4"/>
      <c r="WW19" s="4"/>
      <c r="WX19" s="4"/>
      <c r="WY19" s="4"/>
      <c r="WZ19" s="4"/>
      <c r="XA19" s="4"/>
      <c r="XB19" s="4"/>
      <c r="XC19" s="4"/>
      <c r="XD19" s="4"/>
      <c r="XE19" s="4"/>
      <c r="XF19" s="4"/>
      <c r="XG19" s="4"/>
      <c r="XH19" s="4"/>
      <c r="XI19" s="4"/>
      <c r="XJ19" s="4"/>
      <c r="XK19" s="4"/>
      <c r="XL19" s="4"/>
      <c r="XM19" s="4"/>
      <c r="XN19" s="4"/>
      <c r="XO19" s="4"/>
      <c r="XP19" s="4"/>
      <c r="XQ19" s="4"/>
      <c r="XR19" s="4"/>
      <c r="XS19" s="4"/>
      <c r="XT19" s="4"/>
      <c r="XU19" s="4"/>
      <c r="XV19" s="4"/>
      <c r="XW19" s="4"/>
      <c r="XX19" s="4"/>
      <c r="XY19" s="4"/>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c r="ZB19" s="4"/>
      <c r="ZC19" s="4"/>
      <c r="ZD19" s="4"/>
      <c r="ZE19" s="4"/>
      <c r="ZF19" s="4"/>
      <c r="ZG19" s="4"/>
      <c r="ZH19" s="4"/>
      <c r="ZI19" s="4"/>
      <c r="ZJ19" s="4"/>
      <c r="ZK19" s="4"/>
      <c r="ZL19" s="4"/>
      <c r="ZM19" s="4"/>
      <c r="ZN19" s="4"/>
      <c r="ZO19" s="4"/>
      <c r="ZP19" s="4"/>
      <c r="ZQ19" s="4"/>
      <c r="ZR19" s="4"/>
      <c r="ZS19" s="4"/>
      <c r="ZT19" s="4"/>
      <c r="ZU19" s="4"/>
      <c r="ZV19" s="4"/>
      <c r="ZW19" s="4"/>
      <c r="ZX19" s="4"/>
      <c r="ZY19" s="4"/>
      <c r="ZZ19" s="4"/>
      <c r="AAA19" s="4"/>
      <c r="AAB19" s="4"/>
      <c r="AAC19" s="4"/>
      <c r="AAD19" s="4"/>
      <c r="AAE19" s="4"/>
      <c r="AAF19" s="4"/>
      <c r="AAG19" s="4"/>
      <c r="AAH19" s="4"/>
      <c r="AAI19" s="4"/>
      <c r="AAJ19" s="4"/>
      <c r="AAK19" s="4"/>
      <c r="AAL19" s="4"/>
      <c r="AAM19" s="4"/>
      <c r="AAN19" s="4"/>
      <c r="AAO19" s="4"/>
      <c r="AAP19" s="4"/>
      <c r="AAQ19" s="4"/>
      <c r="AAR19" s="4"/>
      <c r="AAS19" s="4"/>
      <c r="AAT19" s="4"/>
      <c r="AAU19" s="4"/>
      <c r="AAV19" s="4"/>
      <c r="AAW19" s="4"/>
      <c r="AAX19" s="4"/>
      <c r="AAY19" s="4"/>
      <c r="AAZ19" s="4"/>
      <c r="ABA19" s="4"/>
      <c r="ABB19" s="4"/>
      <c r="ABC19" s="4"/>
      <c r="ABD19" s="4"/>
      <c r="ABE19" s="4"/>
      <c r="ABF19" s="4"/>
      <c r="ABG19" s="4"/>
      <c r="ABH19" s="4"/>
      <c r="ABI19" s="4"/>
      <c r="ABJ19" s="4"/>
      <c r="ABK19" s="4"/>
      <c r="ABL19" s="4"/>
      <c r="ABM19" s="4"/>
      <c r="ABN19" s="4"/>
      <c r="ABO19" s="4"/>
      <c r="ABP19" s="4"/>
      <c r="ABQ19" s="4"/>
      <c r="ABR19" s="4"/>
      <c r="ABS19" s="4"/>
      <c r="ABT19" s="4"/>
      <c r="ABU19" s="4"/>
      <c r="ABV19" s="4"/>
      <c r="ABW19" s="4"/>
      <c r="ABX19" s="4"/>
      <c r="ABY19" s="4"/>
      <c r="ABZ19" s="4"/>
      <c r="ACA19" s="4"/>
      <c r="ACB19" s="4"/>
      <c r="ACC19" s="4"/>
      <c r="ACD19" s="4"/>
      <c r="ACE19" s="4"/>
      <c r="ACF19" s="4"/>
      <c r="ACG19" s="4"/>
      <c r="ACH19" s="4"/>
      <c r="ACI19" s="4"/>
      <c r="ACJ19" s="4"/>
      <c r="ACK19" s="4"/>
      <c r="ACL19" s="4"/>
      <c r="ACM19" s="4"/>
      <c r="ACN19" s="4"/>
      <c r="ACO19" s="4"/>
      <c r="ACP19" s="4"/>
      <c r="ACQ19" s="4"/>
      <c r="ACR19" s="4"/>
      <c r="ACS19" s="4"/>
      <c r="ACT19" s="4"/>
      <c r="ACU19" s="4"/>
      <c r="ACV19" s="4"/>
      <c r="ACW19" s="4"/>
      <c r="ACX19" s="4"/>
      <c r="ACY19" s="4"/>
      <c r="ACZ19" s="4"/>
      <c r="ADA19" s="4"/>
      <c r="ADB19" s="4"/>
      <c r="ADC19" s="4"/>
      <c r="ADD19" s="4"/>
      <c r="ADE19" s="4"/>
      <c r="ADF19" s="4"/>
      <c r="ADG19" s="4"/>
      <c r="ADH19" s="4"/>
      <c r="ADI19" s="4"/>
      <c r="ADJ19" s="4"/>
      <c r="ADK19" s="4"/>
      <c r="ADL19" s="4"/>
      <c r="ADM19" s="4"/>
      <c r="ADN19" s="4"/>
      <c r="ADO19" s="4"/>
      <c r="ADP19" s="4"/>
      <c r="ADQ19" s="4"/>
      <c r="ADR19" s="4"/>
      <c r="ADS19" s="4"/>
      <c r="ADT19" s="4"/>
      <c r="ADU19" s="4"/>
      <c r="ADV19" s="4"/>
      <c r="ADW19" s="4"/>
      <c r="ADX19" s="4"/>
      <c r="ADY19" s="4"/>
      <c r="ADZ19" s="4"/>
      <c r="AEA19" s="4"/>
      <c r="AEB19" s="4"/>
      <c r="AEC19" s="4"/>
      <c r="AED19" s="4"/>
      <c r="AEE19" s="4"/>
      <c r="AEF19" s="4"/>
      <c r="AEG19" s="4"/>
      <c r="AEH19" s="4"/>
      <c r="AEI19" s="4"/>
      <c r="AEJ19" s="4"/>
      <c r="AEK19" s="4"/>
      <c r="AEL19" s="4"/>
      <c r="AEM19" s="4"/>
      <c r="AEN19" s="4"/>
      <c r="AEO19" s="4"/>
      <c r="AEP19" s="4"/>
      <c r="AEQ19" s="4"/>
      <c r="AER19" s="4"/>
      <c r="AES19" s="4"/>
      <c r="AET19" s="4"/>
      <c r="AEU19" s="4"/>
      <c r="AEV19" s="4"/>
      <c r="AEW19" s="4"/>
      <c r="AEX19" s="4"/>
      <c r="AEY19" s="4"/>
      <c r="AEZ19" s="4"/>
      <c r="AFA19" s="4"/>
      <c r="AFB19" s="4"/>
      <c r="AFC19" s="4"/>
      <c r="AFD19" s="4"/>
      <c r="AFE19" s="4"/>
      <c r="AFF19" s="4"/>
      <c r="AFG19" s="4"/>
      <c r="AFH19" s="4"/>
      <c r="AFI19" s="4"/>
      <c r="AFJ19" s="4"/>
      <c r="AFK19" s="4"/>
      <c r="AFL19" s="4"/>
      <c r="AFM19" s="4"/>
      <c r="AFN19" s="4"/>
      <c r="AFO19" s="4"/>
      <c r="AFP19" s="4"/>
      <c r="AFQ19" s="4"/>
      <c r="AFR19" s="4"/>
      <c r="AFS19" s="4"/>
      <c r="AFT19" s="4"/>
      <c r="AFU19" s="4"/>
      <c r="AFV19" s="4"/>
      <c r="AFW19" s="4"/>
      <c r="AFX19" s="4"/>
      <c r="AFY19" s="4"/>
      <c r="AFZ19" s="4"/>
      <c r="AGA19" s="4"/>
      <c r="AGB19" s="4"/>
      <c r="AGC19" s="4"/>
      <c r="AGD19" s="4"/>
      <c r="AGE19" s="4"/>
      <c r="AGF19" s="4"/>
      <c r="AGG19" s="4"/>
      <c r="AGH19" s="4"/>
      <c r="AGI19" s="4"/>
      <c r="AGJ19" s="4"/>
      <c r="AGK19" s="4"/>
      <c r="AGL19" s="4"/>
      <c r="AGM19" s="4"/>
      <c r="AGN19" s="4"/>
      <c r="AGO19" s="4"/>
      <c r="AGP19" s="4"/>
      <c r="AGQ19" s="4"/>
      <c r="AGR19" s="4"/>
      <c r="AGS19" s="4"/>
      <c r="AGT19" s="4"/>
      <c r="AGU19" s="4"/>
      <c r="AGV19" s="4"/>
      <c r="AGW19" s="4"/>
      <c r="AGX19" s="4"/>
      <c r="AGY19" s="4"/>
      <c r="AGZ19" s="4"/>
      <c r="AHA19" s="4"/>
      <c r="AHB19" s="4"/>
      <c r="AHC19" s="4"/>
      <c r="AHD19" s="4"/>
      <c r="AHE19" s="4"/>
      <c r="AHF19" s="4"/>
      <c r="AHG19" s="4"/>
      <c r="AHH19" s="4"/>
      <c r="AHI19" s="4"/>
      <c r="AHJ19" s="4"/>
      <c r="AHK19" s="4"/>
      <c r="AHL19" s="4"/>
      <c r="AHM19" s="4"/>
      <c r="AHN19" s="4"/>
      <c r="AHO19" s="4"/>
      <c r="AHP19" s="4"/>
      <c r="AHQ19" s="4"/>
      <c r="AHR19" s="4"/>
      <c r="AHS19" s="4"/>
      <c r="AHT19" s="4"/>
      <c r="AHU19" s="4"/>
      <c r="AHV19" s="4"/>
      <c r="AHW19" s="4"/>
      <c r="AHX19" s="4"/>
      <c r="AHY19" s="4"/>
      <c r="AHZ19" s="4"/>
      <c r="AIA19" s="4"/>
      <c r="AIB19" s="4"/>
      <c r="AIC19" s="4"/>
      <c r="AID19" s="4"/>
      <c r="AIE19" s="4"/>
      <c r="AIF19" s="4"/>
      <c r="AIG19" s="4"/>
      <c r="AIH19" s="4"/>
      <c r="AII19" s="4"/>
      <c r="AIJ19" s="4"/>
      <c r="AIK19" s="4"/>
      <c r="AIL19" s="4"/>
      <c r="AIM19" s="4"/>
      <c r="AIN19" s="4"/>
      <c r="AIO19" s="4"/>
      <c r="AIP19" s="4"/>
      <c r="AIQ19" s="4"/>
      <c r="AIR19" s="4"/>
      <c r="AIS19" s="4"/>
      <c r="AIT19" s="4"/>
      <c r="AIU19" s="4"/>
      <c r="AIV19" s="4"/>
      <c r="AIW19" s="4"/>
      <c r="AIX19" s="4"/>
      <c r="AIY19" s="4"/>
      <c r="AIZ19" s="4"/>
      <c r="AJA19" s="4"/>
      <c r="AJB19" s="4"/>
      <c r="AJC19" s="4"/>
      <c r="AJD19" s="4"/>
      <c r="AJE19" s="4"/>
      <c r="AJF19" s="4"/>
      <c r="AJG19" s="4"/>
      <c r="AJH19" s="4"/>
      <c r="AJI19" s="4"/>
      <c r="AJJ19" s="4"/>
      <c r="AJK19" s="4"/>
      <c r="AJL19" s="4"/>
      <c r="AJM19" s="4"/>
      <c r="AJN19" s="4"/>
      <c r="AJO19" s="4"/>
      <c r="AJP19" s="4"/>
      <c r="AJQ19" s="4"/>
      <c r="AJR19" s="4"/>
      <c r="AJS19" s="4"/>
      <c r="AJT19" s="4"/>
      <c r="AJU19" s="4"/>
      <c r="AJV19" s="4"/>
      <c r="AJW19" s="4"/>
      <c r="AJX19" s="4"/>
      <c r="AJY19" s="4"/>
      <c r="AJZ19" s="4"/>
      <c r="AKA19" s="4"/>
      <c r="AKB19" s="4"/>
      <c r="AKC19" s="4"/>
      <c r="AKD19" s="4"/>
      <c r="AKE19" s="4"/>
      <c r="AKF19" s="4"/>
      <c r="AKG19" s="4"/>
      <c r="AKH19" s="4"/>
      <c r="AKI19" s="4"/>
      <c r="AKJ19" s="4"/>
      <c r="AKK19" s="4"/>
      <c r="AKL19" s="4"/>
      <c r="AKM19" s="4"/>
      <c r="AKN19" s="4"/>
      <c r="AKO19" s="4"/>
      <c r="AKP19" s="4"/>
      <c r="AKQ19" s="4"/>
      <c r="AKR19" s="4"/>
      <c r="AKS19" s="4"/>
      <c r="AKT19" s="4"/>
      <c r="AKU19" s="4"/>
      <c r="AKV19" s="4"/>
      <c r="AKW19" s="4"/>
      <c r="AKX19" s="4"/>
      <c r="AKY19" s="4"/>
      <c r="AKZ19" s="4"/>
      <c r="ALA19" s="4"/>
      <c r="ALB19" s="4"/>
      <c r="ALC19" s="4"/>
      <c r="ALD19" s="4"/>
      <c r="ALE19" s="4"/>
      <c r="ALF19" s="4"/>
      <c r="ALG19" s="4"/>
      <c r="ALH19" s="4"/>
      <c r="ALI19" s="4"/>
      <c r="ALJ19" s="4"/>
      <c r="ALK19" s="4"/>
      <c r="ALL19" s="4"/>
      <c r="ALM19" s="4"/>
      <c r="ALN19" s="4"/>
      <c r="ALO19" s="4"/>
      <c r="ALP19" s="4"/>
      <c r="ALQ19" s="4"/>
      <c r="ALR19" s="4"/>
      <c r="ALS19" s="4"/>
      <c r="ALT19" s="4"/>
      <c r="ALU19" s="4"/>
      <c r="ALV19" s="4"/>
      <c r="ALW19" s="4"/>
      <c r="ALX19" s="4"/>
      <c r="ALY19" s="4"/>
      <c r="ALZ19" s="4"/>
      <c r="AMA19" s="4"/>
      <c r="AMB19" s="4"/>
      <c r="AMC19" s="4"/>
      <c r="AMD19" s="4"/>
      <c r="AME19" s="4"/>
      <c r="AMF19" s="4"/>
      <c r="AMG19" s="4"/>
      <c r="AMH19" s="4"/>
      <c r="AMI19" s="4"/>
      <c r="AMJ19" s="4"/>
      <c r="AMK19" s="4"/>
      <c r="AML19" s="4"/>
      <c r="AMM19" s="4"/>
      <c r="AMN19" s="4"/>
      <c r="AMO19" s="4"/>
      <c r="AMP19" s="4"/>
      <c r="AMQ19" s="4"/>
      <c r="AMR19" s="4"/>
      <c r="AMS19" s="4"/>
      <c r="AMT19" s="4"/>
      <c r="AMU19" s="4"/>
      <c r="AMV19" s="4"/>
      <c r="AMW19" s="4"/>
      <c r="AMX19" s="4"/>
      <c r="AMY19" s="4"/>
      <c r="AMZ19" s="4"/>
      <c r="ANA19" s="4"/>
      <c r="ANB19" s="4"/>
      <c r="ANC19" s="4"/>
      <c r="AND19" s="4"/>
      <c r="ANE19" s="4"/>
      <c r="ANF19" s="4"/>
      <c r="ANG19" s="4"/>
      <c r="ANH19" s="4"/>
      <c r="ANI19" s="4"/>
      <c r="ANJ19" s="4"/>
      <c r="ANK19" s="4"/>
      <c r="ANL19" s="4"/>
      <c r="ANM19" s="4"/>
      <c r="ANN19" s="4"/>
      <c r="ANO19" s="4"/>
      <c r="ANP19" s="4"/>
      <c r="ANQ19" s="4"/>
      <c r="ANR19" s="4"/>
      <c r="ANS19" s="4"/>
      <c r="ANT19" s="4"/>
      <c r="ANU19" s="4"/>
      <c r="ANV19" s="4"/>
      <c r="ANW19" s="4"/>
      <c r="ANX19" s="4"/>
      <c r="ANY19" s="4"/>
      <c r="ANZ19" s="4"/>
      <c r="AOA19" s="4"/>
      <c r="AOB19" s="4"/>
      <c r="AOC19" s="4"/>
      <c r="AOD19" s="4"/>
      <c r="AOE19" s="4"/>
      <c r="AOF19" s="4"/>
      <c r="AOG19" s="4"/>
      <c r="AOH19" s="4"/>
      <c r="AOI19" s="4"/>
      <c r="AOJ19" s="4"/>
      <c r="AOK19" s="4"/>
      <c r="AOL19" s="4"/>
      <c r="AOM19" s="4"/>
      <c r="AON19" s="4"/>
      <c r="AOO19" s="4"/>
      <c r="AOP19" s="4"/>
      <c r="AOQ19" s="4"/>
      <c r="AOR19" s="4"/>
      <c r="AOS19" s="4"/>
      <c r="AOT19" s="4"/>
      <c r="AOU19" s="4"/>
      <c r="AOV19" s="4"/>
      <c r="AOW19" s="4"/>
      <c r="AOX19" s="4"/>
      <c r="AOY19" s="4"/>
      <c r="AOZ19" s="4"/>
      <c r="APA19" s="4"/>
      <c r="APB19" s="4"/>
      <c r="APC19" s="4"/>
      <c r="APD19" s="4"/>
      <c r="APE19" s="4"/>
      <c r="APF19" s="4"/>
      <c r="APG19" s="4"/>
      <c r="APH19" s="4"/>
      <c r="API19" s="4"/>
      <c r="APJ19" s="4"/>
      <c r="APK19" s="4"/>
      <c r="APL19" s="4"/>
      <c r="APM19" s="4"/>
      <c r="APN19" s="4"/>
      <c r="APO19" s="4"/>
      <c r="APP19" s="4"/>
      <c r="APQ19" s="4"/>
      <c r="APR19" s="4"/>
      <c r="APS19" s="4"/>
      <c r="APT19" s="4"/>
      <c r="APU19" s="4"/>
      <c r="APV19" s="4"/>
      <c r="APW19" s="4"/>
      <c r="APX19" s="4"/>
      <c r="APY19" s="4"/>
      <c r="APZ19" s="4"/>
      <c r="AQA19" s="4"/>
      <c r="AQB19" s="4"/>
      <c r="AQC19" s="4"/>
      <c r="AQD19" s="4"/>
      <c r="AQE19" s="4"/>
      <c r="AQF19" s="4"/>
      <c r="AQG19" s="4"/>
      <c r="AQH19" s="4"/>
      <c r="AQI19" s="4"/>
      <c r="AQJ19" s="4"/>
      <c r="AQK19" s="4"/>
      <c r="AQL19" s="4"/>
      <c r="AQM19" s="4"/>
      <c r="AQN19" s="4"/>
      <c r="AQO19" s="4"/>
      <c r="AQP19" s="4"/>
      <c r="AQQ19" s="4"/>
      <c r="AQR19" s="4"/>
      <c r="AQS19" s="4"/>
      <c r="AQT19" s="4"/>
      <c r="AQU19" s="4"/>
      <c r="AQV19" s="4"/>
      <c r="AQW19" s="4"/>
      <c r="AQX19" s="4"/>
      <c r="AQY19" s="4"/>
      <c r="AQZ19" s="4"/>
      <c r="ARA19" s="4"/>
      <c r="ARB19" s="4"/>
      <c r="ARC19" s="4"/>
      <c r="ARD19" s="4"/>
      <c r="ARE19" s="4"/>
      <c r="ARF19" s="4"/>
      <c r="ARG19" s="4"/>
      <c r="ARH19" s="4"/>
      <c r="ARI19" s="4"/>
      <c r="ARJ19" s="4"/>
      <c r="ARK19" s="4"/>
      <c r="ARL19" s="4"/>
      <c r="ARM19" s="4"/>
      <c r="ARN19" s="4"/>
      <c r="ARO19" s="4"/>
      <c r="ARP19" s="4"/>
      <c r="ARQ19" s="4"/>
      <c r="ARR19" s="4"/>
      <c r="ARS19" s="4"/>
      <c r="ART19" s="4"/>
      <c r="ARU19" s="4"/>
      <c r="ARV19" s="4"/>
      <c r="ARW19" s="4"/>
      <c r="ARX19" s="4"/>
      <c r="ARY19" s="4"/>
      <c r="ARZ19" s="4"/>
      <c r="ASA19" s="4"/>
      <c r="ASB19" s="4"/>
      <c r="ASC19" s="4"/>
      <c r="ASD19" s="4"/>
      <c r="ASE19" s="4"/>
      <c r="ASF19" s="4"/>
      <c r="ASG19" s="4"/>
      <c r="ASH19" s="4"/>
      <c r="ASI19" s="4"/>
      <c r="ASJ19" s="4"/>
      <c r="ASK19" s="4"/>
      <c r="ASL19" s="4"/>
      <c r="ASM19" s="4"/>
      <c r="ASN19" s="4"/>
      <c r="ASO19" s="4"/>
      <c r="ASP19" s="4"/>
      <c r="ASQ19" s="4"/>
      <c r="ASR19" s="4"/>
      <c r="ASS19" s="4"/>
      <c r="AST19" s="4"/>
      <c r="ASU19" s="4"/>
      <c r="ASV19" s="4"/>
      <c r="ASW19" s="4"/>
      <c r="ASX19" s="4"/>
      <c r="ASY19" s="4"/>
      <c r="ASZ19" s="4"/>
      <c r="ATA19" s="4"/>
      <c r="ATB19" s="4"/>
      <c r="ATC19" s="4"/>
      <c r="ATD19" s="4"/>
      <c r="ATE19" s="4"/>
      <c r="ATF19" s="4"/>
      <c r="ATG19" s="4"/>
      <c r="ATH19" s="4"/>
      <c r="ATI19" s="4"/>
      <c r="ATJ19" s="4"/>
      <c r="ATK19" s="4"/>
      <c r="ATL19" s="4"/>
      <c r="ATM19" s="4"/>
      <c r="ATN19" s="4"/>
      <c r="ATO19" s="4"/>
      <c r="ATP19" s="4"/>
      <c r="ATQ19" s="4"/>
      <c r="ATR19" s="4"/>
      <c r="ATS19" s="4"/>
      <c r="ATT19" s="4"/>
      <c r="ATU19" s="4"/>
      <c r="ATV19" s="4"/>
      <c r="ATW19" s="4"/>
      <c r="ATX19" s="4"/>
      <c r="ATY19" s="4"/>
      <c r="ATZ19" s="4"/>
      <c r="AUA19" s="4"/>
      <c r="AUB19" s="4"/>
      <c r="AUC19" s="4"/>
      <c r="AUD19" s="4"/>
      <c r="AUE19" s="4"/>
      <c r="AUF19" s="4"/>
      <c r="AUG19" s="4"/>
      <c r="AUH19" s="4"/>
      <c r="AUI19" s="4"/>
      <c r="AUJ19" s="4"/>
      <c r="AUK19" s="4"/>
      <c r="AUL19" s="4"/>
      <c r="AUM19" s="4"/>
      <c r="AUN19" s="4"/>
      <c r="AUO19" s="4"/>
      <c r="AUP19" s="4"/>
      <c r="AUQ19" s="4"/>
      <c r="AUR19" s="4"/>
      <c r="AUS19" s="4"/>
      <c r="AUT19" s="4"/>
      <c r="AUU19" s="4"/>
      <c r="AUV19" s="4"/>
      <c r="AUW19" s="4"/>
      <c r="AUX19" s="4"/>
      <c r="AUY19" s="4"/>
      <c r="AUZ19" s="4"/>
      <c r="AVA19" s="4"/>
      <c r="AVB19" s="4"/>
      <c r="AVC19" s="4"/>
      <c r="AVD19" s="4"/>
      <c r="AVE19" s="4"/>
      <c r="AVF19" s="4"/>
      <c r="AVG19" s="4"/>
      <c r="AVH19" s="4"/>
      <c r="AVI19" s="4"/>
      <c r="AVJ19" s="4"/>
      <c r="AVK19" s="4"/>
      <c r="AVL19" s="4"/>
      <c r="AVM19" s="4"/>
      <c r="AVN19" s="4"/>
      <c r="AVO19" s="4"/>
      <c r="AVP19" s="4"/>
      <c r="AVQ19" s="4"/>
      <c r="AVR19" s="4"/>
      <c r="AVS19" s="4"/>
      <c r="AVT19" s="4"/>
      <c r="AVU19" s="4"/>
      <c r="AVV19" s="4"/>
      <c r="AVW19" s="4"/>
      <c r="AVX19" s="4"/>
      <c r="AVY19" s="4"/>
      <c r="AVZ19" s="4"/>
      <c r="AWA19" s="4"/>
      <c r="AWB19" s="4"/>
      <c r="AWC19" s="4"/>
      <c r="AWD19" s="4"/>
      <c r="AWE19" s="4"/>
      <c r="AWF19" s="4"/>
      <c r="AWG19" s="4"/>
      <c r="AWH19" s="4"/>
      <c r="AWI19" s="4"/>
      <c r="AWJ19" s="4"/>
      <c r="AWK19" s="4"/>
      <c r="AWL19" s="4"/>
      <c r="AWM19" s="4"/>
      <c r="AWN19" s="4"/>
      <c r="AWO19" s="4"/>
      <c r="AWP19" s="4"/>
      <c r="AWQ19" s="4"/>
      <c r="AWR19" s="4"/>
      <c r="AWS19" s="4"/>
      <c r="AWT19" s="4"/>
      <c r="AWU19" s="4"/>
      <c r="AWV19" s="4"/>
      <c r="AWW19" s="4"/>
      <c r="AWX19" s="4"/>
      <c r="AWY19" s="4"/>
      <c r="AWZ19" s="4"/>
      <c r="AXA19" s="4"/>
      <c r="AXB19" s="4"/>
      <c r="AXC19" s="4"/>
      <c r="AXD19" s="4"/>
      <c r="AXE19" s="4"/>
      <c r="AXF19" s="4"/>
      <c r="AXG19" s="4"/>
      <c r="AXH19" s="4"/>
      <c r="AXI19" s="4"/>
      <c r="AXJ19" s="4"/>
      <c r="AXK19" s="4"/>
      <c r="AXL19" s="4"/>
      <c r="AXM19" s="4"/>
      <c r="AXN19" s="4"/>
      <c r="AXO19" s="4"/>
      <c r="AXP19" s="4"/>
      <c r="AXQ19" s="4"/>
      <c r="AXR19" s="4"/>
      <c r="AXS19" s="4"/>
      <c r="AXT19" s="4"/>
      <c r="AXU19" s="4"/>
      <c r="AXV19" s="4"/>
      <c r="AXW19" s="4"/>
      <c r="AXX19" s="4"/>
      <c r="AXY19" s="4"/>
      <c r="AXZ19" s="4"/>
      <c r="AYA19" s="4"/>
      <c r="AYB19" s="4"/>
      <c r="AYC19" s="4"/>
      <c r="AYD19" s="4"/>
      <c r="AYE19" s="4"/>
      <c r="AYF19" s="4"/>
      <c r="AYG19" s="4"/>
      <c r="AYH19" s="4"/>
      <c r="AYI19" s="4"/>
      <c r="AYJ19" s="4"/>
      <c r="AYK19" s="4"/>
      <c r="AYL19" s="4"/>
      <c r="AYM19" s="4"/>
      <c r="AYN19" s="4"/>
      <c r="AYO19" s="4"/>
      <c r="AYP19" s="4"/>
      <c r="AYQ19" s="4"/>
      <c r="AYR19" s="4"/>
      <c r="AYS19" s="4"/>
      <c r="AYT19" s="4"/>
      <c r="AYU19" s="4"/>
      <c r="AYV19" s="4"/>
      <c r="AYW19" s="4"/>
      <c r="AYX19" s="4"/>
      <c r="AYY19" s="4"/>
      <c r="AYZ19" s="4"/>
      <c r="AZA19" s="4"/>
      <c r="AZB19" s="4"/>
      <c r="AZC19" s="4"/>
      <c r="AZD19" s="4"/>
      <c r="AZE19" s="4"/>
      <c r="AZF19" s="4"/>
      <c r="AZG19" s="4"/>
      <c r="AZH19" s="4"/>
      <c r="AZI19" s="4"/>
      <c r="AZJ19" s="4"/>
      <c r="AZK19" s="4"/>
      <c r="AZL19" s="4"/>
      <c r="AZM19" s="4"/>
      <c r="AZN19" s="4"/>
      <c r="AZO19" s="4"/>
      <c r="AZP19" s="4"/>
      <c r="AZQ19" s="4"/>
      <c r="AZR19" s="4"/>
      <c r="AZS19" s="4"/>
      <c r="AZT19" s="4"/>
      <c r="AZU19" s="4"/>
      <c r="AZV19" s="4"/>
      <c r="AZW19" s="4"/>
      <c r="AZX19" s="4"/>
      <c r="AZY19" s="4"/>
      <c r="AZZ19" s="4"/>
      <c r="BAA19" s="4"/>
      <c r="BAB19" s="4"/>
      <c r="BAC19" s="4"/>
      <c r="BAD19" s="4"/>
      <c r="BAE19" s="4"/>
      <c r="BAF19" s="4"/>
      <c r="BAG19" s="4"/>
      <c r="BAH19" s="4"/>
      <c r="BAI19" s="4"/>
      <c r="BAJ19" s="4"/>
      <c r="BAK19" s="4"/>
      <c r="BAL19" s="4"/>
      <c r="BAM19" s="4"/>
      <c r="BAN19" s="4"/>
      <c r="BAO19" s="4"/>
      <c r="BAP19" s="4"/>
      <c r="BAQ19" s="4"/>
      <c r="BAR19" s="4"/>
      <c r="BAS19" s="4"/>
      <c r="BAT19" s="4"/>
      <c r="BAU19" s="4"/>
      <c r="BAV19" s="4"/>
      <c r="BAW19" s="4"/>
      <c r="BAX19" s="4"/>
      <c r="BAY19" s="4"/>
      <c r="BAZ19" s="4"/>
      <c r="BBA19" s="4"/>
      <c r="BBB19" s="4"/>
      <c r="BBC19" s="4"/>
      <c r="BBD19" s="4"/>
      <c r="BBE19" s="4"/>
      <c r="BBF19" s="4"/>
      <c r="BBG19" s="4"/>
      <c r="BBH19" s="4"/>
      <c r="BBI19" s="4"/>
      <c r="BBJ19" s="4"/>
      <c r="BBK19" s="4"/>
      <c r="BBL19" s="4"/>
      <c r="BBM19" s="4"/>
      <c r="BBN19" s="4"/>
      <c r="BBO19" s="4"/>
      <c r="BBP19" s="4"/>
      <c r="BBQ19" s="4"/>
      <c r="BBR19" s="4"/>
      <c r="BBS19" s="4"/>
      <c r="BBT19" s="4"/>
      <c r="BBU19" s="4"/>
      <c r="BBV19" s="4"/>
      <c r="BBW19" s="4"/>
      <c r="BBX19" s="4"/>
      <c r="BBY19" s="4"/>
      <c r="BBZ19" s="4"/>
      <c r="BCA19" s="4"/>
      <c r="BCB19" s="4"/>
      <c r="BCC19" s="4"/>
      <c r="BCD19" s="4"/>
      <c r="BCE19" s="4"/>
      <c r="BCF19" s="4"/>
      <c r="BCG19" s="4"/>
      <c r="BCH19" s="4"/>
      <c r="BCI19" s="4"/>
      <c r="BCJ19" s="4"/>
      <c r="BCK19" s="4"/>
      <c r="BCL19" s="4"/>
      <c r="BCM19" s="4"/>
      <c r="BCN19" s="4"/>
      <c r="BCO19" s="4"/>
      <c r="BCP19" s="4"/>
      <c r="BCQ19" s="4"/>
      <c r="BCR19" s="4"/>
      <c r="BCS19" s="4"/>
      <c r="BCT19" s="4"/>
      <c r="BCU19" s="4"/>
      <c r="BCV19" s="4"/>
      <c r="BCW19" s="4"/>
      <c r="BCX19" s="4"/>
      <c r="BCY19" s="4"/>
      <c r="BCZ19" s="4"/>
      <c r="BDA19" s="4"/>
      <c r="BDB19" s="4"/>
      <c r="BDC19" s="4"/>
      <c r="BDD19" s="4"/>
      <c r="BDE19" s="4"/>
      <c r="BDF19" s="4"/>
      <c r="BDG19" s="4"/>
      <c r="BDH19" s="4"/>
      <c r="BDI19" s="4"/>
      <c r="BDJ19" s="4"/>
      <c r="BDK19" s="4"/>
      <c r="BDL19" s="4"/>
      <c r="BDM19" s="4"/>
      <c r="BDN19" s="4"/>
      <c r="BDO19" s="4"/>
      <c r="BDP19" s="4"/>
      <c r="BDQ19" s="4"/>
      <c r="BDR19" s="4"/>
      <c r="BDS19" s="4"/>
      <c r="BDT19" s="4"/>
      <c r="BDU19" s="4"/>
      <c r="BDV19" s="4"/>
      <c r="BDW19" s="4"/>
      <c r="BDX19" s="4"/>
      <c r="BDY19" s="4"/>
      <c r="BDZ19" s="4"/>
      <c r="BEA19" s="4"/>
      <c r="BEB19" s="4"/>
      <c r="BEC19" s="4"/>
      <c r="BED19" s="4"/>
      <c r="BEE19" s="4"/>
      <c r="BEF19" s="4"/>
      <c r="BEG19" s="4"/>
      <c r="BEH19" s="4"/>
      <c r="BEI19" s="4"/>
      <c r="BEJ19" s="4"/>
      <c r="BEK19" s="4"/>
      <c r="BEL19" s="4"/>
      <c r="BEM19" s="4"/>
      <c r="BEN19" s="4"/>
      <c r="BEO19" s="4"/>
      <c r="BEP19" s="4"/>
      <c r="BEQ19" s="4"/>
      <c r="BER19" s="4"/>
      <c r="BES19" s="4"/>
      <c r="BET19" s="4"/>
      <c r="BEU19" s="4"/>
      <c r="BEV19" s="4"/>
      <c r="BEW19" s="4"/>
      <c r="BEX19" s="4"/>
      <c r="BEY19" s="4"/>
      <c r="BEZ19" s="4"/>
      <c r="BFA19" s="4"/>
      <c r="BFB19" s="4"/>
      <c r="BFC19" s="4"/>
      <c r="BFD19" s="4"/>
      <c r="BFE19" s="4"/>
      <c r="BFF19" s="4"/>
      <c r="BFG19" s="4"/>
      <c r="BFH19" s="4"/>
      <c r="BFI19" s="4"/>
      <c r="BFJ19" s="4"/>
      <c r="BFK19" s="4"/>
      <c r="BFL19" s="4"/>
      <c r="BFM19" s="4"/>
      <c r="BFN19" s="4"/>
      <c r="BFO19" s="4"/>
      <c r="BFP19" s="4"/>
      <c r="BFQ19" s="4"/>
      <c r="BFR19" s="4"/>
      <c r="BFS19" s="4"/>
      <c r="BFT19" s="4"/>
      <c r="BFU19" s="4"/>
      <c r="BFV19" s="4"/>
      <c r="BFW19" s="4"/>
      <c r="BFX19" s="4"/>
      <c r="BFY19" s="4"/>
      <c r="BFZ19" s="4"/>
      <c r="BGA19" s="4"/>
      <c r="BGB19" s="4"/>
      <c r="BGC19" s="4"/>
      <c r="BGD19" s="4"/>
      <c r="BGE19" s="4"/>
      <c r="BGF19" s="4"/>
      <c r="BGG19" s="4"/>
      <c r="BGH19" s="4"/>
      <c r="BGI19" s="4"/>
      <c r="BGJ19" s="4"/>
      <c r="BGK19" s="4"/>
      <c r="BGL19" s="4"/>
      <c r="BGM19" s="4"/>
      <c r="BGN19" s="4"/>
      <c r="BGO19" s="4"/>
      <c r="BGP19" s="4"/>
      <c r="BGQ19" s="4"/>
      <c r="BGR19" s="4"/>
      <c r="BGS19" s="4"/>
      <c r="BGT19" s="4"/>
      <c r="BGU19" s="4"/>
      <c r="BGV19" s="4"/>
      <c r="BGW19" s="4"/>
      <c r="BGX19" s="4"/>
      <c r="BGY19" s="4"/>
      <c r="BGZ19" s="4"/>
      <c r="BHA19" s="4"/>
      <c r="BHB19" s="4"/>
      <c r="BHC19" s="4"/>
      <c r="BHD19" s="4"/>
      <c r="BHE19" s="4"/>
      <c r="BHF19" s="4"/>
      <c r="BHG19" s="4"/>
      <c r="BHH19" s="4"/>
      <c r="BHI19" s="4"/>
      <c r="BHJ19" s="4"/>
      <c r="BHK19" s="4"/>
      <c r="BHL19" s="4"/>
      <c r="BHM19" s="4"/>
      <c r="BHN19" s="4"/>
      <c r="BHO19" s="4"/>
      <c r="BHP19" s="4"/>
      <c r="BHQ19" s="4"/>
      <c r="BHR19" s="4"/>
      <c r="BHS19" s="4"/>
      <c r="BHT19" s="4"/>
      <c r="BHU19" s="4"/>
      <c r="BHV19" s="4"/>
      <c r="BHW19" s="4"/>
      <c r="BHX19" s="4"/>
      <c r="BHY19" s="4"/>
      <c r="BHZ19" s="4"/>
      <c r="BIA19" s="4"/>
      <c r="BIB19" s="4"/>
      <c r="BIC19" s="4"/>
      <c r="BID19" s="4"/>
      <c r="BIE19" s="4"/>
      <c r="BIF19" s="4"/>
      <c r="BIG19" s="4"/>
      <c r="BIH19" s="4"/>
      <c r="BII19" s="4"/>
      <c r="BIJ19" s="4"/>
      <c r="BIK19" s="4"/>
      <c r="BIL19" s="4"/>
      <c r="BIM19" s="4"/>
      <c r="BIN19" s="4"/>
      <c r="BIO19" s="4"/>
      <c r="BIP19" s="4"/>
      <c r="BIQ19" s="4"/>
      <c r="BIR19" s="4"/>
      <c r="BIS19" s="4"/>
      <c r="BIT19" s="4"/>
      <c r="BIU19" s="4"/>
      <c r="BIV19" s="4"/>
      <c r="BIW19" s="4"/>
      <c r="BIX19" s="4"/>
      <c r="BIY19" s="4"/>
      <c r="BIZ19" s="4"/>
      <c r="BJA19" s="4"/>
      <c r="BJB19" s="4"/>
      <c r="BJC19" s="4"/>
      <c r="BJD19" s="4"/>
      <c r="BJE19" s="4"/>
      <c r="BJF19" s="4"/>
      <c r="BJG19" s="4"/>
      <c r="BJH19" s="4"/>
      <c r="BJI19" s="4"/>
      <c r="BJJ19" s="4"/>
      <c r="BJK19" s="4"/>
      <c r="BJL19" s="4"/>
      <c r="BJM19" s="4"/>
      <c r="BJN19" s="4"/>
      <c r="BJO19" s="4"/>
      <c r="BJP19" s="4"/>
      <c r="BJQ19" s="4"/>
      <c r="BJR19" s="4"/>
      <c r="BJS19" s="4"/>
      <c r="BJT19" s="4"/>
      <c r="BJU19" s="4"/>
      <c r="BJV19" s="4"/>
      <c r="BJW19" s="4"/>
      <c r="BJX19" s="4"/>
      <c r="BJY19" s="4"/>
      <c r="BJZ19" s="4"/>
      <c r="BKA19" s="4"/>
      <c r="BKB19" s="4"/>
      <c r="BKC19" s="4"/>
      <c r="BKD19" s="4"/>
      <c r="BKE19" s="4"/>
      <c r="BKF19" s="4"/>
      <c r="BKG19" s="4"/>
      <c r="BKH19" s="4"/>
      <c r="BKI19" s="4"/>
      <c r="BKJ19" s="4"/>
      <c r="BKK19" s="4"/>
      <c r="BKL19" s="4"/>
      <c r="BKM19" s="4"/>
      <c r="BKN19" s="4"/>
      <c r="BKO19" s="4"/>
      <c r="BKP19" s="4"/>
      <c r="BKQ19" s="4"/>
      <c r="BKR19" s="4"/>
      <c r="BKS19" s="4"/>
      <c r="BKT19" s="4"/>
      <c r="BKU19" s="4"/>
      <c r="BKV19" s="4"/>
      <c r="BKW19" s="4"/>
      <c r="BKX19" s="4"/>
      <c r="BKY19" s="4"/>
      <c r="BKZ19" s="4"/>
      <c r="BLA19" s="4"/>
      <c r="BLB19" s="4"/>
      <c r="BLC19" s="4"/>
      <c r="BLD19" s="4"/>
      <c r="BLE19" s="4"/>
      <c r="BLF19" s="4"/>
      <c r="BLG19" s="4"/>
      <c r="BLH19" s="4"/>
      <c r="BLI19" s="4"/>
      <c r="BLJ19" s="4"/>
      <c r="BLK19" s="4"/>
      <c r="BLL19" s="4"/>
      <c r="BLM19" s="4"/>
      <c r="BLN19" s="4"/>
      <c r="BLO19" s="4"/>
      <c r="BLP19" s="4"/>
      <c r="BLQ19" s="4"/>
      <c r="BLR19" s="4"/>
      <c r="BLS19" s="4"/>
      <c r="BLT19" s="4"/>
      <c r="BLU19" s="4"/>
      <c r="BLV19" s="4"/>
      <c r="BLW19" s="4"/>
      <c r="BLX19" s="4"/>
      <c r="BLY19" s="4"/>
      <c r="BLZ19" s="4"/>
      <c r="BMA19" s="4"/>
      <c r="BMB19" s="4"/>
      <c r="BMC19" s="4"/>
      <c r="BMD19" s="4"/>
      <c r="BME19" s="4"/>
      <c r="BMF19" s="4"/>
      <c r="BMG19" s="4"/>
      <c r="BMH19" s="4"/>
      <c r="BMI19" s="4"/>
      <c r="BMJ19" s="4"/>
      <c r="BMK19" s="4"/>
      <c r="BML19" s="4"/>
      <c r="BMM19" s="4"/>
      <c r="BMN19" s="4"/>
      <c r="BMO19" s="4"/>
      <c r="BMP19" s="4"/>
      <c r="BMQ19" s="4"/>
      <c r="BMR19" s="4"/>
      <c r="BMS19" s="4"/>
      <c r="BMT19" s="4"/>
      <c r="BMU19" s="4"/>
      <c r="BMV19" s="4"/>
      <c r="BMW19" s="4"/>
      <c r="BMX19" s="4"/>
      <c r="BMY19" s="4"/>
      <c r="BMZ19" s="4"/>
      <c r="BNA19" s="4"/>
      <c r="BNB19" s="4"/>
      <c r="BNC19" s="4"/>
      <c r="BND19" s="4"/>
      <c r="BNE19" s="4"/>
      <c r="BNF19" s="4"/>
      <c r="BNG19" s="4"/>
      <c r="BNH19" s="4"/>
      <c r="BNI19" s="4"/>
      <c r="BNJ19" s="4"/>
      <c r="BNK19" s="4"/>
      <c r="BNL19" s="4"/>
      <c r="BNM19" s="4"/>
      <c r="BNN19" s="4"/>
      <c r="BNO19" s="4"/>
      <c r="BNP19" s="4"/>
      <c r="BNQ19" s="4"/>
      <c r="BNR19" s="4"/>
      <c r="BNS19" s="4"/>
      <c r="BNT19" s="4"/>
      <c r="BNU19" s="4"/>
      <c r="BNV19" s="4"/>
      <c r="BNW19" s="4"/>
      <c r="BNX19" s="4"/>
      <c r="BNY19" s="4"/>
      <c r="BNZ19" s="4"/>
      <c r="BOA19" s="4"/>
      <c r="BOB19" s="4"/>
      <c r="BOC19" s="4"/>
      <c r="BOD19" s="4"/>
      <c r="BOE19" s="4"/>
      <c r="BOF19" s="4"/>
      <c r="BOG19" s="4"/>
      <c r="BOH19" s="4"/>
      <c r="BOI19" s="4"/>
      <c r="BOJ19" s="4"/>
      <c r="BOK19" s="4"/>
      <c r="BOL19" s="4"/>
      <c r="BOM19" s="4"/>
      <c r="BON19" s="4"/>
      <c r="BOO19" s="4"/>
      <c r="BOP19" s="4"/>
      <c r="BOQ19" s="4"/>
      <c r="BOR19" s="4"/>
      <c r="BOS19" s="4"/>
      <c r="BOT19" s="4"/>
      <c r="BOU19" s="4"/>
      <c r="BOV19" s="4"/>
      <c r="BOW19" s="4"/>
      <c r="BOX19" s="4"/>
      <c r="BOY19" s="4"/>
      <c r="BOZ19" s="4"/>
      <c r="BPA19" s="4"/>
      <c r="BPB19" s="4"/>
      <c r="BPC19" s="60"/>
    </row>
    <row r="20" s="5" customFormat="1" ht="60" customHeight="1" spans="1:1024 1025:1771">
      <c r="A20" s="359" t="s">
        <v>72</v>
      </c>
      <c r="B20" s="356" t="s">
        <v>73</v>
      </c>
      <c r="C20" s="356" t="s">
        <v>74</v>
      </c>
      <c r="D20" s="356" t="s">
        <v>75</v>
      </c>
      <c r="E20" s="356"/>
      <c r="F20" s="356"/>
      <c r="G20" s="360"/>
      <c r="H20" s="357">
        <f t="shared" si="0"/>
        <v>46161</v>
      </c>
      <c r="I20" s="361" t="s">
        <v>7</v>
      </c>
      <c r="J20" s="360"/>
      <c r="L20" s="5" t="s">
        <v>43</v>
      </c>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c r="AGL20" s="4"/>
      <c r="AGM20" s="4"/>
      <c r="AGN20" s="4"/>
      <c r="AGO20" s="4"/>
      <c r="AGP20" s="4"/>
      <c r="AGQ20" s="4"/>
      <c r="AGR20" s="4"/>
      <c r="AGS20" s="4"/>
      <c r="AGT20" s="4"/>
      <c r="AGU20" s="4"/>
      <c r="AGV20" s="4"/>
      <c r="AGW20" s="4"/>
      <c r="AGX20" s="4"/>
      <c r="AGY20" s="4"/>
      <c r="AGZ20" s="4"/>
      <c r="AHA20" s="4"/>
      <c r="AHB20" s="4"/>
      <c r="AHC20" s="4"/>
      <c r="AHD20" s="4"/>
      <c r="AHE20" s="4"/>
      <c r="AHF20" s="4"/>
      <c r="AHG20" s="4"/>
      <c r="AHH20" s="4"/>
      <c r="AHI20" s="4"/>
      <c r="AHJ20" s="4"/>
      <c r="AHK20" s="4"/>
      <c r="AHL20" s="4"/>
      <c r="AHM20" s="4"/>
      <c r="AHN20" s="4"/>
      <c r="AHO20" s="4"/>
      <c r="AHP20" s="4"/>
      <c r="AHQ20" s="4"/>
      <c r="AHR20" s="4"/>
      <c r="AHS20" s="4"/>
      <c r="AHT20" s="4"/>
      <c r="AHU20" s="4"/>
      <c r="AHV20" s="4"/>
      <c r="AHW20" s="4"/>
      <c r="AHX20" s="4"/>
      <c r="AHY20" s="4"/>
      <c r="AHZ20" s="4"/>
      <c r="AIA20" s="4"/>
      <c r="AIB20" s="4"/>
      <c r="AIC20" s="4"/>
      <c r="AID20" s="4"/>
      <c r="AIE20" s="4"/>
      <c r="AIF20" s="4"/>
      <c r="AIG20" s="4"/>
      <c r="AIH20" s="4"/>
      <c r="AII20" s="4"/>
      <c r="AIJ20" s="4"/>
      <c r="AIK20" s="4"/>
      <c r="AIL20" s="4"/>
      <c r="AIM20" s="4"/>
      <c r="AIN20" s="4"/>
      <c r="AIO20" s="4"/>
      <c r="AIP20" s="4"/>
      <c r="AIQ20" s="4"/>
      <c r="AIR20" s="4"/>
      <c r="AIS20" s="4"/>
      <c r="AIT20" s="4"/>
      <c r="AIU20" s="4"/>
      <c r="AIV20" s="4"/>
      <c r="AIW20" s="4"/>
      <c r="AIX20" s="4"/>
      <c r="AIY20" s="4"/>
      <c r="AIZ20" s="4"/>
      <c r="AJA20" s="4"/>
      <c r="AJB20" s="4"/>
      <c r="AJC20" s="4"/>
      <c r="AJD20" s="4"/>
      <c r="AJE20" s="4"/>
      <c r="AJF20" s="4"/>
      <c r="AJG20" s="4"/>
      <c r="AJH20" s="4"/>
      <c r="AJI20" s="4"/>
      <c r="AJJ20" s="4"/>
      <c r="AJK20" s="4"/>
      <c r="AJL20" s="4"/>
      <c r="AJM20" s="4"/>
      <c r="AJN20" s="4"/>
      <c r="AJO20" s="4"/>
      <c r="AJP20" s="4"/>
      <c r="AJQ20" s="4"/>
      <c r="AJR20" s="4"/>
      <c r="AJS20" s="4"/>
      <c r="AJT20" s="4"/>
      <c r="AJU20" s="4"/>
      <c r="AJV20" s="4"/>
      <c r="AJW20" s="4"/>
      <c r="AJX20" s="4"/>
      <c r="AJY20" s="4"/>
      <c r="AJZ20" s="4"/>
      <c r="AKA20" s="4"/>
      <c r="AKB20" s="4"/>
      <c r="AKC20" s="4"/>
      <c r="AKD20" s="4"/>
      <c r="AKE20" s="4"/>
      <c r="AKF20" s="4"/>
      <c r="AKG20" s="4"/>
      <c r="AKH20" s="4"/>
      <c r="AKI20" s="4"/>
      <c r="AKJ20" s="4"/>
      <c r="AKK20" s="4"/>
      <c r="AKL20" s="4"/>
      <c r="AKM20" s="4"/>
      <c r="AKN20" s="4"/>
      <c r="AKO20" s="4"/>
      <c r="AKP20" s="4"/>
      <c r="AKQ20" s="4"/>
      <c r="AKR20" s="4"/>
      <c r="AKS20" s="4"/>
      <c r="AKT20" s="4"/>
      <c r="AKU20" s="4"/>
      <c r="AKV20" s="4"/>
      <c r="AKW20" s="4"/>
      <c r="AKX20" s="4"/>
      <c r="AKY20" s="4"/>
      <c r="AKZ20" s="4"/>
      <c r="ALA20" s="4"/>
      <c r="ALB20" s="4"/>
      <c r="ALC20" s="4"/>
      <c r="ALD20" s="4"/>
      <c r="ALE20" s="4"/>
      <c r="ALF20" s="4"/>
      <c r="ALG20" s="4"/>
      <c r="ALH20" s="4"/>
      <c r="ALI20" s="4"/>
      <c r="ALJ20" s="4"/>
      <c r="ALK20" s="4"/>
      <c r="ALL20" s="4"/>
      <c r="ALM20" s="4"/>
      <c r="ALN20" s="4"/>
      <c r="ALO20" s="4"/>
      <c r="ALP20" s="4"/>
      <c r="ALQ20" s="4"/>
      <c r="ALR20" s="4"/>
      <c r="ALS20" s="4"/>
      <c r="ALT20" s="4"/>
      <c r="ALU20" s="4"/>
      <c r="ALV20" s="4"/>
      <c r="ALW20" s="4"/>
      <c r="ALX20" s="4"/>
      <c r="ALY20" s="4"/>
      <c r="ALZ20" s="4"/>
      <c r="AMA20" s="4"/>
      <c r="AMB20" s="4"/>
      <c r="AMC20" s="4"/>
      <c r="AMD20" s="4"/>
      <c r="AME20" s="4"/>
      <c r="AMF20" s="4"/>
      <c r="AMG20" s="4"/>
      <c r="AMH20" s="4"/>
      <c r="AMI20" s="4"/>
      <c r="AMJ20" s="4"/>
      <c r="AMK20" s="4"/>
      <c r="AML20" s="4"/>
      <c r="AMM20" s="4"/>
      <c r="AMN20" s="4"/>
      <c r="AMO20" s="4"/>
      <c r="AMP20" s="4"/>
      <c r="AMQ20" s="4"/>
      <c r="AMR20" s="4"/>
      <c r="AMS20" s="4"/>
      <c r="AMT20" s="4"/>
      <c r="AMU20" s="4"/>
      <c r="AMV20" s="4"/>
      <c r="AMW20" s="4"/>
      <c r="AMX20" s="4"/>
      <c r="AMY20" s="4"/>
      <c r="AMZ20" s="4"/>
      <c r="ANA20" s="4"/>
      <c r="ANB20" s="4"/>
      <c r="ANC20" s="4"/>
      <c r="AND20" s="4"/>
      <c r="ANE20" s="4"/>
      <c r="ANF20" s="4"/>
      <c r="ANG20" s="4"/>
      <c r="ANH20" s="4"/>
      <c r="ANI20" s="4"/>
      <c r="ANJ20" s="4"/>
      <c r="ANK20" s="4"/>
      <c r="ANL20" s="4"/>
      <c r="ANM20" s="4"/>
      <c r="ANN20" s="4"/>
      <c r="ANO20" s="4"/>
      <c r="ANP20" s="4"/>
      <c r="ANQ20" s="4"/>
      <c r="ANR20" s="4"/>
      <c r="ANS20" s="4"/>
      <c r="ANT20" s="4"/>
      <c r="ANU20" s="4"/>
      <c r="ANV20" s="4"/>
      <c r="ANW20" s="4"/>
      <c r="ANX20" s="4"/>
      <c r="ANY20" s="4"/>
      <c r="ANZ20" s="4"/>
      <c r="AOA20" s="4"/>
      <c r="AOB20" s="4"/>
      <c r="AOC20" s="4"/>
      <c r="AOD20" s="4"/>
      <c r="AOE20" s="4"/>
      <c r="AOF20" s="4"/>
      <c r="AOG20" s="4"/>
      <c r="AOH20" s="4"/>
      <c r="AOI20" s="4"/>
      <c r="AOJ20" s="4"/>
      <c r="AOK20" s="4"/>
      <c r="AOL20" s="4"/>
      <c r="AOM20" s="4"/>
      <c r="AON20" s="4"/>
      <c r="AOO20" s="4"/>
      <c r="AOP20" s="4"/>
      <c r="AOQ20" s="4"/>
      <c r="AOR20" s="4"/>
      <c r="AOS20" s="4"/>
      <c r="AOT20" s="4"/>
      <c r="AOU20" s="4"/>
      <c r="AOV20" s="4"/>
      <c r="AOW20" s="4"/>
      <c r="AOX20" s="4"/>
      <c r="AOY20" s="4"/>
      <c r="AOZ20" s="4"/>
      <c r="APA20" s="4"/>
      <c r="APB20" s="4"/>
      <c r="APC20" s="4"/>
      <c r="APD20" s="4"/>
      <c r="APE20" s="4"/>
      <c r="APF20" s="4"/>
      <c r="APG20" s="4"/>
      <c r="APH20" s="4"/>
      <c r="API20" s="4"/>
      <c r="APJ20" s="4"/>
      <c r="APK20" s="4"/>
      <c r="APL20" s="4"/>
      <c r="APM20" s="4"/>
      <c r="APN20" s="4"/>
      <c r="APO20" s="4"/>
      <c r="APP20" s="4"/>
      <c r="APQ20" s="4"/>
      <c r="APR20" s="4"/>
      <c r="APS20" s="4"/>
      <c r="APT20" s="4"/>
      <c r="APU20" s="4"/>
      <c r="APV20" s="4"/>
      <c r="APW20" s="4"/>
      <c r="APX20" s="4"/>
      <c r="APY20" s="4"/>
      <c r="APZ20" s="4"/>
      <c r="AQA20" s="4"/>
      <c r="AQB20" s="4"/>
      <c r="AQC20" s="4"/>
      <c r="AQD20" s="4"/>
      <c r="AQE20" s="4"/>
      <c r="AQF20" s="4"/>
      <c r="AQG20" s="4"/>
      <c r="AQH20" s="4"/>
      <c r="AQI20" s="4"/>
      <c r="AQJ20" s="4"/>
      <c r="AQK20" s="4"/>
      <c r="AQL20" s="4"/>
      <c r="AQM20" s="4"/>
      <c r="AQN20" s="4"/>
      <c r="AQO20" s="4"/>
      <c r="AQP20" s="4"/>
      <c r="AQQ20" s="4"/>
      <c r="AQR20" s="4"/>
      <c r="AQS20" s="4"/>
      <c r="AQT20" s="4"/>
      <c r="AQU20" s="4"/>
      <c r="AQV20" s="4"/>
      <c r="AQW20" s="4"/>
      <c r="AQX20" s="4"/>
      <c r="AQY20" s="4"/>
      <c r="AQZ20" s="4"/>
      <c r="ARA20" s="4"/>
      <c r="ARB20" s="4"/>
      <c r="ARC20" s="4"/>
      <c r="ARD20" s="4"/>
      <c r="ARE20" s="4"/>
      <c r="ARF20" s="4"/>
      <c r="ARG20" s="4"/>
      <c r="ARH20" s="4"/>
      <c r="ARI20" s="4"/>
      <c r="ARJ20" s="4"/>
      <c r="ARK20" s="4"/>
      <c r="ARL20" s="4"/>
      <c r="ARM20" s="4"/>
      <c r="ARN20" s="4"/>
      <c r="ARO20" s="4"/>
      <c r="ARP20" s="4"/>
      <c r="ARQ20" s="4"/>
      <c r="ARR20" s="4"/>
      <c r="ARS20" s="4"/>
      <c r="ART20" s="4"/>
      <c r="ARU20" s="4"/>
      <c r="ARV20" s="4"/>
      <c r="ARW20" s="4"/>
      <c r="ARX20" s="4"/>
      <c r="ARY20" s="4"/>
      <c r="ARZ20" s="4"/>
      <c r="ASA20" s="4"/>
      <c r="ASB20" s="4"/>
      <c r="ASC20" s="4"/>
      <c r="ASD20" s="4"/>
      <c r="ASE20" s="4"/>
      <c r="ASF20" s="4"/>
      <c r="ASG20" s="4"/>
      <c r="ASH20" s="4"/>
      <c r="ASI20" s="4"/>
      <c r="ASJ20" s="4"/>
      <c r="ASK20" s="4"/>
      <c r="ASL20" s="4"/>
      <c r="ASM20" s="4"/>
      <c r="ASN20" s="4"/>
      <c r="ASO20" s="4"/>
      <c r="ASP20" s="4"/>
      <c r="ASQ20" s="4"/>
      <c r="ASR20" s="4"/>
      <c r="ASS20" s="4"/>
      <c r="AST20" s="4"/>
      <c r="ASU20" s="4"/>
      <c r="ASV20" s="4"/>
      <c r="ASW20" s="4"/>
      <c r="ASX20" s="4"/>
      <c r="ASY20" s="4"/>
      <c r="ASZ20" s="4"/>
      <c r="ATA20" s="4"/>
      <c r="ATB20" s="4"/>
      <c r="ATC20" s="4"/>
      <c r="ATD20" s="4"/>
      <c r="ATE20" s="4"/>
      <c r="ATF20" s="4"/>
      <c r="ATG20" s="4"/>
      <c r="ATH20" s="4"/>
      <c r="ATI20" s="4"/>
      <c r="ATJ20" s="4"/>
      <c r="ATK20" s="4"/>
      <c r="ATL20" s="4"/>
      <c r="ATM20" s="4"/>
      <c r="ATN20" s="4"/>
      <c r="ATO20" s="4"/>
      <c r="ATP20" s="4"/>
      <c r="ATQ20" s="4"/>
      <c r="ATR20" s="4"/>
      <c r="ATS20" s="4"/>
      <c r="ATT20" s="4"/>
      <c r="ATU20" s="4"/>
      <c r="ATV20" s="4"/>
      <c r="ATW20" s="4"/>
      <c r="ATX20" s="4"/>
      <c r="ATY20" s="4"/>
      <c r="ATZ20" s="4"/>
      <c r="AUA20" s="4"/>
      <c r="AUB20" s="4"/>
      <c r="AUC20" s="4"/>
      <c r="AUD20" s="4"/>
      <c r="AUE20" s="4"/>
      <c r="AUF20" s="4"/>
      <c r="AUG20" s="4"/>
      <c r="AUH20" s="4"/>
      <c r="AUI20" s="4"/>
      <c r="AUJ20" s="4"/>
      <c r="AUK20" s="4"/>
      <c r="AUL20" s="4"/>
      <c r="AUM20" s="4"/>
      <c r="AUN20" s="4"/>
      <c r="AUO20" s="4"/>
      <c r="AUP20" s="4"/>
      <c r="AUQ20" s="4"/>
      <c r="AUR20" s="4"/>
      <c r="AUS20" s="4"/>
      <c r="AUT20" s="4"/>
      <c r="AUU20" s="4"/>
      <c r="AUV20" s="4"/>
      <c r="AUW20" s="4"/>
      <c r="AUX20" s="4"/>
      <c r="AUY20" s="4"/>
      <c r="AUZ20" s="4"/>
      <c r="AVA20" s="4"/>
      <c r="AVB20" s="4"/>
      <c r="AVC20" s="4"/>
      <c r="AVD20" s="4"/>
      <c r="AVE20" s="4"/>
      <c r="AVF20" s="4"/>
      <c r="AVG20" s="4"/>
      <c r="AVH20" s="4"/>
      <c r="AVI20" s="4"/>
      <c r="AVJ20" s="4"/>
      <c r="AVK20" s="4"/>
      <c r="AVL20" s="4"/>
      <c r="AVM20" s="4"/>
      <c r="AVN20" s="4"/>
      <c r="AVO20" s="4"/>
      <c r="AVP20" s="4"/>
      <c r="AVQ20" s="4"/>
      <c r="AVR20" s="4"/>
      <c r="AVS20" s="4"/>
      <c r="AVT20" s="4"/>
      <c r="AVU20" s="4"/>
      <c r="AVV20" s="4"/>
      <c r="AVW20" s="4"/>
      <c r="AVX20" s="4"/>
      <c r="AVY20" s="4"/>
      <c r="AVZ20" s="4"/>
      <c r="AWA20" s="4"/>
      <c r="AWB20" s="4"/>
      <c r="AWC20" s="4"/>
      <c r="AWD20" s="4"/>
      <c r="AWE20" s="4"/>
      <c r="AWF20" s="4"/>
      <c r="AWG20" s="4"/>
      <c r="AWH20" s="4"/>
      <c r="AWI20" s="4"/>
      <c r="AWJ20" s="4"/>
      <c r="AWK20" s="4"/>
      <c r="AWL20" s="4"/>
      <c r="AWM20" s="4"/>
      <c r="AWN20" s="4"/>
      <c r="AWO20" s="4"/>
      <c r="AWP20" s="4"/>
      <c r="AWQ20" s="4"/>
      <c r="AWR20" s="4"/>
      <c r="AWS20" s="4"/>
      <c r="AWT20" s="4"/>
      <c r="AWU20" s="4"/>
      <c r="AWV20" s="4"/>
      <c r="AWW20" s="4"/>
      <c r="AWX20" s="4"/>
      <c r="AWY20" s="4"/>
      <c r="AWZ20" s="4"/>
      <c r="AXA20" s="4"/>
      <c r="AXB20" s="4"/>
      <c r="AXC20" s="4"/>
      <c r="AXD20" s="4"/>
      <c r="AXE20" s="4"/>
      <c r="AXF20" s="4"/>
      <c r="AXG20" s="4"/>
      <c r="AXH20" s="4"/>
      <c r="AXI20" s="4"/>
      <c r="AXJ20" s="4"/>
      <c r="AXK20" s="4"/>
      <c r="AXL20" s="4"/>
      <c r="AXM20" s="4"/>
      <c r="AXN20" s="4"/>
      <c r="AXO20" s="4"/>
      <c r="AXP20" s="4"/>
      <c r="AXQ20" s="4"/>
      <c r="AXR20" s="4"/>
      <c r="AXS20" s="4"/>
      <c r="AXT20" s="4"/>
      <c r="AXU20" s="4"/>
      <c r="AXV20" s="4"/>
      <c r="AXW20" s="4"/>
      <c r="AXX20" s="4"/>
      <c r="AXY20" s="4"/>
      <c r="AXZ20" s="4"/>
      <c r="AYA20" s="4"/>
      <c r="AYB20" s="4"/>
      <c r="AYC20" s="4"/>
      <c r="AYD20" s="4"/>
      <c r="AYE20" s="4"/>
      <c r="AYF20" s="4"/>
      <c r="AYG20" s="4"/>
      <c r="AYH20" s="4"/>
      <c r="AYI20" s="4"/>
      <c r="AYJ20" s="4"/>
      <c r="AYK20" s="4"/>
      <c r="AYL20" s="4"/>
      <c r="AYM20" s="4"/>
      <c r="AYN20" s="4"/>
      <c r="AYO20" s="4"/>
      <c r="AYP20" s="4"/>
      <c r="AYQ20" s="4"/>
      <c r="AYR20" s="4"/>
      <c r="AYS20" s="4"/>
      <c r="AYT20" s="4"/>
      <c r="AYU20" s="4"/>
      <c r="AYV20" s="4"/>
      <c r="AYW20" s="4"/>
      <c r="AYX20" s="4"/>
      <c r="AYY20" s="4"/>
      <c r="AYZ20" s="4"/>
      <c r="AZA20" s="4"/>
      <c r="AZB20" s="4"/>
      <c r="AZC20" s="4"/>
      <c r="AZD20" s="4"/>
      <c r="AZE20" s="4"/>
      <c r="AZF20" s="4"/>
      <c r="AZG20" s="4"/>
      <c r="AZH20" s="4"/>
      <c r="AZI20" s="4"/>
      <c r="AZJ20" s="4"/>
      <c r="AZK20" s="4"/>
      <c r="AZL20" s="4"/>
      <c r="AZM20" s="4"/>
      <c r="AZN20" s="4"/>
      <c r="AZO20" s="4"/>
      <c r="AZP20" s="4"/>
      <c r="AZQ20" s="4"/>
      <c r="AZR20" s="4"/>
      <c r="AZS20" s="4"/>
      <c r="AZT20" s="4"/>
      <c r="AZU20" s="4"/>
      <c r="AZV20" s="4"/>
      <c r="AZW20" s="4"/>
      <c r="AZX20" s="4"/>
      <c r="AZY20" s="4"/>
      <c r="AZZ20" s="4"/>
      <c r="BAA20" s="4"/>
      <c r="BAB20" s="4"/>
      <c r="BAC20" s="4"/>
      <c r="BAD20" s="4"/>
      <c r="BAE20" s="4"/>
      <c r="BAF20" s="4"/>
      <c r="BAG20" s="4"/>
      <c r="BAH20" s="4"/>
      <c r="BAI20" s="4"/>
      <c r="BAJ20" s="4"/>
      <c r="BAK20" s="4"/>
      <c r="BAL20" s="4"/>
      <c r="BAM20" s="4"/>
      <c r="BAN20" s="4"/>
      <c r="BAO20" s="4"/>
      <c r="BAP20" s="4"/>
      <c r="BAQ20" s="4"/>
      <c r="BAR20" s="4"/>
      <c r="BAS20" s="4"/>
      <c r="BAT20" s="4"/>
      <c r="BAU20" s="4"/>
      <c r="BAV20" s="4"/>
      <c r="BAW20" s="4"/>
      <c r="BAX20" s="4"/>
      <c r="BAY20" s="4"/>
      <c r="BAZ20" s="4"/>
      <c r="BBA20" s="4"/>
      <c r="BBB20" s="4"/>
      <c r="BBC20" s="4"/>
      <c r="BBD20" s="4"/>
      <c r="BBE20" s="4"/>
      <c r="BBF20" s="4"/>
      <c r="BBG20" s="4"/>
      <c r="BBH20" s="4"/>
      <c r="BBI20" s="4"/>
      <c r="BBJ20" s="4"/>
      <c r="BBK20" s="4"/>
      <c r="BBL20" s="4"/>
      <c r="BBM20" s="4"/>
      <c r="BBN20" s="4"/>
      <c r="BBO20" s="4"/>
      <c r="BBP20" s="4"/>
      <c r="BBQ20" s="4"/>
      <c r="BBR20" s="4"/>
      <c r="BBS20" s="4"/>
      <c r="BBT20" s="4"/>
      <c r="BBU20" s="4"/>
      <c r="BBV20" s="4"/>
      <c r="BBW20" s="4"/>
      <c r="BBX20" s="4"/>
      <c r="BBY20" s="4"/>
      <c r="BBZ20" s="4"/>
      <c r="BCA20" s="4"/>
      <c r="BCB20" s="4"/>
      <c r="BCC20" s="4"/>
      <c r="BCD20" s="4"/>
      <c r="BCE20" s="4"/>
      <c r="BCF20" s="4"/>
      <c r="BCG20" s="4"/>
      <c r="BCH20" s="4"/>
      <c r="BCI20" s="4"/>
      <c r="BCJ20" s="4"/>
      <c r="BCK20" s="4"/>
      <c r="BCL20" s="4"/>
      <c r="BCM20" s="4"/>
      <c r="BCN20" s="4"/>
      <c r="BCO20" s="4"/>
      <c r="BCP20" s="4"/>
      <c r="BCQ20" s="4"/>
      <c r="BCR20" s="4"/>
      <c r="BCS20" s="4"/>
      <c r="BCT20" s="4"/>
      <c r="BCU20" s="4"/>
      <c r="BCV20" s="4"/>
      <c r="BCW20" s="4"/>
      <c r="BCX20" s="4"/>
      <c r="BCY20" s="4"/>
      <c r="BCZ20" s="4"/>
      <c r="BDA20" s="4"/>
      <c r="BDB20" s="4"/>
      <c r="BDC20" s="4"/>
      <c r="BDD20" s="4"/>
      <c r="BDE20" s="4"/>
      <c r="BDF20" s="4"/>
      <c r="BDG20" s="4"/>
      <c r="BDH20" s="4"/>
      <c r="BDI20" s="4"/>
      <c r="BDJ20" s="4"/>
      <c r="BDK20" s="4"/>
      <c r="BDL20" s="4"/>
      <c r="BDM20" s="4"/>
      <c r="BDN20" s="4"/>
      <c r="BDO20" s="4"/>
      <c r="BDP20" s="4"/>
      <c r="BDQ20" s="4"/>
      <c r="BDR20" s="4"/>
      <c r="BDS20" s="4"/>
      <c r="BDT20" s="4"/>
      <c r="BDU20" s="4"/>
      <c r="BDV20" s="4"/>
      <c r="BDW20" s="4"/>
      <c r="BDX20" s="4"/>
      <c r="BDY20" s="4"/>
      <c r="BDZ20" s="4"/>
      <c r="BEA20" s="4"/>
      <c r="BEB20" s="4"/>
      <c r="BEC20" s="4"/>
      <c r="BED20" s="4"/>
      <c r="BEE20" s="4"/>
      <c r="BEF20" s="4"/>
      <c r="BEG20" s="4"/>
      <c r="BEH20" s="4"/>
      <c r="BEI20" s="4"/>
      <c r="BEJ20" s="4"/>
      <c r="BEK20" s="4"/>
      <c r="BEL20" s="4"/>
      <c r="BEM20" s="4"/>
      <c r="BEN20" s="4"/>
      <c r="BEO20" s="4"/>
      <c r="BEP20" s="4"/>
      <c r="BEQ20" s="4"/>
      <c r="BER20" s="4"/>
      <c r="BES20" s="4"/>
      <c r="BET20" s="4"/>
      <c r="BEU20" s="4"/>
      <c r="BEV20" s="4"/>
      <c r="BEW20" s="4"/>
      <c r="BEX20" s="4"/>
      <c r="BEY20" s="4"/>
      <c r="BEZ20" s="4"/>
      <c r="BFA20" s="4"/>
      <c r="BFB20" s="4"/>
      <c r="BFC20" s="4"/>
      <c r="BFD20" s="4"/>
      <c r="BFE20" s="4"/>
      <c r="BFF20" s="4"/>
      <c r="BFG20" s="4"/>
      <c r="BFH20" s="4"/>
      <c r="BFI20" s="4"/>
      <c r="BFJ20" s="4"/>
      <c r="BFK20" s="4"/>
      <c r="BFL20" s="4"/>
      <c r="BFM20" s="4"/>
      <c r="BFN20" s="4"/>
      <c r="BFO20" s="4"/>
      <c r="BFP20" s="4"/>
      <c r="BFQ20" s="4"/>
      <c r="BFR20" s="4"/>
      <c r="BFS20" s="4"/>
      <c r="BFT20" s="4"/>
      <c r="BFU20" s="4"/>
      <c r="BFV20" s="4"/>
      <c r="BFW20" s="4"/>
      <c r="BFX20" s="4"/>
      <c r="BFY20" s="4"/>
      <c r="BFZ20" s="4"/>
      <c r="BGA20" s="4"/>
      <c r="BGB20" s="4"/>
      <c r="BGC20" s="4"/>
      <c r="BGD20" s="4"/>
      <c r="BGE20" s="4"/>
      <c r="BGF20" s="4"/>
      <c r="BGG20" s="4"/>
      <c r="BGH20" s="4"/>
      <c r="BGI20" s="4"/>
      <c r="BGJ20" s="4"/>
      <c r="BGK20" s="4"/>
      <c r="BGL20" s="4"/>
      <c r="BGM20" s="4"/>
      <c r="BGN20" s="4"/>
      <c r="BGO20" s="4"/>
      <c r="BGP20" s="4"/>
      <c r="BGQ20" s="4"/>
      <c r="BGR20" s="4"/>
      <c r="BGS20" s="4"/>
      <c r="BGT20" s="4"/>
      <c r="BGU20" s="4"/>
      <c r="BGV20" s="4"/>
      <c r="BGW20" s="4"/>
      <c r="BGX20" s="4"/>
      <c r="BGY20" s="4"/>
      <c r="BGZ20" s="4"/>
      <c r="BHA20" s="4"/>
      <c r="BHB20" s="4"/>
      <c r="BHC20" s="4"/>
      <c r="BHD20" s="4"/>
      <c r="BHE20" s="4"/>
      <c r="BHF20" s="4"/>
      <c r="BHG20" s="4"/>
      <c r="BHH20" s="4"/>
      <c r="BHI20" s="4"/>
      <c r="BHJ20" s="4"/>
      <c r="BHK20" s="4"/>
      <c r="BHL20" s="4"/>
      <c r="BHM20" s="4"/>
      <c r="BHN20" s="4"/>
      <c r="BHO20" s="4"/>
      <c r="BHP20" s="4"/>
      <c r="BHQ20" s="4"/>
      <c r="BHR20" s="4"/>
      <c r="BHS20" s="4"/>
      <c r="BHT20" s="4"/>
      <c r="BHU20" s="4"/>
      <c r="BHV20" s="4"/>
      <c r="BHW20" s="4"/>
      <c r="BHX20" s="4"/>
      <c r="BHY20" s="4"/>
      <c r="BHZ20" s="4"/>
      <c r="BIA20" s="4"/>
      <c r="BIB20" s="4"/>
      <c r="BIC20" s="4"/>
      <c r="BID20" s="4"/>
      <c r="BIE20" s="4"/>
      <c r="BIF20" s="4"/>
      <c r="BIG20" s="4"/>
      <c r="BIH20" s="4"/>
      <c r="BII20" s="4"/>
      <c r="BIJ20" s="4"/>
      <c r="BIK20" s="4"/>
      <c r="BIL20" s="4"/>
      <c r="BIM20" s="4"/>
      <c r="BIN20" s="4"/>
      <c r="BIO20" s="4"/>
      <c r="BIP20" s="4"/>
      <c r="BIQ20" s="4"/>
      <c r="BIR20" s="4"/>
      <c r="BIS20" s="4"/>
      <c r="BIT20" s="4"/>
      <c r="BIU20" s="4"/>
      <c r="BIV20" s="4"/>
      <c r="BIW20" s="4"/>
      <c r="BIX20" s="4"/>
      <c r="BIY20" s="4"/>
      <c r="BIZ20" s="4"/>
      <c r="BJA20" s="4"/>
      <c r="BJB20" s="4"/>
      <c r="BJC20" s="4"/>
      <c r="BJD20" s="4"/>
      <c r="BJE20" s="4"/>
      <c r="BJF20" s="4"/>
      <c r="BJG20" s="4"/>
      <c r="BJH20" s="4"/>
      <c r="BJI20" s="4"/>
      <c r="BJJ20" s="4"/>
      <c r="BJK20" s="4"/>
      <c r="BJL20" s="4"/>
      <c r="BJM20" s="4"/>
      <c r="BJN20" s="4"/>
      <c r="BJO20" s="4"/>
      <c r="BJP20" s="4"/>
      <c r="BJQ20" s="4"/>
      <c r="BJR20" s="4"/>
      <c r="BJS20" s="4"/>
      <c r="BJT20" s="4"/>
      <c r="BJU20" s="4"/>
      <c r="BJV20" s="4"/>
      <c r="BJW20" s="4"/>
      <c r="BJX20" s="4"/>
      <c r="BJY20" s="4"/>
      <c r="BJZ20" s="4"/>
      <c r="BKA20" s="4"/>
      <c r="BKB20" s="4"/>
      <c r="BKC20" s="4"/>
      <c r="BKD20" s="4"/>
      <c r="BKE20" s="4"/>
      <c r="BKF20" s="4"/>
      <c r="BKG20" s="4"/>
      <c r="BKH20" s="4"/>
      <c r="BKI20" s="4"/>
      <c r="BKJ20" s="4"/>
      <c r="BKK20" s="4"/>
      <c r="BKL20" s="4"/>
      <c r="BKM20" s="4"/>
      <c r="BKN20" s="4"/>
      <c r="BKO20" s="4"/>
      <c r="BKP20" s="4"/>
      <c r="BKQ20" s="4"/>
      <c r="BKR20" s="4"/>
      <c r="BKS20" s="4"/>
      <c r="BKT20" s="4"/>
      <c r="BKU20" s="4"/>
      <c r="BKV20" s="4"/>
      <c r="BKW20" s="4"/>
      <c r="BKX20" s="4"/>
      <c r="BKY20" s="4"/>
      <c r="BKZ20" s="4"/>
      <c r="BLA20" s="4"/>
      <c r="BLB20" s="4"/>
      <c r="BLC20" s="4"/>
      <c r="BLD20" s="4"/>
      <c r="BLE20" s="4"/>
      <c r="BLF20" s="4"/>
      <c r="BLG20" s="4"/>
      <c r="BLH20" s="4"/>
      <c r="BLI20" s="4"/>
      <c r="BLJ20" s="4"/>
      <c r="BLK20" s="4"/>
      <c r="BLL20" s="4"/>
      <c r="BLM20" s="4"/>
      <c r="BLN20" s="4"/>
      <c r="BLO20" s="4"/>
      <c r="BLP20" s="4"/>
      <c r="BLQ20" s="4"/>
      <c r="BLR20" s="4"/>
      <c r="BLS20" s="4"/>
      <c r="BLT20" s="4"/>
      <c r="BLU20" s="4"/>
      <c r="BLV20" s="4"/>
      <c r="BLW20" s="4"/>
      <c r="BLX20" s="4"/>
      <c r="BLY20" s="4"/>
      <c r="BLZ20" s="4"/>
      <c r="BMA20" s="4"/>
      <c r="BMB20" s="4"/>
      <c r="BMC20" s="4"/>
      <c r="BMD20" s="4"/>
      <c r="BME20" s="4"/>
      <c r="BMF20" s="4"/>
      <c r="BMG20" s="4"/>
      <c r="BMH20" s="4"/>
      <c r="BMI20" s="4"/>
      <c r="BMJ20" s="4"/>
      <c r="BMK20" s="4"/>
      <c r="BML20" s="4"/>
      <c r="BMM20" s="4"/>
      <c r="BMN20" s="4"/>
      <c r="BMO20" s="4"/>
      <c r="BMP20" s="4"/>
      <c r="BMQ20" s="4"/>
      <c r="BMR20" s="4"/>
      <c r="BMS20" s="4"/>
      <c r="BMT20" s="4"/>
      <c r="BMU20" s="4"/>
      <c r="BMV20" s="4"/>
      <c r="BMW20" s="4"/>
      <c r="BMX20" s="4"/>
      <c r="BMY20" s="4"/>
      <c r="BMZ20" s="4"/>
      <c r="BNA20" s="4"/>
      <c r="BNB20" s="4"/>
      <c r="BNC20" s="4"/>
      <c r="BND20" s="4"/>
      <c r="BNE20" s="4"/>
      <c r="BNF20" s="4"/>
      <c r="BNG20" s="4"/>
      <c r="BNH20" s="4"/>
      <c r="BNI20" s="4"/>
      <c r="BNJ20" s="4"/>
      <c r="BNK20" s="4"/>
      <c r="BNL20" s="4"/>
      <c r="BNM20" s="4"/>
      <c r="BNN20" s="4"/>
      <c r="BNO20" s="4"/>
      <c r="BNP20" s="4"/>
      <c r="BNQ20" s="4"/>
      <c r="BNR20" s="4"/>
      <c r="BNS20" s="4"/>
      <c r="BNT20" s="4"/>
      <c r="BNU20" s="4"/>
      <c r="BNV20" s="4"/>
      <c r="BNW20" s="4"/>
      <c r="BNX20" s="4"/>
      <c r="BNY20" s="4"/>
      <c r="BNZ20" s="4"/>
      <c r="BOA20" s="4"/>
      <c r="BOB20" s="4"/>
      <c r="BOC20" s="4"/>
      <c r="BOD20" s="4"/>
      <c r="BOE20" s="4"/>
      <c r="BOF20" s="4"/>
      <c r="BOG20" s="4"/>
      <c r="BOH20" s="4"/>
      <c r="BOI20" s="4"/>
      <c r="BOJ20" s="4"/>
      <c r="BOK20" s="4"/>
      <c r="BOL20" s="4"/>
      <c r="BOM20" s="4"/>
      <c r="BON20" s="4"/>
      <c r="BOO20" s="4"/>
      <c r="BOP20" s="4"/>
      <c r="BOQ20" s="4"/>
      <c r="BOR20" s="4"/>
      <c r="BOS20" s="4"/>
      <c r="BOT20" s="4"/>
      <c r="BOU20" s="4"/>
      <c r="BOV20" s="4"/>
      <c r="BOW20" s="4"/>
      <c r="BOX20" s="4"/>
      <c r="BOY20" s="4"/>
      <c r="BOZ20" s="4"/>
      <c r="BPA20" s="4"/>
      <c r="BPB20" s="4"/>
      <c r="BPC20" s="60"/>
    </row>
    <row r="21" s="5" customFormat="1" ht="60" customHeight="1" spans="1:1024 1025:1771">
      <c r="A21" s="359" t="s">
        <v>76</v>
      </c>
      <c r="B21" s="356" t="s">
        <v>77</v>
      </c>
      <c r="C21" s="356" t="s">
        <v>78</v>
      </c>
      <c r="D21" s="356" t="s">
        <v>79</v>
      </c>
      <c r="E21" s="356"/>
      <c r="F21" s="356"/>
      <c r="G21" s="360"/>
      <c r="H21" s="357">
        <f t="shared" si="0"/>
        <v>46161</v>
      </c>
      <c r="I21" s="361" t="s">
        <v>7</v>
      </c>
      <c r="J21" s="360"/>
      <c r="L21" s="5" t="s">
        <v>43</v>
      </c>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c r="AMG21" s="4"/>
      <c r="AMH21" s="4"/>
      <c r="AMI21" s="4"/>
      <c r="AMJ21" s="4"/>
      <c r="AMK21" s="4"/>
      <c r="AML21" s="4"/>
      <c r="AMM21" s="4"/>
      <c r="AMN21" s="4"/>
      <c r="AMO21" s="4"/>
      <c r="AMP21" s="4"/>
      <c r="AMQ21" s="4"/>
      <c r="AMR21" s="4"/>
      <c r="AMS21" s="4"/>
      <c r="AMT21" s="4"/>
      <c r="AMU21" s="4"/>
      <c r="AMV21" s="4"/>
      <c r="AMW21" s="4"/>
      <c r="AMX21" s="4"/>
      <c r="AMY21" s="4"/>
      <c r="AMZ21" s="4"/>
      <c r="ANA21" s="4"/>
      <c r="ANB21" s="4"/>
      <c r="ANC21" s="4"/>
      <c r="AND21" s="4"/>
      <c r="ANE21" s="4"/>
      <c r="ANF21" s="4"/>
      <c r="ANG21" s="4"/>
      <c r="ANH21" s="4"/>
      <c r="ANI21" s="4"/>
      <c r="ANJ21" s="4"/>
      <c r="ANK21" s="4"/>
      <c r="ANL21" s="4"/>
      <c r="ANM21" s="4"/>
      <c r="ANN21" s="4"/>
      <c r="ANO21" s="4"/>
      <c r="ANP21" s="4"/>
      <c r="ANQ21" s="4"/>
      <c r="ANR21" s="4"/>
      <c r="ANS21" s="4"/>
      <c r="ANT21" s="4"/>
      <c r="ANU21" s="4"/>
      <c r="ANV21" s="4"/>
      <c r="ANW21" s="4"/>
      <c r="ANX21" s="4"/>
      <c r="ANY21" s="4"/>
      <c r="ANZ21" s="4"/>
      <c r="AOA21" s="4"/>
      <c r="AOB21" s="4"/>
      <c r="AOC21" s="4"/>
      <c r="AOD21" s="4"/>
      <c r="AOE21" s="4"/>
      <c r="AOF21" s="4"/>
      <c r="AOG21" s="4"/>
      <c r="AOH21" s="4"/>
      <c r="AOI21" s="4"/>
      <c r="AOJ21" s="4"/>
      <c r="AOK21" s="4"/>
      <c r="AOL21" s="4"/>
      <c r="AOM21" s="4"/>
      <c r="AON21" s="4"/>
      <c r="AOO21" s="4"/>
      <c r="AOP21" s="4"/>
      <c r="AOQ21" s="4"/>
      <c r="AOR21" s="4"/>
      <c r="AOS21" s="4"/>
      <c r="AOT21" s="4"/>
      <c r="AOU21" s="4"/>
      <c r="AOV21" s="4"/>
      <c r="AOW21" s="4"/>
      <c r="AOX21" s="4"/>
      <c r="AOY21" s="4"/>
      <c r="AOZ21" s="4"/>
      <c r="APA21" s="4"/>
      <c r="APB21" s="4"/>
      <c r="APC21" s="4"/>
      <c r="APD21" s="4"/>
      <c r="APE21" s="4"/>
      <c r="APF21" s="4"/>
      <c r="APG21" s="4"/>
      <c r="APH21" s="4"/>
      <c r="API21" s="4"/>
      <c r="APJ21" s="4"/>
      <c r="APK21" s="4"/>
      <c r="APL21" s="4"/>
      <c r="APM21" s="4"/>
      <c r="APN21" s="4"/>
      <c r="APO21" s="4"/>
      <c r="APP21" s="4"/>
      <c r="APQ21" s="4"/>
      <c r="APR21" s="4"/>
      <c r="APS21" s="4"/>
      <c r="APT21" s="4"/>
      <c r="APU21" s="4"/>
      <c r="APV21" s="4"/>
      <c r="APW21" s="4"/>
      <c r="APX21" s="4"/>
      <c r="APY21" s="4"/>
      <c r="APZ21" s="4"/>
      <c r="AQA21" s="4"/>
      <c r="AQB21" s="4"/>
      <c r="AQC21" s="4"/>
      <c r="AQD21" s="4"/>
      <c r="AQE21" s="4"/>
      <c r="AQF21" s="4"/>
      <c r="AQG21" s="4"/>
      <c r="AQH21" s="4"/>
      <c r="AQI21" s="4"/>
      <c r="AQJ21" s="4"/>
      <c r="AQK21" s="4"/>
      <c r="AQL21" s="4"/>
      <c r="AQM21" s="4"/>
      <c r="AQN21" s="4"/>
      <c r="AQO21" s="4"/>
      <c r="AQP21" s="4"/>
      <c r="AQQ21" s="4"/>
      <c r="AQR21" s="4"/>
      <c r="AQS21" s="4"/>
      <c r="AQT21" s="4"/>
      <c r="AQU21" s="4"/>
      <c r="AQV21" s="4"/>
      <c r="AQW21" s="4"/>
      <c r="AQX21" s="4"/>
      <c r="AQY21" s="4"/>
      <c r="AQZ21" s="4"/>
      <c r="ARA21" s="4"/>
      <c r="ARB21" s="4"/>
      <c r="ARC21" s="4"/>
      <c r="ARD21" s="4"/>
      <c r="ARE21" s="4"/>
      <c r="ARF21" s="4"/>
      <c r="ARG21" s="4"/>
      <c r="ARH21" s="4"/>
      <c r="ARI21" s="4"/>
      <c r="ARJ21" s="4"/>
      <c r="ARK21" s="4"/>
      <c r="ARL21" s="4"/>
      <c r="ARM21" s="4"/>
      <c r="ARN21" s="4"/>
      <c r="ARO21" s="4"/>
      <c r="ARP21" s="4"/>
      <c r="ARQ21" s="4"/>
      <c r="ARR21" s="4"/>
      <c r="ARS21" s="4"/>
      <c r="ART21" s="4"/>
      <c r="ARU21" s="4"/>
      <c r="ARV21" s="4"/>
      <c r="ARW21" s="4"/>
      <c r="ARX21" s="4"/>
      <c r="ARY21" s="4"/>
      <c r="ARZ21" s="4"/>
      <c r="ASA21" s="4"/>
      <c r="ASB21" s="4"/>
      <c r="ASC21" s="4"/>
      <c r="ASD21" s="4"/>
      <c r="ASE21" s="4"/>
      <c r="ASF21" s="4"/>
      <c r="ASG21" s="4"/>
      <c r="ASH21" s="4"/>
      <c r="ASI21" s="4"/>
      <c r="ASJ21" s="4"/>
      <c r="ASK21" s="4"/>
      <c r="ASL21" s="4"/>
      <c r="ASM21" s="4"/>
      <c r="ASN21" s="4"/>
      <c r="ASO21" s="4"/>
      <c r="ASP21" s="4"/>
      <c r="ASQ21" s="4"/>
      <c r="ASR21" s="4"/>
      <c r="ASS21" s="4"/>
      <c r="AST21" s="4"/>
      <c r="ASU21" s="4"/>
      <c r="ASV21" s="4"/>
      <c r="ASW21" s="4"/>
      <c r="ASX21" s="4"/>
      <c r="ASY21" s="4"/>
      <c r="ASZ21" s="4"/>
      <c r="ATA21" s="4"/>
      <c r="ATB21" s="4"/>
      <c r="ATC21" s="4"/>
      <c r="ATD21" s="4"/>
      <c r="ATE21" s="4"/>
      <c r="ATF21" s="4"/>
      <c r="ATG21" s="4"/>
      <c r="ATH21" s="4"/>
      <c r="ATI21" s="4"/>
      <c r="ATJ21" s="4"/>
      <c r="ATK21" s="4"/>
      <c r="ATL21" s="4"/>
      <c r="ATM21" s="4"/>
      <c r="ATN21" s="4"/>
      <c r="ATO21" s="4"/>
      <c r="ATP21" s="4"/>
      <c r="ATQ21" s="4"/>
      <c r="ATR21" s="4"/>
      <c r="ATS21" s="4"/>
      <c r="ATT21" s="4"/>
      <c r="ATU21" s="4"/>
      <c r="ATV21" s="4"/>
      <c r="ATW21" s="4"/>
      <c r="ATX21" s="4"/>
      <c r="ATY21" s="4"/>
      <c r="ATZ21" s="4"/>
      <c r="AUA21" s="4"/>
      <c r="AUB21" s="4"/>
      <c r="AUC21" s="4"/>
      <c r="AUD21" s="4"/>
      <c r="AUE21" s="4"/>
      <c r="AUF21" s="4"/>
      <c r="AUG21" s="4"/>
      <c r="AUH21" s="4"/>
      <c r="AUI21" s="4"/>
      <c r="AUJ21" s="4"/>
      <c r="AUK21" s="4"/>
      <c r="AUL21" s="4"/>
      <c r="AUM21" s="4"/>
      <c r="AUN21" s="4"/>
      <c r="AUO21" s="4"/>
      <c r="AUP21" s="4"/>
      <c r="AUQ21" s="4"/>
      <c r="AUR21" s="4"/>
      <c r="AUS21" s="4"/>
      <c r="AUT21" s="4"/>
      <c r="AUU21" s="4"/>
      <c r="AUV21" s="4"/>
      <c r="AUW21" s="4"/>
      <c r="AUX21" s="4"/>
      <c r="AUY21" s="4"/>
      <c r="AUZ21" s="4"/>
      <c r="AVA21" s="4"/>
      <c r="AVB21" s="4"/>
      <c r="AVC21" s="4"/>
      <c r="AVD21" s="4"/>
      <c r="AVE21" s="4"/>
      <c r="AVF21" s="4"/>
      <c r="AVG21" s="4"/>
      <c r="AVH21" s="4"/>
      <c r="AVI21" s="4"/>
      <c r="AVJ21" s="4"/>
      <c r="AVK21" s="4"/>
      <c r="AVL21" s="4"/>
      <c r="AVM21" s="4"/>
      <c r="AVN21" s="4"/>
      <c r="AVO21" s="4"/>
      <c r="AVP21" s="4"/>
      <c r="AVQ21" s="4"/>
      <c r="AVR21" s="4"/>
      <c r="AVS21" s="4"/>
      <c r="AVT21" s="4"/>
      <c r="AVU21" s="4"/>
      <c r="AVV21" s="4"/>
      <c r="AVW21" s="4"/>
      <c r="AVX21" s="4"/>
      <c r="AVY21" s="4"/>
      <c r="AVZ21" s="4"/>
      <c r="AWA21" s="4"/>
      <c r="AWB21" s="4"/>
      <c r="AWC21" s="4"/>
      <c r="AWD21" s="4"/>
      <c r="AWE21" s="4"/>
      <c r="AWF21" s="4"/>
      <c r="AWG21" s="4"/>
      <c r="AWH21" s="4"/>
      <c r="AWI21" s="4"/>
      <c r="AWJ21" s="4"/>
      <c r="AWK21" s="4"/>
      <c r="AWL21" s="4"/>
      <c r="AWM21" s="4"/>
      <c r="AWN21" s="4"/>
      <c r="AWO21" s="4"/>
      <c r="AWP21" s="4"/>
      <c r="AWQ21" s="4"/>
      <c r="AWR21" s="4"/>
      <c r="AWS21" s="4"/>
      <c r="AWT21" s="4"/>
      <c r="AWU21" s="4"/>
      <c r="AWV21" s="4"/>
      <c r="AWW21" s="4"/>
      <c r="AWX21" s="4"/>
      <c r="AWY21" s="4"/>
      <c r="AWZ21" s="4"/>
      <c r="AXA21" s="4"/>
      <c r="AXB21" s="4"/>
      <c r="AXC21" s="4"/>
      <c r="AXD21" s="4"/>
      <c r="AXE21" s="4"/>
      <c r="AXF21" s="4"/>
      <c r="AXG21" s="4"/>
      <c r="AXH21" s="4"/>
      <c r="AXI21" s="4"/>
      <c r="AXJ21" s="4"/>
      <c r="AXK21" s="4"/>
      <c r="AXL21" s="4"/>
      <c r="AXM21" s="4"/>
      <c r="AXN21" s="4"/>
      <c r="AXO21" s="4"/>
      <c r="AXP21" s="4"/>
      <c r="AXQ21" s="4"/>
      <c r="AXR21" s="4"/>
      <c r="AXS21" s="4"/>
      <c r="AXT21" s="4"/>
      <c r="AXU21" s="4"/>
      <c r="AXV21" s="4"/>
      <c r="AXW21" s="4"/>
      <c r="AXX21" s="4"/>
      <c r="AXY21" s="4"/>
      <c r="AXZ21" s="4"/>
      <c r="AYA21" s="4"/>
      <c r="AYB21" s="4"/>
      <c r="AYC21" s="4"/>
      <c r="AYD21" s="4"/>
      <c r="AYE21" s="4"/>
      <c r="AYF21" s="4"/>
      <c r="AYG21" s="4"/>
      <c r="AYH21" s="4"/>
      <c r="AYI21" s="4"/>
      <c r="AYJ21" s="4"/>
      <c r="AYK21" s="4"/>
      <c r="AYL21" s="4"/>
      <c r="AYM21" s="4"/>
      <c r="AYN21" s="4"/>
      <c r="AYO21" s="4"/>
      <c r="AYP21" s="4"/>
      <c r="AYQ21" s="4"/>
      <c r="AYR21" s="4"/>
      <c r="AYS21" s="4"/>
      <c r="AYT21" s="4"/>
      <c r="AYU21" s="4"/>
      <c r="AYV21" s="4"/>
      <c r="AYW21" s="4"/>
      <c r="AYX21" s="4"/>
      <c r="AYY21" s="4"/>
      <c r="AYZ21" s="4"/>
      <c r="AZA21" s="4"/>
      <c r="AZB21" s="4"/>
      <c r="AZC21" s="4"/>
      <c r="AZD21" s="4"/>
      <c r="AZE21" s="4"/>
      <c r="AZF21" s="4"/>
      <c r="AZG21" s="4"/>
      <c r="AZH21" s="4"/>
      <c r="AZI21" s="4"/>
      <c r="AZJ21" s="4"/>
      <c r="AZK21" s="4"/>
      <c r="AZL21" s="4"/>
      <c r="AZM21" s="4"/>
      <c r="AZN21" s="4"/>
      <c r="AZO21" s="4"/>
      <c r="AZP21" s="4"/>
      <c r="AZQ21" s="4"/>
      <c r="AZR21" s="4"/>
      <c r="AZS21" s="4"/>
      <c r="AZT21" s="4"/>
      <c r="AZU21" s="4"/>
      <c r="AZV21" s="4"/>
      <c r="AZW21" s="4"/>
      <c r="AZX21" s="4"/>
      <c r="AZY21" s="4"/>
      <c r="AZZ21" s="4"/>
      <c r="BAA21" s="4"/>
      <c r="BAB21" s="4"/>
      <c r="BAC21" s="4"/>
      <c r="BAD21" s="4"/>
      <c r="BAE21" s="4"/>
      <c r="BAF21" s="4"/>
      <c r="BAG21" s="4"/>
      <c r="BAH21" s="4"/>
      <c r="BAI21" s="4"/>
      <c r="BAJ21" s="4"/>
      <c r="BAK21" s="4"/>
      <c r="BAL21" s="4"/>
      <c r="BAM21" s="4"/>
      <c r="BAN21" s="4"/>
      <c r="BAO21" s="4"/>
      <c r="BAP21" s="4"/>
      <c r="BAQ21" s="4"/>
      <c r="BAR21" s="4"/>
      <c r="BAS21" s="4"/>
      <c r="BAT21" s="4"/>
      <c r="BAU21" s="4"/>
      <c r="BAV21" s="4"/>
      <c r="BAW21" s="4"/>
      <c r="BAX21" s="4"/>
      <c r="BAY21" s="4"/>
      <c r="BAZ21" s="4"/>
      <c r="BBA21" s="4"/>
      <c r="BBB21" s="4"/>
      <c r="BBC21" s="4"/>
      <c r="BBD21" s="4"/>
      <c r="BBE21" s="4"/>
      <c r="BBF21" s="4"/>
      <c r="BBG21" s="4"/>
      <c r="BBH21" s="4"/>
      <c r="BBI21" s="4"/>
      <c r="BBJ21" s="4"/>
      <c r="BBK21" s="4"/>
      <c r="BBL21" s="4"/>
      <c r="BBM21" s="4"/>
      <c r="BBN21" s="4"/>
      <c r="BBO21" s="4"/>
      <c r="BBP21" s="4"/>
      <c r="BBQ21" s="4"/>
      <c r="BBR21" s="4"/>
      <c r="BBS21" s="4"/>
      <c r="BBT21" s="4"/>
      <c r="BBU21" s="4"/>
      <c r="BBV21" s="4"/>
      <c r="BBW21" s="4"/>
      <c r="BBX21" s="4"/>
      <c r="BBY21" s="4"/>
      <c r="BBZ21" s="4"/>
      <c r="BCA21" s="4"/>
      <c r="BCB21" s="4"/>
      <c r="BCC21" s="4"/>
      <c r="BCD21" s="4"/>
      <c r="BCE21" s="4"/>
      <c r="BCF21" s="4"/>
      <c r="BCG21" s="4"/>
      <c r="BCH21" s="4"/>
      <c r="BCI21" s="4"/>
      <c r="BCJ21" s="4"/>
      <c r="BCK21" s="4"/>
      <c r="BCL21" s="4"/>
      <c r="BCM21" s="4"/>
      <c r="BCN21" s="4"/>
      <c r="BCO21" s="4"/>
      <c r="BCP21" s="4"/>
      <c r="BCQ21" s="4"/>
      <c r="BCR21" s="4"/>
      <c r="BCS21" s="4"/>
      <c r="BCT21" s="4"/>
      <c r="BCU21" s="4"/>
      <c r="BCV21" s="4"/>
      <c r="BCW21" s="4"/>
      <c r="BCX21" s="4"/>
      <c r="BCY21" s="4"/>
      <c r="BCZ21" s="4"/>
      <c r="BDA21" s="4"/>
      <c r="BDB21" s="4"/>
      <c r="BDC21" s="4"/>
      <c r="BDD21" s="4"/>
      <c r="BDE21" s="4"/>
      <c r="BDF21" s="4"/>
      <c r="BDG21" s="4"/>
      <c r="BDH21" s="4"/>
      <c r="BDI21" s="4"/>
      <c r="BDJ21" s="4"/>
      <c r="BDK21" s="4"/>
      <c r="BDL21" s="4"/>
      <c r="BDM21" s="4"/>
      <c r="BDN21" s="4"/>
      <c r="BDO21" s="4"/>
      <c r="BDP21" s="4"/>
      <c r="BDQ21" s="4"/>
      <c r="BDR21" s="4"/>
      <c r="BDS21" s="4"/>
      <c r="BDT21" s="4"/>
      <c r="BDU21" s="4"/>
      <c r="BDV21" s="4"/>
      <c r="BDW21" s="4"/>
      <c r="BDX21" s="4"/>
      <c r="BDY21" s="4"/>
      <c r="BDZ21" s="4"/>
      <c r="BEA21" s="4"/>
      <c r="BEB21" s="4"/>
      <c r="BEC21" s="4"/>
      <c r="BED21" s="4"/>
      <c r="BEE21" s="4"/>
      <c r="BEF21" s="4"/>
      <c r="BEG21" s="4"/>
      <c r="BEH21" s="4"/>
      <c r="BEI21" s="4"/>
      <c r="BEJ21" s="4"/>
      <c r="BEK21" s="4"/>
      <c r="BEL21" s="4"/>
      <c r="BEM21" s="4"/>
      <c r="BEN21" s="4"/>
      <c r="BEO21" s="4"/>
      <c r="BEP21" s="4"/>
      <c r="BEQ21" s="4"/>
      <c r="BER21" s="4"/>
      <c r="BES21" s="4"/>
      <c r="BET21" s="4"/>
      <c r="BEU21" s="4"/>
      <c r="BEV21" s="4"/>
      <c r="BEW21" s="4"/>
      <c r="BEX21" s="4"/>
      <c r="BEY21" s="4"/>
      <c r="BEZ21" s="4"/>
      <c r="BFA21" s="4"/>
      <c r="BFB21" s="4"/>
      <c r="BFC21" s="4"/>
      <c r="BFD21" s="4"/>
      <c r="BFE21" s="4"/>
      <c r="BFF21" s="4"/>
      <c r="BFG21" s="4"/>
      <c r="BFH21" s="4"/>
      <c r="BFI21" s="4"/>
      <c r="BFJ21" s="4"/>
      <c r="BFK21" s="4"/>
      <c r="BFL21" s="4"/>
      <c r="BFM21" s="4"/>
      <c r="BFN21" s="4"/>
      <c r="BFO21" s="4"/>
      <c r="BFP21" s="4"/>
      <c r="BFQ21" s="4"/>
      <c r="BFR21" s="4"/>
      <c r="BFS21" s="4"/>
      <c r="BFT21" s="4"/>
      <c r="BFU21" s="4"/>
      <c r="BFV21" s="4"/>
      <c r="BFW21" s="4"/>
      <c r="BFX21" s="4"/>
      <c r="BFY21" s="4"/>
      <c r="BFZ21" s="4"/>
      <c r="BGA21" s="4"/>
      <c r="BGB21" s="4"/>
      <c r="BGC21" s="4"/>
      <c r="BGD21" s="4"/>
      <c r="BGE21" s="4"/>
      <c r="BGF21" s="4"/>
      <c r="BGG21" s="4"/>
      <c r="BGH21" s="4"/>
      <c r="BGI21" s="4"/>
      <c r="BGJ21" s="4"/>
      <c r="BGK21" s="4"/>
      <c r="BGL21" s="4"/>
      <c r="BGM21" s="4"/>
      <c r="BGN21" s="4"/>
      <c r="BGO21" s="4"/>
      <c r="BGP21" s="4"/>
      <c r="BGQ21" s="4"/>
      <c r="BGR21" s="4"/>
      <c r="BGS21" s="4"/>
      <c r="BGT21" s="4"/>
      <c r="BGU21" s="4"/>
      <c r="BGV21" s="4"/>
      <c r="BGW21" s="4"/>
      <c r="BGX21" s="4"/>
      <c r="BGY21" s="4"/>
      <c r="BGZ21" s="4"/>
      <c r="BHA21" s="4"/>
      <c r="BHB21" s="4"/>
      <c r="BHC21" s="4"/>
      <c r="BHD21" s="4"/>
      <c r="BHE21" s="4"/>
      <c r="BHF21" s="4"/>
      <c r="BHG21" s="4"/>
      <c r="BHH21" s="4"/>
      <c r="BHI21" s="4"/>
      <c r="BHJ21" s="4"/>
      <c r="BHK21" s="4"/>
      <c r="BHL21" s="4"/>
      <c r="BHM21" s="4"/>
      <c r="BHN21" s="4"/>
      <c r="BHO21" s="4"/>
      <c r="BHP21" s="4"/>
      <c r="BHQ21" s="4"/>
      <c r="BHR21" s="4"/>
      <c r="BHS21" s="4"/>
      <c r="BHT21" s="4"/>
      <c r="BHU21" s="4"/>
      <c r="BHV21" s="4"/>
      <c r="BHW21" s="4"/>
      <c r="BHX21" s="4"/>
      <c r="BHY21" s="4"/>
      <c r="BHZ21" s="4"/>
      <c r="BIA21" s="4"/>
      <c r="BIB21" s="4"/>
      <c r="BIC21" s="4"/>
      <c r="BID21" s="4"/>
      <c r="BIE21" s="4"/>
      <c r="BIF21" s="4"/>
      <c r="BIG21" s="4"/>
      <c r="BIH21" s="4"/>
      <c r="BII21" s="4"/>
      <c r="BIJ21" s="4"/>
      <c r="BIK21" s="4"/>
      <c r="BIL21" s="4"/>
      <c r="BIM21" s="4"/>
      <c r="BIN21" s="4"/>
      <c r="BIO21" s="4"/>
      <c r="BIP21" s="4"/>
      <c r="BIQ21" s="4"/>
      <c r="BIR21" s="4"/>
      <c r="BIS21" s="4"/>
      <c r="BIT21" s="4"/>
      <c r="BIU21" s="4"/>
      <c r="BIV21" s="4"/>
      <c r="BIW21" s="4"/>
      <c r="BIX21" s="4"/>
      <c r="BIY21" s="4"/>
      <c r="BIZ21" s="4"/>
      <c r="BJA21" s="4"/>
      <c r="BJB21" s="4"/>
      <c r="BJC21" s="4"/>
      <c r="BJD21" s="4"/>
      <c r="BJE21" s="4"/>
      <c r="BJF21" s="4"/>
      <c r="BJG21" s="4"/>
      <c r="BJH21" s="4"/>
      <c r="BJI21" s="4"/>
      <c r="BJJ21" s="4"/>
      <c r="BJK21" s="4"/>
      <c r="BJL21" s="4"/>
      <c r="BJM21" s="4"/>
      <c r="BJN21" s="4"/>
      <c r="BJO21" s="4"/>
      <c r="BJP21" s="4"/>
      <c r="BJQ21" s="4"/>
      <c r="BJR21" s="4"/>
      <c r="BJS21" s="4"/>
      <c r="BJT21" s="4"/>
      <c r="BJU21" s="4"/>
      <c r="BJV21" s="4"/>
      <c r="BJW21" s="4"/>
      <c r="BJX21" s="4"/>
      <c r="BJY21" s="4"/>
      <c r="BJZ21" s="4"/>
      <c r="BKA21" s="4"/>
      <c r="BKB21" s="4"/>
      <c r="BKC21" s="4"/>
      <c r="BKD21" s="4"/>
      <c r="BKE21" s="4"/>
      <c r="BKF21" s="4"/>
      <c r="BKG21" s="4"/>
      <c r="BKH21" s="4"/>
      <c r="BKI21" s="4"/>
      <c r="BKJ21" s="4"/>
      <c r="BKK21" s="4"/>
      <c r="BKL21" s="4"/>
      <c r="BKM21" s="4"/>
      <c r="BKN21" s="4"/>
      <c r="BKO21" s="4"/>
      <c r="BKP21" s="4"/>
      <c r="BKQ21" s="4"/>
      <c r="BKR21" s="4"/>
      <c r="BKS21" s="4"/>
      <c r="BKT21" s="4"/>
      <c r="BKU21" s="4"/>
      <c r="BKV21" s="4"/>
      <c r="BKW21" s="4"/>
      <c r="BKX21" s="4"/>
      <c r="BKY21" s="4"/>
      <c r="BKZ21" s="4"/>
      <c r="BLA21" s="4"/>
      <c r="BLB21" s="4"/>
      <c r="BLC21" s="4"/>
      <c r="BLD21" s="4"/>
      <c r="BLE21" s="4"/>
      <c r="BLF21" s="4"/>
      <c r="BLG21" s="4"/>
      <c r="BLH21" s="4"/>
      <c r="BLI21" s="4"/>
      <c r="BLJ21" s="4"/>
      <c r="BLK21" s="4"/>
      <c r="BLL21" s="4"/>
      <c r="BLM21" s="4"/>
      <c r="BLN21" s="4"/>
      <c r="BLO21" s="4"/>
      <c r="BLP21" s="4"/>
      <c r="BLQ21" s="4"/>
      <c r="BLR21" s="4"/>
      <c r="BLS21" s="4"/>
      <c r="BLT21" s="4"/>
      <c r="BLU21" s="4"/>
      <c r="BLV21" s="4"/>
      <c r="BLW21" s="4"/>
      <c r="BLX21" s="4"/>
      <c r="BLY21" s="4"/>
      <c r="BLZ21" s="4"/>
      <c r="BMA21" s="4"/>
      <c r="BMB21" s="4"/>
      <c r="BMC21" s="4"/>
      <c r="BMD21" s="4"/>
      <c r="BME21" s="4"/>
      <c r="BMF21" s="4"/>
      <c r="BMG21" s="4"/>
      <c r="BMH21" s="4"/>
      <c r="BMI21" s="4"/>
      <c r="BMJ21" s="4"/>
      <c r="BMK21" s="4"/>
      <c r="BML21" s="4"/>
      <c r="BMM21" s="4"/>
      <c r="BMN21" s="4"/>
      <c r="BMO21" s="4"/>
      <c r="BMP21" s="4"/>
      <c r="BMQ21" s="4"/>
      <c r="BMR21" s="4"/>
      <c r="BMS21" s="4"/>
      <c r="BMT21" s="4"/>
      <c r="BMU21" s="4"/>
      <c r="BMV21" s="4"/>
      <c r="BMW21" s="4"/>
      <c r="BMX21" s="4"/>
      <c r="BMY21" s="4"/>
      <c r="BMZ21" s="4"/>
      <c r="BNA21" s="4"/>
      <c r="BNB21" s="4"/>
      <c r="BNC21" s="4"/>
      <c r="BND21" s="4"/>
      <c r="BNE21" s="4"/>
      <c r="BNF21" s="4"/>
      <c r="BNG21" s="4"/>
      <c r="BNH21" s="4"/>
      <c r="BNI21" s="4"/>
      <c r="BNJ21" s="4"/>
      <c r="BNK21" s="4"/>
      <c r="BNL21" s="4"/>
      <c r="BNM21" s="4"/>
      <c r="BNN21" s="4"/>
      <c r="BNO21" s="4"/>
      <c r="BNP21" s="4"/>
      <c r="BNQ21" s="4"/>
      <c r="BNR21" s="4"/>
      <c r="BNS21" s="4"/>
      <c r="BNT21" s="4"/>
      <c r="BNU21" s="4"/>
      <c r="BNV21" s="4"/>
      <c r="BNW21" s="4"/>
      <c r="BNX21" s="4"/>
      <c r="BNY21" s="4"/>
      <c r="BNZ21" s="4"/>
      <c r="BOA21" s="4"/>
      <c r="BOB21" s="4"/>
      <c r="BOC21" s="4"/>
      <c r="BOD21" s="4"/>
      <c r="BOE21" s="4"/>
      <c r="BOF21" s="4"/>
      <c r="BOG21" s="4"/>
      <c r="BOH21" s="4"/>
      <c r="BOI21" s="4"/>
      <c r="BOJ21" s="4"/>
      <c r="BOK21" s="4"/>
      <c r="BOL21" s="4"/>
      <c r="BOM21" s="4"/>
      <c r="BON21" s="4"/>
      <c r="BOO21" s="4"/>
      <c r="BOP21" s="4"/>
      <c r="BOQ21" s="4"/>
      <c r="BOR21" s="4"/>
      <c r="BOS21" s="4"/>
      <c r="BOT21" s="4"/>
      <c r="BOU21" s="4"/>
      <c r="BOV21" s="4"/>
      <c r="BOW21" s="4"/>
      <c r="BOX21" s="4"/>
      <c r="BOY21" s="4"/>
      <c r="BOZ21" s="4"/>
      <c r="BPA21" s="4"/>
      <c r="BPB21" s="4"/>
      <c r="BPC21" s="60"/>
    </row>
    <row r="22" s="5" customFormat="1" ht="60" customHeight="1" spans="1:1024 1025:1771">
      <c r="A22" s="359" t="s">
        <v>80</v>
      </c>
      <c r="B22" s="356" t="s">
        <v>81</v>
      </c>
      <c r="C22" s="356" t="s">
        <v>82</v>
      </c>
      <c r="D22" s="356" t="s">
        <v>83</v>
      </c>
      <c r="E22" s="356"/>
      <c r="F22" s="356"/>
      <c r="G22" s="360"/>
      <c r="H22" s="357">
        <f t="shared" si="0"/>
        <v>46161</v>
      </c>
      <c r="I22" s="361" t="s">
        <v>7</v>
      </c>
      <c r="J22" s="360"/>
      <c r="L22" s="5" t="s">
        <v>43</v>
      </c>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c r="YI22" s="4"/>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c r="ADQ22" s="4"/>
      <c r="ADR22" s="4"/>
      <c r="ADS22" s="4"/>
      <c r="ADT22" s="4"/>
      <c r="ADU22" s="4"/>
      <c r="ADV22" s="4"/>
      <c r="ADW22" s="4"/>
      <c r="ADX22" s="4"/>
      <c r="ADY22" s="4"/>
      <c r="ADZ22" s="4"/>
      <c r="AEA22" s="4"/>
      <c r="AEB22" s="4"/>
      <c r="AEC22" s="4"/>
      <c r="AED22" s="4"/>
      <c r="AEE22" s="4"/>
      <c r="AEF22" s="4"/>
      <c r="AEG22" s="4"/>
      <c r="AEH22" s="4"/>
      <c r="AEI22" s="4"/>
      <c r="AEJ22" s="4"/>
      <c r="AEK22" s="4"/>
      <c r="AEL22" s="4"/>
      <c r="AEM22" s="4"/>
      <c r="AEN22" s="4"/>
      <c r="AEO22" s="4"/>
      <c r="AEP22" s="4"/>
      <c r="AEQ22" s="4"/>
      <c r="AER22" s="4"/>
      <c r="AES22" s="4"/>
      <c r="AET22" s="4"/>
      <c r="AEU22" s="4"/>
      <c r="AEV22" s="4"/>
      <c r="AEW22" s="4"/>
      <c r="AEX22" s="4"/>
      <c r="AEY22" s="4"/>
      <c r="AEZ22" s="4"/>
      <c r="AFA22" s="4"/>
      <c r="AFB22" s="4"/>
      <c r="AFC22" s="4"/>
      <c r="AFD22" s="4"/>
      <c r="AFE22" s="4"/>
      <c r="AFF22" s="4"/>
      <c r="AFG22" s="4"/>
      <c r="AFH22" s="4"/>
      <c r="AFI22" s="4"/>
      <c r="AFJ22" s="4"/>
      <c r="AFK22" s="4"/>
      <c r="AFL22" s="4"/>
      <c r="AFM22" s="4"/>
      <c r="AFN22" s="4"/>
      <c r="AFO22" s="4"/>
      <c r="AFP22" s="4"/>
      <c r="AFQ22" s="4"/>
      <c r="AFR22" s="4"/>
      <c r="AFS22" s="4"/>
      <c r="AFT22" s="4"/>
      <c r="AFU22" s="4"/>
      <c r="AFV22" s="4"/>
      <c r="AFW22" s="4"/>
      <c r="AFX22" s="4"/>
      <c r="AFY22" s="4"/>
      <c r="AFZ22" s="4"/>
      <c r="AGA22" s="4"/>
      <c r="AGB22" s="4"/>
      <c r="AGC22" s="4"/>
      <c r="AGD22" s="4"/>
      <c r="AGE22" s="4"/>
      <c r="AGF22" s="4"/>
      <c r="AGG22" s="4"/>
      <c r="AGH22" s="4"/>
      <c r="AGI22" s="4"/>
      <c r="AGJ22" s="4"/>
      <c r="AGK22" s="4"/>
      <c r="AGL22" s="4"/>
      <c r="AGM22" s="4"/>
      <c r="AGN22" s="4"/>
      <c r="AGO22" s="4"/>
      <c r="AGP22" s="4"/>
      <c r="AGQ22" s="4"/>
      <c r="AGR22" s="4"/>
      <c r="AGS22" s="4"/>
      <c r="AGT22" s="4"/>
      <c r="AGU22" s="4"/>
      <c r="AGV22" s="4"/>
      <c r="AGW22" s="4"/>
      <c r="AGX22" s="4"/>
      <c r="AGY22" s="4"/>
      <c r="AGZ22" s="4"/>
      <c r="AHA22" s="4"/>
      <c r="AHB22" s="4"/>
      <c r="AHC22" s="4"/>
      <c r="AHD22" s="4"/>
      <c r="AHE22" s="4"/>
      <c r="AHF22" s="4"/>
      <c r="AHG22" s="4"/>
      <c r="AHH22" s="4"/>
      <c r="AHI22" s="4"/>
      <c r="AHJ22" s="4"/>
      <c r="AHK22" s="4"/>
      <c r="AHL22" s="4"/>
      <c r="AHM22" s="4"/>
      <c r="AHN22" s="4"/>
      <c r="AHO22" s="4"/>
      <c r="AHP22" s="4"/>
      <c r="AHQ22" s="4"/>
      <c r="AHR22" s="4"/>
      <c r="AHS22" s="4"/>
      <c r="AHT22" s="4"/>
      <c r="AHU22" s="4"/>
      <c r="AHV22" s="4"/>
      <c r="AHW22" s="4"/>
      <c r="AHX22" s="4"/>
      <c r="AHY22" s="4"/>
      <c r="AHZ22" s="4"/>
      <c r="AIA22" s="4"/>
      <c r="AIB22" s="4"/>
      <c r="AIC22" s="4"/>
      <c r="AID22" s="4"/>
      <c r="AIE22" s="4"/>
      <c r="AIF22" s="4"/>
      <c r="AIG22" s="4"/>
      <c r="AIH22" s="4"/>
      <c r="AII22" s="4"/>
      <c r="AIJ22" s="4"/>
      <c r="AIK22" s="4"/>
      <c r="AIL22" s="4"/>
      <c r="AIM22" s="4"/>
      <c r="AIN22" s="4"/>
      <c r="AIO22" s="4"/>
      <c r="AIP22" s="4"/>
      <c r="AIQ22" s="4"/>
      <c r="AIR22" s="4"/>
      <c r="AIS22" s="4"/>
      <c r="AIT22" s="4"/>
      <c r="AIU22" s="4"/>
      <c r="AIV22" s="4"/>
      <c r="AIW22" s="4"/>
      <c r="AIX22" s="4"/>
      <c r="AIY22" s="4"/>
      <c r="AIZ22" s="4"/>
      <c r="AJA22" s="4"/>
      <c r="AJB22" s="4"/>
      <c r="AJC22" s="4"/>
      <c r="AJD22" s="4"/>
      <c r="AJE22" s="4"/>
      <c r="AJF22" s="4"/>
      <c r="AJG22" s="4"/>
      <c r="AJH22" s="4"/>
      <c r="AJI22" s="4"/>
      <c r="AJJ22" s="4"/>
      <c r="AJK22" s="4"/>
      <c r="AJL22" s="4"/>
      <c r="AJM22" s="4"/>
      <c r="AJN22" s="4"/>
      <c r="AJO22" s="4"/>
      <c r="AJP22" s="4"/>
      <c r="AJQ22" s="4"/>
      <c r="AJR22" s="4"/>
      <c r="AJS22" s="4"/>
      <c r="AJT22" s="4"/>
      <c r="AJU22" s="4"/>
      <c r="AJV22" s="4"/>
      <c r="AJW22" s="4"/>
      <c r="AJX22" s="4"/>
      <c r="AJY22" s="4"/>
      <c r="AJZ22" s="4"/>
      <c r="AKA22" s="4"/>
      <c r="AKB22" s="4"/>
      <c r="AKC22" s="4"/>
      <c r="AKD22" s="4"/>
      <c r="AKE22" s="4"/>
      <c r="AKF22" s="4"/>
      <c r="AKG22" s="4"/>
      <c r="AKH22" s="4"/>
      <c r="AKI22" s="4"/>
      <c r="AKJ22" s="4"/>
      <c r="AKK22" s="4"/>
      <c r="AKL22" s="4"/>
      <c r="AKM22" s="4"/>
      <c r="AKN22" s="4"/>
      <c r="AKO22" s="4"/>
      <c r="AKP22" s="4"/>
      <c r="AKQ22" s="4"/>
      <c r="AKR22" s="4"/>
      <c r="AKS22" s="4"/>
      <c r="AKT22" s="4"/>
      <c r="AKU22" s="4"/>
      <c r="AKV22" s="4"/>
      <c r="AKW22" s="4"/>
      <c r="AKX22" s="4"/>
      <c r="AKY22" s="4"/>
      <c r="AKZ22" s="4"/>
      <c r="ALA22" s="4"/>
      <c r="ALB22" s="4"/>
      <c r="ALC22" s="4"/>
      <c r="ALD22" s="4"/>
      <c r="ALE22" s="4"/>
      <c r="ALF22" s="4"/>
      <c r="ALG22" s="4"/>
      <c r="ALH22" s="4"/>
      <c r="ALI22" s="4"/>
      <c r="ALJ22" s="4"/>
      <c r="ALK22" s="4"/>
      <c r="ALL22" s="4"/>
      <c r="ALM22" s="4"/>
      <c r="ALN22" s="4"/>
      <c r="ALO22" s="4"/>
      <c r="ALP22" s="4"/>
      <c r="ALQ22" s="4"/>
      <c r="ALR22" s="4"/>
      <c r="ALS22" s="4"/>
      <c r="ALT22" s="4"/>
      <c r="ALU22" s="4"/>
      <c r="ALV22" s="4"/>
      <c r="ALW22" s="4"/>
      <c r="ALX22" s="4"/>
      <c r="ALY22" s="4"/>
      <c r="ALZ22" s="4"/>
      <c r="AMA22" s="4"/>
      <c r="AMB22" s="4"/>
      <c r="AMC22" s="4"/>
      <c r="AMD22" s="4"/>
      <c r="AME22" s="4"/>
      <c r="AMF22" s="4"/>
      <c r="AMG22" s="4"/>
      <c r="AMH22" s="4"/>
      <c r="AMI22" s="4"/>
      <c r="AMJ22" s="4"/>
      <c r="AMK22" s="4"/>
      <c r="AML22" s="4"/>
      <c r="AMM22" s="4"/>
      <c r="AMN22" s="4"/>
      <c r="AMO22" s="4"/>
      <c r="AMP22" s="4"/>
      <c r="AMQ22" s="4"/>
      <c r="AMR22" s="4"/>
      <c r="AMS22" s="4"/>
      <c r="AMT22" s="4"/>
      <c r="AMU22" s="4"/>
      <c r="AMV22" s="4"/>
      <c r="AMW22" s="4"/>
      <c r="AMX22" s="4"/>
      <c r="AMY22" s="4"/>
      <c r="AMZ22" s="4"/>
      <c r="ANA22" s="4"/>
      <c r="ANB22" s="4"/>
      <c r="ANC22" s="4"/>
      <c r="AND22" s="4"/>
      <c r="ANE22" s="4"/>
      <c r="ANF22" s="4"/>
      <c r="ANG22" s="4"/>
      <c r="ANH22" s="4"/>
      <c r="ANI22" s="4"/>
      <c r="ANJ22" s="4"/>
      <c r="ANK22" s="4"/>
      <c r="ANL22" s="4"/>
      <c r="ANM22" s="4"/>
      <c r="ANN22" s="4"/>
      <c r="ANO22" s="4"/>
      <c r="ANP22" s="4"/>
      <c r="ANQ22" s="4"/>
      <c r="ANR22" s="4"/>
      <c r="ANS22" s="4"/>
      <c r="ANT22" s="4"/>
      <c r="ANU22" s="4"/>
      <c r="ANV22" s="4"/>
      <c r="ANW22" s="4"/>
      <c r="ANX22" s="4"/>
      <c r="ANY22" s="4"/>
      <c r="ANZ22" s="4"/>
      <c r="AOA22" s="4"/>
      <c r="AOB22" s="4"/>
      <c r="AOC22" s="4"/>
      <c r="AOD22" s="4"/>
      <c r="AOE22" s="4"/>
      <c r="AOF22" s="4"/>
      <c r="AOG22" s="4"/>
      <c r="AOH22" s="4"/>
      <c r="AOI22" s="4"/>
      <c r="AOJ22" s="4"/>
      <c r="AOK22" s="4"/>
      <c r="AOL22" s="4"/>
      <c r="AOM22" s="4"/>
      <c r="AON22" s="4"/>
      <c r="AOO22" s="4"/>
      <c r="AOP22" s="4"/>
      <c r="AOQ22" s="4"/>
      <c r="AOR22" s="4"/>
      <c r="AOS22" s="4"/>
      <c r="AOT22" s="4"/>
      <c r="AOU22" s="4"/>
      <c r="AOV22" s="4"/>
      <c r="AOW22" s="4"/>
      <c r="AOX22" s="4"/>
      <c r="AOY22" s="4"/>
      <c r="AOZ22" s="4"/>
      <c r="APA22" s="4"/>
      <c r="APB22" s="4"/>
      <c r="APC22" s="4"/>
      <c r="APD22" s="4"/>
      <c r="APE22" s="4"/>
      <c r="APF22" s="4"/>
      <c r="APG22" s="4"/>
      <c r="APH22" s="4"/>
      <c r="API22" s="4"/>
      <c r="APJ22" s="4"/>
      <c r="APK22" s="4"/>
      <c r="APL22" s="4"/>
      <c r="APM22" s="4"/>
      <c r="APN22" s="4"/>
      <c r="APO22" s="4"/>
      <c r="APP22" s="4"/>
      <c r="APQ22" s="4"/>
      <c r="APR22" s="4"/>
      <c r="APS22" s="4"/>
      <c r="APT22" s="4"/>
      <c r="APU22" s="4"/>
      <c r="APV22" s="4"/>
      <c r="APW22" s="4"/>
      <c r="APX22" s="4"/>
      <c r="APY22" s="4"/>
      <c r="APZ22" s="4"/>
      <c r="AQA22" s="4"/>
      <c r="AQB22" s="4"/>
      <c r="AQC22" s="4"/>
      <c r="AQD22" s="4"/>
      <c r="AQE22" s="4"/>
      <c r="AQF22" s="4"/>
      <c r="AQG22" s="4"/>
      <c r="AQH22" s="4"/>
      <c r="AQI22" s="4"/>
      <c r="AQJ22" s="4"/>
      <c r="AQK22" s="4"/>
      <c r="AQL22" s="4"/>
      <c r="AQM22" s="4"/>
      <c r="AQN22" s="4"/>
      <c r="AQO22" s="4"/>
      <c r="AQP22" s="4"/>
      <c r="AQQ22" s="4"/>
      <c r="AQR22" s="4"/>
      <c r="AQS22" s="4"/>
      <c r="AQT22" s="4"/>
      <c r="AQU22" s="4"/>
      <c r="AQV22" s="4"/>
      <c r="AQW22" s="4"/>
      <c r="AQX22" s="4"/>
      <c r="AQY22" s="4"/>
      <c r="AQZ22" s="4"/>
      <c r="ARA22" s="4"/>
      <c r="ARB22" s="4"/>
      <c r="ARC22" s="4"/>
      <c r="ARD22" s="4"/>
      <c r="ARE22" s="4"/>
      <c r="ARF22" s="4"/>
      <c r="ARG22" s="4"/>
      <c r="ARH22" s="4"/>
      <c r="ARI22" s="4"/>
      <c r="ARJ22" s="4"/>
      <c r="ARK22" s="4"/>
      <c r="ARL22" s="4"/>
      <c r="ARM22" s="4"/>
      <c r="ARN22" s="4"/>
      <c r="ARO22" s="4"/>
      <c r="ARP22" s="4"/>
      <c r="ARQ22" s="4"/>
      <c r="ARR22" s="4"/>
      <c r="ARS22" s="4"/>
      <c r="ART22" s="4"/>
      <c r="ARU22" s="4"/>
      <c r="ARV22" s="4"/>
      <c r="ARW22" s="4"/>
      <c r="ARX22" s="4"/>
      <c r="ARY22" s="4"/>
      <c r="ARZ22" s="4"/>
      <c r="ASA22" s="4"/>
      <c r="ASB22" s="4"/>
      <c r="ASC22" s="4"/>
      <c r="ASD22" s="4"/>
      <c r="ASE22" s="4"/>
      <c r="ASF22" s="4"/>
      <c r="ASG22" s="4"/>
      <c r="ASH22" s="4"/>
      <c r="ASI22" s="4"/>
      <c r="ASJ22" s="4"/>
      <c r="ASK22" s="4"/>
      <c r="ASL22" s="4"/>
      <c r="ASM22" s="4"/>
      <c r="ASN22" s="4"/>
      <c r="ASO22" s="4"/>
      <c r="ASP22" s="4"/>
      <c r="ASQ22" s="4"/>
      <c r="ASR22" s="4"/>
      <c r="ASS22" s="4"/>
      <c r="AST22" s="4"/>
      <c r="ASU22" s="4"/>
      <c r="ASV22" s="4"/>
      <c r="ASW22" s="4"/>
      <c r="ASX22" s="4"/>
      <c r="ASY22" s="4"/>
      <c r="ASZ22" s="4"/>
      <c r="ATA22" s="4"/>
      <c r="ATB22" s="4"/>
      <c r="ATC22" s="4"/>
      <c r="ATD22" s="4"/>
      <c r="ATE22" s="4"/>
      <c r="ATF22" s="4"/>
      <c r="ATG22" s="4"/>
      <c r="ATH22" s="4"/>
      <c r="ATI22" s="4"/>
      <c r="ATJ22" s="4"/>
      <c r="ATK22" s="4"/>
      <c r="ATL22" s="4"/>
      <c r="ATM22" s="4"/>
      <c r="ATN22" s="4"/>
      <c r="ATO22" s="4"/>
      <c r="ATP22" s="4"/>
      <c r="ATQ22" s="4"/>
      <c r="ATR22" s="4"/>
      <c r="ATS22" s="4"/>
      <c r="ATT22" s="4"/>
      <c r="ATU22" s="4"/>
      <c r="ATV22" s="4"/>
      <c r="ATW22" s="4"/>
      <c r="ATX22" s="4"/>
      <c r="ATY22" s="4"/>
      <c r="ATZ22" s="4"/>
      <c r="AUA22" s="4"/>
      <c r="AUB22" s="4"/>
      <c r="AUC22" s="4"/>
      <c r="AUD22" s="4"/>
      <c r="AUE22" s="4"/>
      <c r="AUF22" s="4"/>
      <c r="AUG22" s="4"/>
      <c r="AUH22" s="4"/>
      <c r="AUI22" s="4"/>
      <c r="AUJ22" s="4"/>
      <c r="AUK22" s="4"/>
      <c r="AUL22" s="4"/>
      <c r="AUM22" s="4"/>
      <c r="AUN22" s="4"/>
      <c r="AUO22" s="4"/>
      <c r="AUP22" s="4"/>
      <c r="AUQ22" s="4"/>
      <c r="AUR22" s="4"/>
      <c r="AUS22" s="4"/>
      <c r="AUT22" s="4"/>
      <c r="AUU22" s="4"/>
      <c r="AUV22" s="4"/>
      <c r="AUW22" s="4"/>
      <c r="AUX22" s="4"/>
      <c r="AUY22" s="4"/>
      <c r="AUZ22" s="4"/>
      <c r="AVA22" s="4"/>
      <c r="AVB22" s="4"/>
      <c r="AVC22" s="4"/>
      <c r="AVD22" s="4"/>
      <c r="AVE22" s="4"/>
      <c r="AVF22" s="4"/>
      <c r="AVG22" s="4"/>
      <c r="AVH22" s="4"/>
      <c r="AVI22" s="4"/>
      <c r="AVJ22" s="4"/>
      <c r="AVK22" s="4"/>
      <c r="AVL22" s="4"/>
      <c r="AVM22" s="4"/>
      <c r="AVN22" s="4"/>
      <c r="AVO22" s="4"/>
      <c r="AVP22" s="4"/>
      <c r="AVQ22" s="4"/>
      <c r="AVR22" s="4"/>
      <c r="AVS22" s="4"/>
      <c r="AVT22" s="4"/>
      <c r="AVU22" s="4"/>
      <c r="AVV22" s="4"/>
      <c r="AVW22" s="4"/>
      <c r="AVX22" s="4"/>
      <c r="AVY22" s="4"/>
      <c r="AVZ22" s="4"/>
      <c r="AWA22" s="4"/>
      <c r="AWB22" s="4"/>
      <c r="AWC22" s="4"/>
      <c r="AWD22" s="4"/>
      <c r="AWE22" s="4"/>
      <c r="AWF22" s="4"/>
      <c r="AWG22" s="4"/>
      <c r="AWH22" s="4"/>
      <c r="AWI22" s="4"/>
      <c r="AWJ22" s="4"/>
      <c r="AWK22" s="4"/>
      <c r="AWL22" s="4"/>
      <c r="AWM22" s="4"/>
      <c r="AWN22" s="4"/>
      <c r="AWO22" s="4"/>
      <c r="AWP22" s="4"/>
      <c r="AWQ22" s="4"/>
      <c r="AWR22" s="4"/>
      <c r="AWS22" s="4"/>
      <c r="AWT22" s="4"/>
      <c r="AWU22" s="4"/>
      <c r="AWV22" s="4"/>
      <c r="AWW22" s="4"/>
      <c r="AWX22" s="4"/>
      <c r="AWY22" s="4"/>
      <c r="AWZ22" s="4"/>
      <c r="AXA22" s="4"/>
      <c r="AXB22" s="4"/>
      <c r="AXC22" s="4"/>
      <c r="AXD22" s="4"/>
      <c r="AXE22" s="4"/>
      <c r="AXF22" s="4"/>
      <c r="AXG22" s="4"/>
      <c r="AXH22" s="4"/>
      <c r="AXI22" s="4"/>
      <c r="AXJ22" s="4"/>
      <c r="AXK22" s="4"/>
      <c r="AXL22" s="4"/>
      <c r="AXM22" s="4"/>
      <c r="AXN22" s="4"/>
      <c r="AXO22" s="4"/>
      <c r="AXP22" s="4"/>
      <c r="AXQ22" s="4"/>
      <c r="AXR22" s="4"/>
      <c r="AXS22" s="4"/>
      <c r="AXT22" s="4"/>
      <c r="AXU22" s="4"/>
      <c r="AXV22" s="4"/>
      <c r="AXW22" s="4"/>
      <c r="AXX22" s="4"/>
      <c r="AXY22" s="4"/>
      <c r="AXZ22" s="4"/>
      <c r="AYA22" s="4"/>
      <c r="AYB22" s="4"/>
      <c r="AYC22" s="4"/>
      <c r="AYD22" s="4"/>
      <c r="AYE22" s="4"/>
      <c r="AYF22" s="4"/>
      <c r="AYG22" s="4"/>
      <c r="AYH22" s="4"/>
      <c r="AYI22" s="4"/>
      <c r="AYJ22" s="4"/>
      <c r="AYK22" s="4"/>
      <c r="AYL22" s="4"/>
      <c r="AYM22" s="4"/>
      <c r="AYN22" s="4"/>
      <c r="AYO22" s="4"/>
      <c r="AYP22" s="4"/>
      <c r="AYQ22" s="4"/>
      <c r="AYR22" s="4"/>
      <c r="AYS22" s="4"/>
      <c r="AYT22" s="4"/>
      <c r="AYU22" s="4"/>
      <c r="AYV22" s="4"/>
      <c r="AYW22" s="4"/>
      <c r="AYX22" s="4"/>
      <c r="AYY22" s="4"/>
      <c r="AYZ22" s="4"/>
      <c r="AZA22" s="4"/>
      <c r="AZB22" s="4"/>
      <c r="AZC22" s="4"/>
      <c r="AZD22" s="4"/>
      <c r="AZE22" s="4"/>
      <c r="AZF22" s="4"/>
      <c r="AZG22" s="4"/>
      <c r="AZH22" s="4"/>
      <c r="AZI22" s="4"/>
      <c r="AZJ22" s="4"/>
      <c r="AZK22" s="4"/>
      <c r="AZL22" s="4"/>
      <c r="AZM22" s="4"/>
      <c r="AZN22" s="4"/>
      <c r="AZO22" s="4"/>
      <c r="AZP22" s="4"/>
      <c r="AZQ22" s="4"/>
      <c r="AZR22" s="4"/>
      <c r="AZS22" s="4"/>
      <c r="AZT22" s="4"/>
      <c r="AZU22" s="4"/>
      <c r="AZV22" s="4"/>
      <c r="AZW22" s="4"/>
      <c r="AZX22" s="4"/>
      <c r="AZY22" s="4"/>
      <c r="AZZ22" s="4"/>
      <c r="BAA22" s="4"/>
      <c r="BAB22" s="4"/>
      <c r="BAC22" s="4"/>
      <c r="BAD22" s="4"/>
      <c r="BAE22" s="4"/>
      <c r="BAF22" s="4"/>
      <c r="BAG22" s="4"/>
      <c r="BAH22" s="4"/>
      <c r="BAI22" s="4"/>
      <c r="BAJ22" s="4"/>
      <c r="BAK22" s="4"/>
      <c r="BAL22" s="4"/>
      <c r="BAM22" s="4"/>
      <c r="BAN22" s="4"/>
      <c r="BAO22" s="4"/>
      <c r="BAP22" s="4"/>
      <c r="BAQ22" s="4"/>
      <c r="BAR22" s="4"/>
      <c r="BAS22" s="4"/>
      <c r="BAT22" s="4"/>
      <c r="BAU22" s="4"/>
      <c r="BAV22" s="4"/>
      <c r="BAW22" s="4"/>
      <c r="BAX22" s="4"/>
      <c r="BAY22" s="4"/>
      <c r="BAZ22" s="4"/>
      <c r="BBA22" s="4"/>
      <c r="BBB22" s="4"/>
      <c r="BBC22" s="4"/>
      <c r="BBD22" s="4"/>
      <c r="BBE22" s="4"/>
      <c r="BBF22" s="4"/>
      <c r="BBG22" s="4"/>
      <c r="BBH22" s="4"/>
      <c r="BBI22" s="4"/>
      <c r="BBJ22" s="4"/>
      <c r="BBK22" s="4"/>
      <c r="BBL22" s="4"/>
      <c r="BBM22" s="4"/>
      <c r="BBN22" s="4"/>
      <c r="BBO22" s="4"/>
      <c r="BBP22" s="4"/>
      <c r="BBQ22" s="4"/>
      <c r="BBR22" s="4"/>
      <c r="BBS22" s="4"/>
      <c r="BBT22" s="4"/>
      <c r="BBU22" s="4"/>
      <c r="BBV22" s="4"/>
      <c r="BBW22" s="4"/>
      <c r="BBX22" s="4"/>
      <c r="BBY22" s="4"/>
      <c r="BBZ22" s="4"/>
      <c r="BCA22" s="4"/>
      <c r="BCB22" s="4"/>
      <c r="BCC22" s="4"/>
      <c r="BCD22" s="4"/>
      <c r="BCE22" s="4"/>
      <c r="BCF22" s="4"/>
      <c r="BCG22" s="4"/>
      <c r="BCH22" s="4"/>
      <c r="BCI22" s="4"/>
      <c r="BCJ22" s="4"/>
      <c r="BCK22" s="4"/>
      <c r="BCL22" s="4"/>
      <c r="BCM22" s="4"/>
      <c r="BCN22" s="4"/>
      <c r="BCO22" s="4"/>
      <c r="BCP22" s="4"/>
      <c r="BCQ22" s="4"/>
      <c r="BCR22" s="4"/>
      <c r="BCS22" s="4"/>
      <c r="BCT22" s="4"/>
      <c r="BCU22" s="4"/>
      <c r="BCV22" s="4"/>
      <c r="BCW22" s="4"/>
      <c r="BCX22" s="4"/>
      <c r="BCY22" s="4"/>
      <c r="BCZ22" s="4"/>
      <c r="BDA22" s="4"/>
      <c r="BDB22" s="4"/>
      <c r="BDC22" s="4"/>
      <c r="BDD22" s="4"/>
      <c r="BDE22" s="4"/>
      <c r="BDF22" s="4"/>
      <c r="BDG22" s="4"/>
      <c r="BDH22" s="4"/>
      <c r="BDI22" s="4"/>
      <c r="BDJ22" s="4"/>
      <c r="BDK22" s="4"/>
      <c r="BDL22" s="4"/>
      <c r="BDM22" s="4"/>
      <c r="BDN22" s="4"/>
      <c r="BDO22" s="4"/>
      <c r="BDP22" s="4"/>
      <c r="BDQ22" s="4"/>
      <c r="BDR22" s="4"/>
      <c r="BDS22" s="4"/>
      <c r="BDT22" s="4"/>
      <c r="BDU22" s="4"/>
      <c r="BDV22" s="4"/>
      <c r="BDW22" s="4"/>
      <c r="BDX22" s="4"/>
      <c r="BDY22" s="4"/>
      <c r="BDZ22" s="4"/>
      <c r="BEA22" s="4"/>
      <c r="BEB22" s="4"/>
      <c r="BEC22" s="4"/>
      <c r="BED22" s="4"/>
      <c r="BEE22" s="4"/>
      <c r="BEF22" s="4"/>
      <c r="BEG22" s="4"/>
      <c r="BEH22" s="4"/>
      <c r="BEI22" s="4"/>
      <c r="BEJ22" s="4"/>
      <c r="BEK22" s="4"/>
      <c r="BEL22" s="4"/>
      <c r="BEM22" s="4"/>
      <c r="BEN22" s="4"/>
      <c r="BEO22" s="4"/>
      <c r="BEP22" s="4"/>
      <c r="BEQ22" s="4"/>
      <c r="BER22" s="4"/>
      <c r="BES22" s="4"/>
      <c r="BET22" s="4"/>
      <c r="BEU22" s="4"/>
      <c r="BEV22" s="4"/>
      <c r="BEW22" s="4"/>
      <c r="BEX22" s="4"/>
      <c r="BEY22" s="4"/>
      <c r="BEZ22" s="4"/>
      <c r="BFA22" s="4"/>
      <c r="BFB22" s="4"/>
      <c r="BFC22" s="4"/>
      <c r="BFD22" s="4"/>
      <c r="BFE22" s="4"/>
      <c r="BFF22" s="4"/>
      <c r="BFG22" s="4"/>
      <c r="BFH22" s="4"/>
      <c r="BFI22" s="4"/>
      <c r="BFJ22" s="4"/>
      <c r="BFK22" s="4"/>
      <c r="BFL22" s="4"/>
      <c r="BFM22" s="4"/>
      <c r="BFN22" s="4"/>
      <c r="BFO22" s="4"/>
      <c r="BFP22" s="4"/>
      <c r="BFQ22" s="4"/>
      <c r="BFR22" s="4"/>
      <c r="BFS22" s="4"/>
      <c r="BFT22" s="4"/>
      <c r="BFU22" s="4"/>
      <c r="BFV22" s="4"/>
      <c r="BFW22" s="4"/>
      <c r="BFX22" s="4"/>
      <c r="BFY22" s="4"/>
      <c r="BFZ22" s="4"/>
      <c r="BGA22" s="4"/>
      <c r="BGB22" s="4"/>
      <c r="BGC22" s="4"/>
      <c r="BGD22" s="4"/>
      <c r="BGE22" s="4"/>
      <c r="BGF22" s="4"/>
      <c r="BGG22" s="4"/>
      <c r="BGH22" s="4"/>
      <c r="BGI22" s="4"/>
      <c r="BGJ22" s="4"/>
      <c r="BGK22" s="4"/>
      <c r="BGL22" s="4"/>
      <c r="BGM22" s="4"/>
      <c r="BGN22" s="4"/>
      <c r="BGO22" s="4"/>
      <c r="BGP22" s="4"/>
      <c r="BGQ22" s="4"/>
      <c r="BGR22" s="4"/>
      <c r="BGS22" s="4"/>
      <c r="BGT22" s="4"/>
      <c r="BGU22" s="4"/>
      <c r="BGV22" s="4"/>
      <c r="BGW22" s="4"/>
      <c r="BGX22" s="4"/>
      <c r="BGY22" s="4"/>
      <c r="BGZ22" s="4"/>
      <c r="BHA22" s="4"/>
      <c r="BHB22" s="4"/>
      <c r="BHC22" s="4"/>
      <c r="BHD22" s="4"/>
      <c r="BHE22" s="4"/>
      <c r="BHF22" s="4"/>
      <c r="BHG22" s="4"/>
      <c r="BHH22" s="4"/>
      <c r="BHI22" s="4"/>
      <c r="BHJ22" s="4"/>
      <c r="BHK22" s="4"/>
      <c r="BHL22" s="4"/>
      <c r="BHM22" s="4"/>
      <c r="BHN22" s="4"/>
      <c r="BHO22" s="4"/>
      <c r="BHP22" s="4"/>
      <c r="BHQ22" s="4"/>
      <c r="BHR22" s="4"/>
      <c r="BHS22" s="4"/>
      <c r="BHT22" s="4"/>
      <c r="BHU22" s="4"/>
      <c r="BHV22" s="4"/>
      <c r="BHW22" s="4"/>
      <c r="BHX22" s="4"/>
      <c r="BHY22" s="4"/>
      <c r="BHZ22" s="4"/>
      <c r="BIA22" s="4"/>
      <c r="BIB22" s="4"/>
      <c r="BIC22" s="4"/>
      <c r="BID22" s="4"/>
      <c r="BIE22" s="4"/>
      <c r="BIF22" s="4"/>
      <c r="BIG22" s="4"/>
      <c r="BIH22" s="4"/>
      <c r="BII22" s="4"/>
      <c r="BIJ22" s="4"/>
      <c r="BIK22" s="4"/>
      <c r="BIL22" s="4"/>
      <c r="BIM22" s="4"/>
      <c r="BIN22" s="4"/>
      <c r="BIO22" s="4"/>
      <c r="BIP22" s="4"/>
      <c r="BIQ22" s="4"/>
      <c r="BIR22" s="4"/>
      <c r="BIS22" s="4"/>
      <c r="BIT22" s="4"/>
      <c r="BIU22" s="4"/>
      <c r="BIV22" s="4"/>
      <c r="BIW22" s="4"/>
      <c r="BIX22" s="4"/>
      <c r="BIY22" s="4"/>
      <c r="BIZ22" s="4"/>
      <c r="BJA22" s="4"/>
      <c r="BJB22" s="4"/>
      <c r="BJC22" s="4"/>
      <c r="BJD22" s="4"/>
      <c r="BJE22" s="4"/>
      <c r="BJF22" s="4"/>
      <c r="BJG22" s="4"/>
      <c r="BJH22" s="4"/>
      <c r="BJI22" s="4"/>
      <c r="BJJ22" s="4"/>
      <c r="BJK22" s="4"/>
      <c r="BJL22" s="4"/>
      <c r="BJM22" s="4"/>
      <c r="BJN22" s="4"/>
      <c r="BJO22" s="4"/>
      <c r="BJP22" s="4"/>
      <c r="BJQ22" s="4"/>
      <c r="BJR22" s="4"/>
      <c r="BJS22" s="4"/>
      <c r="BJT22" s="4"/>
      <c r="BJU22" s="4"/>
      <c r="BJV22" s="4"/>
      <c r="BJW22" s="4"/>
      <c r="BJX22" s="4"/>
      <c r="BJY22" s="4"/>
      <c r="BJZ22" s="4"/>
      <c r="BKA22" s="4"/>
      <c r="BKB22" s="4"/>
      <c r="BKC22" s="4"/>
      <c r="BKD22" s="4"/>
      <c r="BKE22" s="4"/>
      <c r="BKF22" s="4"/>
      <c r="BKG22" s="4"/>
      <c r="BKH22" s="4"/>
      <c r="BKI22" s="4"/>
      <c r="BKJ22" s="4"/>
      <c r="BKK22" s="4"/>
      <c r="BKL22" s="4"/>
      <c r="BKM22" s="4"/>
      <c r="BKN22" s="4"/>
      <c r="BKO22" s="4"/>
      <c r="BKP22" s="4"/>
      <c r="BKQ22" s="4"/>
      <c r="BKR22" s="4"/>
      <c r="BKS22" s="4"/>
      <c r="BKT22" s="4"/>
      <c r="BKU22" s="4"/>
      <c r="BKV22" s="4"/>
      <c r="BKW22" s="4"/>
      <c r="BKX22" s="4"/>
      <c r="BKY22" s="4"/>
      <c r="BKZ22" s="4"/>
      <c r="BLA22" s="4"/>
      <c r="BLB22" s="4"/>
      <c r="BLC22" s="4"/>
      <c r="BLD22" s="4"/>
      <c r="BLE22" s="4"/>
      <c r="BLF22" s="4"/>
      <c r="BLG22" s="4"/>
      <c r="BLH22" s="4"/>
      <c r="BLI22" s="4"/>
      <c r="BLJ22" s="4"/>
      <c r="BLK22" s="4"/>
      <c r="BLL22" s="4"/>
      <c r="BLM22" s="4"/>
      <c r="BLN22" s="4"/>
      <c r="BLO22" s="4"/>
      <c r="BLP22" s="4"/>
      <c r="BLQ22" s="4"/>
      <c r="BLR22" s="4"/>
      <c r="BLS22" s="4"/>
      <c r="BLT22" s="4"/>
      <c r="BLU22" s="4"/>
      <c r="BLV22" s="4"/>
      <c r="BLW22" s="4"/>
      <c r="BLX22" s="4"/>
      <c r="BLY22" s="4"/>
      <c r="BLZ22" s="4"/>
      <c r="BMA22" s="4"/>
      <c r="BMB22" s="4"/>
      <c r="BMC22" s="4"/>
      <c r="BMD22" s="4"/>
      <c r="BME22" s="4"/>
      <c r="BMF22" s="4"/>
      <c r="BMG22" s="4"/>
      <c r="BMH22" s="4"/>
      <c r="BMI22" s="4"/>
      <c r="BMJ22" s="4"/>
      <c r="BMK22" s="4"/>
      <c r="BML22" s="4"/>
      <c r="BMM22" s="4"/>
      <c r="BMN22" s="4"/>
      <c r="BMO22" s="4"/>
      <c r="BMP22" s="4"/>
      <c r="BMQ22" s="4"/>
      <c r="BMR22" s="4"/>
      <c r="BMS22" s="4"/>
      <c r="BMT22" s="4"/>
      <c r="BMU22" s="4"/>
      <c r="BMV22" s="4"/>
      <c r="BMW22" s="4"/>
      <c r="BMX22" s="4"/>
      <c r="BMY22" s="4"/>
      <c r="BMZ22" s="4"/>
      <c r="BNA22" s="4"/>
      <c r="BNB22" s="4"/>
      <c r="BNC22" s="4"/>
      <c r="BND22" s="4"/>
      <c r="BNE22" s="4"/>
      <c r="BNF22" s="4"/>
      <c r="BNG22" s="4"/>
      <c r="BNH22" s="4"/>
      <c r="BNI22" s="4"/>
      <c r="BNJ22" s="4"/>
      <c r="BNK22" s="4"/>
      <c r="BNL22" s="4"/>
      <c r="BNM22" s="4"/>
      <c r="BNN22" s="4"/>
      <c r="BNO22" s="4"/>
      <c r="BNP22" s="4"/>
      <c r="BNQ22" s="4"/>
      <c r="BNR22" s="4"/>
      <c r="BNS22" s="4"/>
      <c r="BNT22" s="4"/>
      <c r="BNU22" s="4"/>
      <c r="BNV22" s="4"/>
      <c r="BNW22" s="4"/>
      <c r="BNX22" s="4"/>
      <c r="BNY22" s="4"/>
      <c r="BNZ22" s="4"/>
      <c r="BOA22" s="4"/>
      <c r="BOB22" s="4"/>
      <c r="BOC22" s="4"/>
      <c r="BOD22" s="4"/>
      <c r="BOE22" s="4"/>
      <c r="BOF22" s="4"/>
      <c r="BOG22" s="4"/>
      <c r="BOH22" s="4"/>
      <c r="BOI22" s="4"/>
      <c r="BOJ22" s="4"/>
      <c r="BOK22" s="4"/>
      <c r="BOL22" s="4"/>
      <c r="BOM22" s="4"/>
      <c r="BON22" s="4"/>
      <c r="BOO22" s="4"/>
      <c r="BOP22" s="4"/>
      <c r="BOQ22" s="4"/>
      <c r="BOR22" s="4"/>
      <c r="BOS22" s="4"/>
      <c r="BOT22" s="4"/>
      <c r="BOU22" s="4"/>
      <c r="BOV22" s="4"/>
      <c r="BOW22" s="4"/>
      <c r="BOX22" s="4"/>
      <c r="BOY22" s="4"/>
      <c r="BOZ22" s="4"/>
      <c r="BPA22" s="4"/>
      <c r="BPB22" s="4"/>
      <c r="BPC22" s="60"/>
    </row>
    <row r="23" s="5" customFormat="1" ht="60" customHeight="1" spans="1:1024 1025:1771">
      <c r="A23" s="359" t="s">
        <v>84</v>
      </c>
      <c r="B23" s="356" t="s">
        <v>85</v>
      </c>
      <c r="C23" s="356" t="s">
        <v>86</v>
      </c>
      <c r="D23" s="356" t="s">
        <v>87</v>
      </c>
      <c r="E23" s="356"/>
      <c r="F23" s="356"/>
      <c r="G23" s="360"/>
      <c r="H23" s="357">
        <f t="shared" si="0"/>
        <v>46161</v>
      </c>
      <c r="I23" s="361" t="s">
        <v>7</v>
      </c>
      <c r="J23" s="360"/>
      <c r="L23" s="5" t="s">
        <v>43</v>
      </c>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c r="AMJ23" s="4"/>
      <c r="AMK23" s="4"/>
      <c r="AML23" s="4"/>
      <c r="AMM23" s="4"/>
      <c r="AMN23" s="4"/>
      <c r="AMO23" s="4"/>
      <c r="AMP23" s="4"/>
      <c r="AMQ23" s="4"/>
      <c r="AMR23" s="4"/>
      <c r="AMS23" s="4"/>
      <c r="AMT23" s="4"/>
      <c r="AMU23" s="4"/>
      <c r="AMV23" s="4"/>
      <c r="AMW23" s="4"/>
      <c r="AMX23" s="4"/>
      <c r="AMY23" s="4"/>
      <c r="AMZ23" s="4"/>
      <c r="ANA23" s="4"/>
      <c r="ANB23" s="4"/>
      <c r="ANC23" s="4"/>
      <c r="AND23" s="4"/>
      <c r="ANE23" s="4"/>
      <c r="ANF23" s="4"/>
      <c r="ANG23" s="4"/>
      <c r="ANH23" s="4"/>
      <c r="ANI23" s="4"/>
      <c r="ANJ23" s="4"/>
      <c r="ANK23" s="4"/>
      <c r="ANL23" s="4"/>
      <c r="ANM23" s="4"/>
      <c r="ANN23" s="4"/>
      <c r="ANO23" s="4"/>
      <c r="ANP23" s="4"/>
      <c r="ANQ23" s="4"/>
      <c r="ANR23" s="4"/>
      <c r="ANS23" s="4"/>
      <c r="ANT23" s="4"/>
      <c r="ANU23" s="4"/>
      <c r="ANV23" s="4"/>
      <c r="ANW23" s="4"/>
      <c r="ANX23" s="4"/>
      <c r="ANY23" s="4"/>
      <c r="ANZ23" s="4"/>
      <c r="AOA23" s="4"/>
      <c r="AOB23" s="4"/>
      <c r="AOC23" s="4"/>
      <c r="AOD23" s="4"/>
      <c r="AOE23" s="4"/>
      <c r="AOF23" s="4"/>
      <c r="AOG23" s="4"/>
      <c r="AOH23" s="4"/>
      <c r="AOI23" s="4"/>
      <c r="AOJ23" s="4"/>
      <c r="AOK23" s="4"/>
      <c r="AOL23" s="4"/>
      <c r="AOM23" s="4"/>
      <c r="AON23" s="4"/>
      <c r="AOO23" s="4"/>
      <c r="AOP23" s="4"/>
      <c r="AOQ23" s="4"/>
      <c r="AOR23" s="4"/>
      <c r="AOS23" s="4"/>
      <c r="AOT23" s="4"/>
      <c r="AOU23" s="4"/>
      <c r="AOV23" s="4"/>
      <c r="AOW23" s="4"/>
      <c r="AOX23" s="4"/>
      <c r="AOY23" s="4"/>
      <c r="AOZ23" s="4"/>
      <c r="APA23" s="4"/>
      <c r="APB23" s="4"/>
      <c r="APC23" s="4"/>
      <c r="APD23" s="4"/>
      <c r="APE23" s="4"/>
      <c r="APF23" s="4"/>
      <c r="APG23" s="4"/>
      <c r="APH23" s="4"/>
      <c r="API23" s="4"/>
      <c r="APJ23" s="4"/>
      <c r="APK23" s="4"/>
      <c r="APL23" s="4"/>
      <c r="APM23" s="4"/>
      <c r="APN23" s="4"/>
      <c r="APO23" s="4"/>
      <c r="APP23" s="4"/>
      <c r="APQ23" s="4"/>
      <c r="APR23" s="4"/>
      <c r="APS23" s="4"/>
      <c r="APT23" s="4"/>
      <c r="APU23" s="4"/>
      <c r="APV23" s="4"/>
      <c r="APW23" s="4"/>
      <c r="APX23" s="4"/>
      <c r="APY23" s="4"/>
      <c r="APZ23" s="4"/>
      <c r="AQA23" s="4"/>
      <c r="AQB23" s="4"/>
      <c r="AQC23" s="4"/>
      <c r="AQD23" s="4"/>
      <c r="AQE23" s="4"/>
      <c r="AQF23" s="4"/>
      <c r="AQG23" s="4"/>
      <c r="AQH23" s="4"/>
      <c r="AQI23" s="4"/>
      <c r="AQJ23" s="4"/>
      <c r="AQK23" s="4"/>
      <c r="AQL23" s="4"/>
      <c r="AQM23" s="4"/>
      <c r="AQN23" s="4"/>
      <c r="AQO23" s="4"/>
      <c r="AQP23" s="4"/>
      <c r="AQQ23" s="4"/>
      <c r="AQR23" s="4"/>
      <c r="AQS23" s="4"/>
      <c r="AQT23" s="4"/>
      <c r="AQU23" s="4"/>
      <c r="AQV23" s="4"/>
      <c r="AQW23" s="4"/>
      <c r="AQX23" s="4"/>
      <c r="AQY23" s="4"/>
      <c r="AQZ23" s="4"/>
      <c r="ARA23" s="4"/>
      <c r="ARB23" s="4"/>
      <c r="ARC23" s="4"/>
      <c r="ARD23" s="4"/>
      <c r="ARE23" s="4"/>
      <c r="ARF23" s="4"/>
      <c r="ARG23" s="4"/>
      <c r="ARH23" s="4"/>
      <c r="ARI23" s="4"/>
      <c r="ARJ23" s="4"/>
      <c r="ARK23" s="4"/>
      <c r="ARL23" s="4"/>
      <c r="ARM23" s="4"/>
      <c r="ARN23" s="4"/>
      <c r="ARO23" s="4"/>
      <c r="ARP23" s="4"/>
      <c r="ARQ23" s="4"/>
      <c r="ARR23" s="4"/>
      <c r="ARS23" s="4"/>
      <c r="ART23" s="4"/>
      <c r="ARU23" s="4"/>
      <c r="ARV23" s="4"/>
      <c r="ARW23" s="4"/>
      <c r="ARX23" s="4"/>
      <c r="ARY23" s="4"/>
      <c r="ARZ23" s="4"/>
      <c r="ASA23" s="4"/>
      <c r="ASB23" s="4"/>
      <c r="ASC23" s="4"/>
      <c r="ASD23" s="4"/>
      <c r="ASE23" s="4"/>
      <c r="ASF23" s="4"/>
      <c r="ASG23" s="4"/>
      <c r="ASH23" s="4"/>
      <c r="ASI23" s="4"/>
      <c r="ASJ23" s="4"/>
      <c r="ASK23" s="4"/>
      <c r="ASL23" s="4"/>
      <c r="ASM23" s="4"/>
      <c r="ASN23" s="4"/>
      <c r="ASO23" s="4"/>
      <c r="ASP23" s="4"/>
      <c r="ASQ23" s="4"/>
      <c r="ASR23" s="4"/>
      <c r="ASS23" s="4"/>
      <c r="AST23" s="4"/>
      <c r="ASU23" s="4"/>
      <c r="ASV23" s="4"/>
      <c r="ASW23" s="4"/>
      <c r="ASX23" s="4"/>
      <c r="ASY23" s="4"/>
      <c r="ASZ23" s="4"/>
      <c r="ATA23" s="4"/>
      <c r="ATB23" s="4"/>
      <c r="ATC23" s="4"/>
      <c r="ATD23" s="4"/>
      <c r="ATE23" s="4"/>
      <c r="ATF23" s="4"/>
      <c r="ATG23" s="4"/>
      <c r="ATH23" s="4"/>
      <c r="ATI23" s="4"/>
      <c r="ATJ23" s="4"/>
      <c r="ATK23" s="4"/>
      <c r="ATL23" s="4"/>
      <c r="ATM23" s="4"/>
      <c r="ATN23" s="4"/>
      <c r="ATO23" s="4"/>
      <c r="ATP23" s="4"/>
      <c r="ATQ23" s="4"/>
      <c r="ATR23" s="4"/>
      <c r="ATS23" s="4"/>
      <c r="ATT23" s="4"/>
      <c r="ATU23" s="4"/>
      <c r="ATV23" s="4"/>
      <c r="ATW23" s="4"/>
      <c r="ATX23" s="4"/>
      <c r="ATY23" s="4"/>
      <c r="ATZ23" s="4"/>
      <c r="AUA23" s="4"/>
      <c r="AUB23" s="4"/>
      <c r="AUC23" s="4"/>
      <c r="AUD23" s="4"/>
      <c r="AUE23" s="4"/>
      <c r="AUF23" s="4"/>
      <c r="AUG23" s="4"/>
      <c r="AUH23" s="4"/>
      <c r="AUI23" s="4"/>
      <c r="AUJ23" s="4"/>
      <c r="AUK23" s="4"/>
      <c r="AUL23" s="4"/>
      <c r="AUM23" s="4"/>
      <c r="AUN23" s="4"/>
      <c r="AUO23" s="4"/>
      <c r="AUP23" s="4"/>
      <c r="AUQ23" s="4"/>
      <c r="AUR23" s="4"/>
      <c r="AUS23" s="4"/>
      <c r="AUT23" s="4"/>
      <c r="AUU23" s="4"/>
      <c r="AUV23" s="4"/>
      <c r="AUW23" s="4"/>
      <c r="AUX23" s="4"/>
      <c r="AUY23" s="4"/>
      <c r="AUZ23" s="4"/>
      <c r="AVA23" s="4"/>
      <c r="AVB23" s="4"/>
      <c r="AVC23" s="4"/>
      <c r="AVD23" s="4"/>
      <c r="AVE23" s="4"/>
      <c r="AVF23" s="4"/>
      <c r="AVG23" s="4"/>
      <c r="AVH23" s="4"/>
      <c r="AVI23" s="4"/>
      <c r="AVJ23" s="4"/>
      <c r="AVK23" s="4"/>
      <c r="AVL23" s="4"/>
      <c r="AVM23" s="4"/>
      <c r="AVN23" s="4"/>
      <c r="AVO23" s="4"/>
      <c r="AVP23" s="4"/>
      <c r="AVQ23" s="4"/>
      <c r="AVR23" s="4"/>
      <c r="AVS23" s="4"/>
      <c r="AVT23" s="4"/>
      <c r="AVU23" s="4"/>
      <c r="AVV23" s="4"/>
      <c r="AVW23" s="4"/>
      <c r="AVX23" s="4"/>
      <c r="AVY23" s="4"/>
      <c r="AVZ23" s="4"/>
      <c r="AWA23" s="4"/>
      <c r="AWB23" s="4"/>
      <c r="AWC23" s="4"/>
      <c r="AWD23" s="4"/>
      <c r="AWE23" s="4"/>
      <c r="AWF23" s="4"/>
      <c r="AWG23" s="4"/>
      <c r="AWH23" s="4"/>
      <c r="AWI23" s="4"/>
      <c r="AWJ23" s="4"/>
      <c r="AWK23" s="4"/>
      <c r="AWL23" s="4"/>
      <c r="AWM23" s="4"/>
      <c r="AWN23" s="4"/>
      <c r="AWO23" s="4"/>
      <c r="AWP23" s="4"/>
      <c r="AWQ23" s="4"/>
      <c r="AWR23" s="4"/>
      <c r="AWS23" s="4"/>
      <c r="AWT23" s="4"/>
      <c r="AWU23" s="4"/>
      <c r="AWV23" s="4"/>
      <c r="AWW23" s="4"/>
      <c r="AWX23" s="4"/>
      <c r="AWY23" s="4"/>
      <c r="AWZ23" s="4"/>
      <c r="AXA23" s="4"/>
      <c r="AXB23" s="4"/>
      <c r="AXC23" s="4"/>
      <c r="AXD23" s="4"/>
      <c r="AXE23" s="4"/>
      <c r="AXF23" s="4"/>
      <c r="AXG23" s="4"/>
      <c r="AXH23" s="4"/>
      <c r="AXI23" s="4"/>
      <c r="AXJ23" s="4"/>
      <c r="AXK23" s="4"/>
      <c r="AXL23" s="4"/>
      <c r="AXM23" s="4"/>
      <c r="AXN23" s="4"/>
      <c r="AXO23" s="4"/>
      <c r="AXP23" s="4"/>
      <c r="AXQ23" s="4"/>
      <c r="AXR23" s="4"/>
      <c r="AXS23" s="4"/>
      <c r="AXT23" s="4"/>
      <c r="AXU23" s="4"/>
      <c r="AXV23" s="4"/>
      <c r="AXW23" s="4"/>
      <c r="AXX23" s="4"/>
      <c r="AXY23" s="4"/>
      <c r="AXZ23" s="4"/>
      <c r="AYA23" s="4"/>
      <c r="AYB23" s="4"/>
      <c r="AYC23" s="4"/>
      <c r="AYD23" s="4"/>
      <c r="AYE23" s="4"/>
      <c r="AYF23" s="4"/>
      <c r="AYG23" s="4"/>
      <c r="AYH23" s="4"/>
      <c r="AYI23" s="4"/>
      <c r="AYJ23" s="4"/>
      <c r="AYK23" s="4"/>
      <c r="AYL23" s="4"/>
      <c r="AYM23" s="4"/>
      <c r="AYN23" s="4"/>
      <c r="AYO23" s="4"/>
      <c r="AYP23" s="4"/>
      <c r="AYQ23" s="4"/>
      <c r="AYR23" s="4"/>
      <c r="AYS23" s="4"/>
      <c r="AYT23" s="4"/>
      <c r="AYU23" s="4"/>
      <c r="AYV23" s="4"/>
      <c r="AYW23" s="4"/>
      <c r="AYX23" s="4"/>
      <c r="AYY23" s="4"/>
      <c r="AYZ23" s="4"/>
      <c r="AZA23" s="4"/>
      <c r="AZB23" s="4"/>
      <c r="AZC23" s="4"/>
      <c r="AZD23" s="4"/>
      <c r="AZE23" s="4"/>
      <c r="AZF23" s="4"/>
      <c r="AZG23" s="4"/>
      <c r="AZH23" s="4"/>
      <c r="AZI23" s="4"/>
      <c r="AZJ23" s="4"/>
      <c r="AZK23" s="4"/>
      <c r="AZL23" s="4"/>
      <c r="AZM23" s="4"/>
      <c r="AZN23" s="4"/>
      <c r="AZO23" s="4"/>
      <c r="AZP23" s="4"/>
      <c r="AZQ23" s="4"/>
      <c r="AZR23" s="4"/>
      <c r="AZS23" s="4"/>
      <c r="AZT23" s="4"/>
      <c r="AZU23" s="4"/>
      <c r="AZV23" s="4"/>
      <c r="AZW23" s="4"/>
      <c r="AZX23" s="4"/>
      <c r="AZY23" s="4"/>
      <c r="AZZ23" s="4"/>
      <c r="BAA23" s="4"/>
      <c r="BAB23" s="4"/>
      <c r="BAC23" s="4"/>
      <c r="BAD23" s="4"/>
      <c r="BAE23" s="4"/>
      <c r="BAF23" s="4"/>
      <c r="BAG23" s="4"/>
      <c r="BAH23" s="4"/>
      <c r="BAI23" s="4"/>
      <c r="BAJ23" s="4"/>
      <c r="BAK23" s="4"/>
      <c r="BAL23" s="4"/>
      <c r="BAM23" s="4"/>
      <c r="BAN23" s="4"/>
      <c r="BAO23" s="4"/>
      <c r="BAP23" s="4"/>
      <c r="BAQ23" s="4"/>
      <c r="BAR23" s="4"/>
      <c r="BAS23" s="4"/>
      <c r="BAT23" s="4"/>
      <c r="BAU23" s="4"/>
      <c r="BAV23" s="4"/>
      <c r="BAW23" s="4"/>
      <c r="BAX23" s="4"/>
      <c r="BAY23" s="4"/>
      <c r="BAZ23" s="4"/>
      <c r="BBA23" s="4"/>
      <c r="BBB23" s="4"/>
      <c r="BBC23" s="4"/>
      <c r="BBD23" s="4"/>
      <c r="BBE23" s="4"/>
      <c r="BBF23" s="4"/>
      <c r="BBG23" s="4"/>
      <c r="BBH23" s="4"/>
      <c r="BBI23" s="4"/>
      <c r="BBJ23" s="4"/>
      <c r="BBK23" s="4"/>
      <c r="BBL23" s="4"/>
      <c r="BBM23" s="4"/>
      <c r="BBN23" s="4"/>
      <c r="BBO23" s="4"/>
      <c r="BBP23" s="4"/>
      <c r="BBQ23" s="4"/>
      <c r="BBR23" s="4"/>
      <c r="BBS23" s="4"/>
      <c r="BBT23" s="4"/>
      <c r="BBU23" s="4"/>
      <c r="BBV23" s="4"/>
      <c r="BBW23" s="4"/>
      <c r="BBX23" s="4"/>
      <c r="BBY23" s="4"/>
      <c r="BBZ23" s="4"/>
      <c r="BCA23" s="4"/>
      <c r="BCB23" s="4"/>
      <c r="BCC23" s="4"/>
      <c r="BCD23" s="4"/>
      <c r="BCE23" s="4"/>
      <c r="BCF23" s="4"/>
      <c r="BCG23" s="4"/>
      <c r="BCH23" s="4"/>
      <c r="BCI23" s="4"/>
      <c r="BCJ23" s="4"/>
      <c r="BCK23" s="4"/>
      <c r="BCL23" s="4"/>
      <c r="BCM23" s="4"/>
      <c r="BCN23" s="4"/>
      <c r="BCO23" s="4"/>
      <c r="BCP23" s="4"/>
      <c r="BCQ23" s="4"/>
      <c r="BCR23" s="4"/>
      <c r="BCS23" s="4"/>
      <c r="BCT23" s="4"/>
      <c r="BCU23" s="4"/>
      <c r="BCV23" s="4"/>
      <c r="BCW23" s="4"/>
      <c r="BCX23" s="4"/>
      <c r="BCY23" s="4"/>
      <c r="BCZ23" s="4"/>
      <c r="BDA23" s="4"/>
      <c r="BDB23" s="4"/>
      <c r="BDC23" s="4"/>
      <c r="BDD23" s="4"/>
      <c r="BDE23" s="4"/>
      <c r="BDF23" s="4"/>
      <c r="BDG23" s="4"/>
      <c r="BDH23" s="4"/>
      <c r="BDI23" s="4"/>
      <c r="BDJ23" s="4"/>
      <c r="BDK23" s="4"/>
      <c r="BDL23" s="4"/>
      <c r="BDM23" s="4"/>
      <c r="BDN23" s="4"/>
      <c r="BDO23" s="4"/>
      <c r="BDP23" s="4"/>
      <c r="BDQ23" s="4"/>
      <c r="BDR23" s="4"/>
      <c r="BDS23" s="4"/>
      <c r="BDT23" s="4"/>
      <c r="BDU23" s="4"/>
      <c r="BDV23" s="4"/>
      <c r="BDW23" s="4"/>
      <c r="BDX23" s="4"/>
      <c r="BDY23" s="4"/>
      <c r="BDZ23" s="4"/>
      <c r="BEA23" s="4"/>
      <c r="BEB23" s="4"/>
      <c r="BEC23" s="4"/>
      <c r="BED23" s="4"/>
      <c r="BEE23" s="4"/>
      <c r="BEF23" s="4"/>
      <c r="BEG23" s="4"/>
      <c r="BEH23" s="4"/>
      <c r="BEI23" s="4"/>
      <c r="BEJ23" s="4"/>
      <c r="BEK23" s="4"/>
      <c r="BEL23" s="4"/>
      <c r="BEM23" s="4"/>
      <c r="BEN23" s="4"/>
      <c r="BEO23" s="4"/>
      <c r="BEP23" s="4"/>
      <c r="BEQ23" s="4"/>
      <c r="BER23" s="4"/>
      <c r="BES23" s="4"/>
      <c r="BET23" s="4"/>
      <c r="BEU23" s="4"/>
      <c r="BEV23" s="4"/>
      <c r="BEW23" s="4"/>
      <c r="BEX23" s="4"/>
      <c r="BEY23" s="4"/>
      <c r="BEZ23" s="4"/>
      <c r="BFA23" s="4"/>
      <c r="BFB23" s="4"/>
      <c r="BFC23" s="4"/>
      <c r="BFD23" s="4"/>
      <c r="BFE23" s="4"/>
      <c r="BFF23" s="4"/>
      <c r="BFG23" s="4"/>
      <c r="BFH23" s="4"/>
      <c r="BFI23" s="4"/>
      <c r="BFJ23" s="4"/>
      <c r="BFK23" s="4"/>
      <c r="BFL23" s="4"/>
      <c r="BFM23" s="4"/>
      <c r="BFN23" s="4"/>
      <c r="BFO23" s="4"/>
      <c r="BFP23" s="4"/>
      <c r="BFQ23" s="4"/>
      <c r="BFR23" s="4"/>
      <c r="BFS23" s="4"/>
      <c r="BFT23" s="4"/>
      <c r="BFU23" s="4"/>
      <c r="BFV23" s="4"/>
      <c r="BFW23" s="4"/>
      <c r="BFX23" s="4"/>
      <c r="BFY23" s="4"/>
      <c r="BFZ23" s="4"/>
      <c r="BGA23" s="4"/>
      <c r="BGB23" s="4"/>
      <c r="BGC23" s="4"/>
      <c r="BGD23" s="4"/>
      <c r="BGE23" s="4"/>
      <c r="BGF23" s="4"/>
      <c r="BGG23" s="4"/>
      <c r="BGH23" s="4"/>
      <c r="BGI23" s="4"/>
      <c r="BGJ23" s="4"/>
      <c r="BGK23" s="4"/>
      <c r="BGL23" s="4"/>
      <c r="BGM23" s="4"/>
      <c r="BGN23" s="4"/>
      <c r="BGO23" s="4"/>
      <c r="BGP23" s="4"/>
      <c r="BGQ23" s="4"/>
      <c r="BGR23" s="4"/>
      <c r="BGS23" s="4"/>
      <c r="BGT23" s="4"/>
      <c r="BGU23" s="4"/>
      <c r="BGV23" s="4"/>
      <c r="BGW23" s="4"/>
      <c r="BGX23" s="4"/>
      <c r="BGY23" s="4"/>
      <c r="BGZ23" s="4"/>
      <c r="BHA23" s="4"/>
      <c r="BHB23" s="4"/>
      <c r="BHC23" s="4"/>
      <c r="BHD23" s="4"/>
      <c r="BHE23" s="4"/>
      <c r="BHF23" s="4"/>
      <c r="BHG23" s="4"/>
      <c r="BHH23" s="4"/>
      <c r="BHI23" s="4"/>
      <c r="BHJ23" s="4"/>
      <c r="BHK23" s="4"/>
      <c r="BHL23" s="4"/>
      <c r="BHM23" s="4"/>
      <c r="BHN23" s="4"/>
      <c r="BHO23" s="4"/>
      <c r="BHP23" s="4"/>
      <c r="BHQ23" s="4"/>
      <c r="BHR23" s="4"/>
      <c r="BHS23" s="4"/>
      <c r="BHT23" s="4"/>
      <c r="BHU23" s="4"/>
      <c r="BHV23" s="4"/>
      <c r="BHW23" s="4"/>
      <c r="BHX23" s="4"/>
      <c r="BHY23" s="4"/>
      <c r="BHZ23" s="4"/>
      <c r="BIA23" s="4"/>
      <c r="BIB23" s="4"/>
      <c r="BIC23" s="4"/>
      <c r="BID23" s="4"/>
      <c r="BIE23" s="4"/>
      <c r="BIF23" s="4"/>
      <c r="BIG23" s="4"/>
      <c r="BIH23" s="4"/>
      <c r="BII23" s="4"/>
      <c r="BIJ23" s="4"/>
      <c r="BIK23" s="4"/>
      <c r="BIL23" s="4"/>
      <c r="BIM23" s="4"/>
      <c r="BIN23" s="4"/>
      <c r="BIO23" s="4"/>
      <c r="BIP23" s="4"/>
      <c r="BIQ23" s="4"/>
      <c r="BIR23" s="4"/>
      <c r="BIS23" s="4"/>
      <c r="BIT23" s="4"/>
      <c r="BIU23" s="4"/>
      <c r="BIV23" s="4"/>
      <c r="BIW23" s="4"/>
      <c r="BIX23" s="4"/>
      <c r="BIY23" s="4"/>
      <c r="BIZ23" s="4"/>
      <c r="BJA23" s="4"/>
      <c r="BJB23" s="4"/>
      <c r="BJC23" s="4"/>
      <c r="BJD23" s="4"/>
      <c r="BJE23" s="4"/>
      <c r="BJF23" s="4"/>
      <c r="BJG23" s="4"/>
      <c r="BJH23" s="4"/>
      <c r="BJI23" s="4"/>
      <c r="BJJ23" s="4"/>
      <c r="BJK23" s="4"/>
      <c r="BJL23" s="4"/>
      <c r="BJM23" s="4"/>
      <c r="BJN23" s="4"/>
      <c r="BJO23" s="4"/>
      <c r="BJP23" s="4"/>
      <c r="BJQ23" s="4"/>
      <c r="BJR23" s="4"/>
      <c r="BJS23" s="4"/>
      <c r="BJT23" s="4"/>
      <c r="BJU23" s="4"/>
      <c r="BJV23" s="4"/>
      <c r="BJW23" s="4"/>
      <c r="BJX23" s="4"/>
      <c r="BJY23" s="4"/>
      <c r="BJZ23" s="4"/>
      <c r="BKA23" s="4"/>
      <c r="BKB23" s="4"/>
      <c r="BKC23" s="4"/>
      <c r="BKD23" s="4"/>
      <c r="BKE23" s="4"/>
      <c r="BKF23" s="4"/>
      <c r="BKG23" s="4"/>
      <c r="BKH23" s="4"/>
      <c r="BKI23" s="4"/>
      <c r="BKJ23" s="4"/>
      <c r="BKK23" s="4"/>
      <c r="BKL23" s="4"/>
      <c r="BKM23" s="4"/>
      <c r="BKN23" s="4"/>
      <c r="BKO23" s="4"/>
      <c r="BKP23" s="4"/>
      <c r="BKQ23" s="4"/>
      <c r="BKR23" s="4"/>
      <c r="BKS23" s="4"/>
      <c r="BKT23" s="4"/>
      <c r="BKU23" s="4"/>
      <c r="BKV23" s="4"/>
      <c r="BKW23" s="4"/>
      <c r="BKX23" s="4"/>
      <c r="BKY23" s="4"/>
      <c r="BKZ23" s="4"/>
      <c r="BLA23" s="4"/>
      <c r="BLB23" s="4"/>
      <c r="BLC23" s="4"/>
      <c r="BLD23" s="4"/>
      <c r="BLE23" s="4"/>
      <c r="BLF23" s="4"/>
      <c r="BLG23" s="4"/>
      <c r="BLH23" s="4"/>
      <c r="BLI23" s="4"/>
      <c r="BLJ23" s="4"/>
      <c r="BLK23" s="4"/>
      <c r="BLL23" s="4"/>
      <c r="BLM23" s="4"/>
      <c r="BLN23" s="4"/>
      <c r="BLO23" s="4"/>
      <c r="BLP23" s="4"/>
      <c r="BLQ23" s="4"/>
      <c r="BLR23" s="4"/>
      <c r="BLS23" s="4"/>
      <c r="BLT23" s="4"/>
      <c r="BLU23" s="4"/>
      <c r="BLV23" s="4"/>
      <c r="BLW23" s="4"/>
      <c r="BLX23" s="4"/>
      <c r="BLY23" s="4"/>
      <c r="BLZ23" s="4"/>
      <c r="BMA23" s="4"/>
      <c r="BMB23" s="4"/>
      <c r="BMC23" s="4"/>
      <c r="BMD23" s="4"/>
      <c r="BME23" s="4"/>
      <c r="BMF23" s="4"/>
      <c r="BMG23" s="4"/>
      <c r="BMH23" s="4"/>
      <c r="BMI23" s="4"/>
      <c r="BMJ23" s="4"/>
      <c r="BMK23" s="4"/>
      <c r="BML23" s="4"/>
      <c r="BMM23" s="4"/>
      <c r="BMN23" s="4"/>
      <c r="BMO23" s="4"/>
      <c r="BMP23" s="4"/>
      <c r="BMQ23" s="4"/>
      <c r="BMR23" s="4"/>
      <c r="BMS23" s="4"/>
      <c r="BMT23" s="4"/>
      <c r="BMU23" s="4"/>
      <c r="BMV23" s="4"/>
      <c r="BMW23" s="4"/>
      <c r="BMX23" s="4"/>
      <c r="BMY23" s="4"/>
      <c r="BMZ23" s="4"/>
      <c r="BNA23" s="4"/>
      <c r="BNB23" s="4"/>
      <c r="BNC23" s="4"/>
      <c r="BND23" s="4"/>
      <c r="BNE23" s="4"/>
      <c r="BNF23" s="4"/>
      <c r="BNG23" s="4"/>
      <c r="BNH23" s="4"/>
      <c r="BNI23" s="4"/>
      <c r="BNJ23" s="4"/>
      <c r="BNK23" s="4"/>
      <c r="BNL23" s="4"/>
      <c r="BNM23" s="4"/>
      <c r="BNN23" s="4"/>
      <c r="BNO23" s="4"/>
      <c r="BNP23" s="4"/>
      <c r="BNQ23" s="4"/>
      <c r="BNR23" s="4"/>
      <c r="BNS23" s="4"/>
      <c r="BNT23" s="4"/>
      <c r="BNU23" s="4"/>
      <c r="BNV23" s="4"/>
      <c r="BNW23" s="4"/>
      <c r="BNX23" s="4"/>
      <c r="BNY23" s="4"/>
      <c r="BNZ23" s="4"/>
      <c r="BOA23" s="4"/>
      <c r="BOB23" s="4"/>
      <c r="BOC23" s="4"/>
      <c r="BOD23" s="4"/>
      <c r="BOE23" s="4"/>
      <c r="BOF23" s="4"/>
      <c r="BOG23" s="4"/>
      <c r="BOH23" s="4"/>
      <c r="BOI23" s="4"/>
      <c r="BOJ23" s="4"/>
      <c r="BOK23" s="4"/>
      <c r="BOL23" s="4"/>
      <c r="BOM23" s="4"/>
      <c r="BON23" s="4"/>
      <c r="BOO23" s="4"/>
      <c r="BOP23" s="4"/>
      <c r="BOQ23" s="4"/>
      <c r="BOR23" s="4"/>
      <c r="BOS23" s="4"/>
      <c r="BOT23" s="4"/>
      <c r="BOU23" s="4"/>
      <c r="BOV23" s="4"/>
      <c r="BOW23" s="4"/>
      <c r="BOX23" s="4"/>
      <c r="BOY23" s="4"/>
      <c r="BOZ23" s="4"/>
      <c r="BPA23" s="4"/>
      <c r="BPB23" s="4"/>
      <c r="BPC23" s="60"/>
    </row>
    <row r="24" s="6" customFormat="1" ht="60" customHeight="1" spans="1:1024 1025:1771">
      <c r="A24" s="355" t="s">
        <v>88</v>
      </c>
      <c r="B24" s="356" t="s">
        <v>89</v>
      </c>
      <c r="C24" s="356" t="s">
        <v>90</v>
      </c>
      <c r="D24" s="356" t="s">
        <v>91</v>
      </c>
      <c r="E24" s="356"/>
      <c r="F24" s="356"/>
      <c r="G24" s="356"/>
      <c r="H24" s="357">
        <f t="shared" si="0"/>
        <v>46161</v>
      </c>
      <c r="I24" s="358" t="s">
        <v>7</v>
      </c>
      <c r="J24" s="356"/>
      <c r="K24" s="5"/>
      <c r="L24" s="5" t="s">
        <v>43</v>
      </c>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c r="WV24" s="4"/>
      <c r="WW24" s="4"/>
      <c r="WX24" s="4"/>
      <c r="WY24" s="4"/>
      <c r="WZ24" s="4"/>
      <c r="XA24" s="4"/>
      <c r="XB24" s="4"/>
      <c r="XC24" s="4"/>
      <c r="XD24" s="4"/>
      <c r="XE24" s="4"/>
      <c r="XF24" s="4"/>
      <c r="XG24" s="4"/>
      <c r="XH24" s="4"/>
      <c r="XI24" s="4"/>
      <c r="XJ24" s="4"/>
      <c r="XK24" s="4"/>
      <c r="XL24" s="4"/>
      <c r="XM24" s="4"/>
      <c r="XN24" s="4"/>
      <c r="XO24" s="4"/>
      <c r="XP24" s="4"/>
      <c r="XQ24" s="4"/>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c r="AFH24" s="4"/>
      <c r="AFI24" s="4"/>
      <c r="AFJ24" s="4"/>
      <c r="AFK24" s="4"/>
      <c r="AFL24" s="4"/>
      <c r="AFM24" s="4"/>
      <c r="AFN24" s="4"/>
      <c r="AFO24" s="4"/>
      <c r="AFP24" s="4"/>
      <c r="AFQ24" s="4"/>
      <c r="AFR24" s="4"/>
      <c r="AFS24" s="4"/>
      <c r="AFT24" s="4"/>
      <c r="AFU24" s="4"/>
      <c r="AFV24" s="4"/>
      <c r="AFW24" s="4"/>
      <c r="AFX24" s="4"/>
      <c r="AFY24" s="4"/>
      <c r="AFZ24" s="4"/>
      <c r="AGA24" s="4"/>
      <c r="AGB24" s="4"/>
      <c r="AGC24" s="4"/>
      <c r="AGD24" s="4"/>
      <c r="AGE24" s="4"/>
      <c r="AGF24" s="4"/>
      <c r="AGG24" s="4"/>
      <c r="AGH24" s="4"/>
      <c r="AGI24" s="4"/>
      <c r="AGJ24" s="4"/>
      <c r="AGK24" s="4"/>
      <c r="AGL24" s="4"/>
      <c r="AGM24" s="4"/>
      <c r="AGN24" s="4"/>
      <c r="AGO24" s="4"/>
      <c r="AGP24" s="4"/>
      <c r="AGQ24" s="4"/>
      <c r="AGR24" s="4"/>
      <c r="AGS24" s="4"/>
      <c r="AGT24" s="4"/>
      <c r="AGU24" s="4"/>
      <c r="AGV24" s="4"/>
      <c r="AGW24" s="4"/>
      <c r="AGX24" s="4"/>
      <c r="AGY24" s="4"/>
      <c r="AGZ24" s="4"/>
      <c r="AHA24" s="4"/>
      <c r="AHB24" s="4"/>
      <c r="AHC24" s="4"/>
      <c r="AHD24" s="4"/>
      <c r="AHE24" s="4"/>
      <c r="AHF24" s="4"/>
      <c r="AHG24" s="4"/>
      <c r="AHH24" s="4"/>
      <c r="AHI24" s="4"/>
      <c r="AHJ24" s="4"/>
      <c r="AHK24" s="4"/>
      <c r="AHL24" s="4"/>
      <c r="AHM24" s="4"/>
      <c r="AHN24" s="4"/>
      <c r="AHO24" s="4"/>
      <c r="AHP24" s="4"/>
      <c r="AHQ24" s="4"/>
      <c r="AHR24" s="4"/>
      <c r="AHS24" s="4"/>
      <c r="AHT24" s="4"/>
      <c r="AHU24" s="4"/>
      <c r="AHV24" s="4"/>
      <c r="AHW24" s="4"/>
      <c r="AHX24" s="4"/>
      <c r="AHY24" s="4"/>
      <c r="AHZ24" s="4"/>
      <c r="AIA24" s="4"/>
      <c r="AIB24" s="4"/>
      <c r="AIC24" s="4"/>
      <c r="AID24" s="4"/>
      <c r="AIE24" s="4"/>
      <c r="AIF24" s="4"/>
      <c r="AIG24" s="4"/>
      <c r="AIH24" s="4"/>
      <c r="AII24" s="4"/>
      <c r="AIJ24" s="4"/>
      <c r="AIK24" s="4"/>
      <c r="AIL24" s="4"/>
      <c r="AIM24" s="4"/>
      <c r="AIN24" s="4"/>
      <c r="AIO24" s="4"/>
      <c r="AIP24" s="4"/>
      <c r="AIQ24" s="4"/>
      <c r="AIR24" s="4"/>
      <c r="AIS24" s="4"/>
      <c r="AIT24" s="4"/>
      <c r="AIU24" s="4"/>
      <c r="AIV24" s="4"/>
      <c r="AIW24" s="4"/>
      <c r="AIX24" s="4"/>
      <c r="AIY24" s="4"/>
      <c r="AIZ24" s="4"/>
      <c r="AJA24" s="4"/>
      <c r="AJB24" s="4"/>
      <c r="AJC24" s="4"/>
      <c r="AJD24" s="4"/>
      <c r="AJE24" s="4"/>
      <c r="AJF24" s="4"/>
      <c r="AJG24" s="4"/>
      <c r="AJH24" s="4"/>
      <c r="AJI24" s="4"/>
      <c r="AJJ24" s="4"/>
      <c r="AJK24" s="4"/>
      <c r="AJL24" s="4"/>
      <c r="AJM24" s="4"/>
      <c r="AJN24" s="4"/>
      <c r="AJO24" s="4"/>
      <c r="AJP24" s="4"/>
      <c r="AJQ24" s="4"/>
      <c r="AJR24" s="4"/>
      <c r="AJS24" s="4"/>
      <c r="AJT24" s="4"/>
      <c r="AJU24" s="4"/>
      <c r="AJV24" s="4"/>
      <c r="AJW24" s="4"/>
      <c r="AJX24" s="4"/>
      <c r="AJY24" s="4"/>
      <c r="AJZ24" s="4"/>
      <c r="AKA24" s="4"/>
      <c r="AKB24" s="4"/>
      <c r="AKC24" s="4"/>
      <c r="AKD24" s="4"/>
      <c r="AKE24" s="4"/>
      <c r="AKF24" s="4"/>
      <c r="AKG24" s="4"/>
      <c r="AKH24" s="4"/>
      <c r="AKI24" s="4"/>
      <c r="AKJ24" s="4"/>
      <c r="AKK24" s="4"/>
      <c r="AKL24" s="4"/>
      <c r="AKM24" s="4"/>
      <c r="AKN24" s="4"/>
      <c r="AKO24" s="4"/>
      <c r="AKP24" s="4"/>
      <c r="AKQ24" s="4"/>
      <c r="AKR24" s="4"/>
      <c r="AKS24" s="4"/>
      <c r="AKT24" s="4"/>
      <c r="AKU24" s="4"/>
      <c r="AKV24" s="4"/>
      <c r="AKW24" s="4"/>
      <c r="AKX24" s="4"/>
      <c r="AKY24" s="4"/>
      <c r="AKZ24" s="4"/>
      <c r="ALA24" s="4"/>
      <c r="ALB24" s="4"/>
      <c r="ALC24" s="4"/>
      <c r="ALD24" s="4"/>
      <c r="ALE24" s="4"/>
      <c r="ALF24" s="4"/>
      <c r="ALG24" s="4"/>
      <c r="ALH24" s="4"/>
      <c r="ALI24" s="4"/>
      <c r="ALJ24" s="4"/>
      <c r="ALK24" s="4"/>
      <c r="ALL24" s="4"/>
      <c r="ALM24" s="4"/>
      <c r="ALN24" s="4"/>
      <c r="ALO24" s="4"/>
      <c r="ALP24" s="4"/>
      <c r="ALQ24" s="4"/>
      <c r="ALR24" s="4"/>
      <c r="ALS24" s="4"/>
      <c r="ALT24" s="4"/>
      <c r="ALU24" s="4"/>
      <c r="ALV24" s="4"/>
      <c r="ALW24" s="4"/>
      <c r="ALX24" s="4"/>
      <c r="ALY24" s="4"/>
      <c r="ALZ24" s="4"/>
      <c r="AMA24" s="4"/>
      <c r="AMB24" s="4"/>
      <c r="AMC24" s="4"/>
      <c r="AMD24" s="4"/>
      <c r="AME24" s="4"/>
      <c r="AMF24" s="4"/>
      <c r="AMG24" s="4"/>
      <c r="AMH24" s="4"/>
      <c r="AMI24" s="4"/>
      <c r="AMJ24" s="4"/>
      <c r="AMK24" s="4"/>
      <c r="AML24" s="4"/>
      <c r="AMM24" s="4"/>
      <c r="AMN24" s="4"/>
      <c r="AMO24" s="4"/>
      <c r="AMP24" s="4"/>
      <c r="AMQ24" s="4"/>
      <c r="AMR24" s="4"/>
      <c r="AMS24" s="4"/>
      <c r="AMT24" s="4"/>
      <c r="AMU24" s="4"/>
      <c r="AMV24" s="4"/>
      <c r="AMW24" s="4"/>
      <c r="AMX24" s="4"/>
      <c r="AMY24" s="4"/>
      <c r="AMZ24" s="4"/>
      <c r="ANA24" s="4"/>
      <c r="ANB24" s="4"/>
      <c r="ANC24" s="4"/>
      <c r="AND24" s="4"/>
      <c r="ANE24" s="4"/>
      <c r="ANF24" s="4"/>
      <c r="ANG24" s="4"/>
      <c r="ANH24" s="4"/>
      <c r="ANI24" s="4"/>
      <c r="ANJ24" s="4"/>
      <c r="ANK24" s="4"/>
      <c r="ANL24" s="4"/>
      <c r="ANM24" s="4"/>
      <c r="ANN24" s="4"/>
      <c r="ANO24" s="4"/>
      <c r="ANP24" s="4"/>
      <c r="ANQ24" s="4"/>
      <c r="ANR24" s="4"/>
      <c r="ANS24" s="4"/>
      <c r="ANT24" s="4"/>
      <c r="ANU24" s="4"/>
      <c r="ANV24" s="4"/>
      <c r="ANW24" s="4"/>
      <c r="ANX24" s="4"/>
      <c r="ANY24" s="4"/>
      <c r="ANZ24" s="4"/>
      <c r="AOA24" s="4"/>
      <c r="AOB24" s="4"/>
      <c r="AOC24" s="4"/>
      <c r="AOD24" s="4"/>
      <c r="AOE24" s="4"/>
      <c r="AOF24" s="4"/>
      <c r="AOG24" s="4"/>
      <c r="AOH24" s="4"/>
      <c r="AOI24" s="4"/>
      <c r="AOJ24" s="4"/>
      <c r="AOK24" s="4"/>
      <c r="AOL24" s="4"/>
      <c r="AOM24" s="4"/>
      <c r="AON24" s="4"/>
      <c r="AOO24" s="4"/>
      <c r="AOP24" s="4"/>
      <c r="AOQ24" s="4"/>
      <c r="AOR24" s="4"/>
      <c r="AOS24" s="4"/>
      <c r="AOT24" s="4"/>
      <c r="AOU24" s="4"/>
      <c r="AOV24" s="4"/>
      <c r="AOW24" s="4"/>
      <c r="AOX24" s="4"/>
      <c r="AOY24" s="4"/>
      <c r="AOZ24" s="4"/>
      <c r="APA24" s="4"/>
      <c r="APB24" s="4"/>
      <c r="APC24" s="4"/>
      <c r="APD24" s="4"/>
      <c r="APE24" s="4"/>
      <c r="APF24" s="4"/>
      <c r="APG24" s="4"/>
      <c r="APH24" s="4"/>
      <c r="API24" s="4"/>
      <c r="APJ24" s="4"/>
      <c r="APK24" s="4"/>
      <c r="APL24" s="4"/>
      <c r="APM24" s="4"/>
      <c r="APN24" s="4"/>
      <c r="APO24" s="4"/>
      <c r="APP24" s="4"/>
      <c r="APQ24" s="4"/>
      <c r="APR24" s="4"/>
      <c r="APS24" s="4"/>
      <c r="APT24" s="4"/>
      <c r="APU24" s="4"/>
      <c r="APV24" s="4"/>
      <c r="APW24" s="4"/>
      <c r="APX24" s="4"/>
      <c r="APY24" s="4"/>
      <c r="APZ24" s="4"/>
      <c r="AQA24" s="4"/>
      <c r="AQB24" s="4"/>
      <c r="AQC24" s="4"/>
      <c r="AQD24" s="4"/>
      <c r="AQE24" s="4"/>
      <c r="AQF24" s="4"/>
      <c r="AQG24" s="4"/>
      <c r="AQH24" s="4"/>
      <c r="AQI24" s="4"/>
      <c r="AQJ24" s="4"/>
      <c r="AQK24" s="4"/>
      <c r="AQL24" s="4"/>
      <c r="AQM24" s="4"/>
      <c r="AQN24" s="4"/>
      <c r="AQO24" s="4"/>
      <c r="AQP24" s="4"/>
      <c r="AQQ24" s="4"/>
      <c r="AQR24" s="4"/>
      <c r="AQS24" s="4"/>
      <c r="AQT24" s="4"/>
      <c r="AQU24" s="4"/>
      <c r="AQV24" s="4"/>
      <c r="AQW24" s="4"/>
      <c r="AQX24" s="4"/>
      <c r="AQY24" s="4"/>
      <c r="AQZ24" s="4"/>
      <c r="ARA24" s="4"/>
      <c r="ARB24" s="4"/>
      <c r="ARC24" s="4"/>
      <c r="ARD24" s="4"/>
      <c r="ARE24" s="4"/>
      <c r="ARF24" s="4"/>
      <c r="ARG24" s="4"/>
      <c r="ARH24" s="4"/>
      <c r="ARI24" s="4"/>
      <c r="ARJ24" s="4"/>
      <c r="ARK24" s="4"/>
      <c r="ARL24" s="4"/>
      <c r="ARM24" s="4"/>
      <c r="ARN24" s="4"/>
      <c r="ARO24" s="4"/>
      <c r="ARP24" s="4"/>
      <c r="ARQ24" s="4"/>
      <c r="ARR24" s="4"/>
      <c r="ARS24" s="4"/>
      <c r="ART24" s="4"/>
      <c r="ARU24" s="4"/>
      <c r="ARV24" s="4"/>
      <c r="ARW24" s="4"/>
      <c r="ARX24" s="4"/>
      <c r="ARY24" s="4"/>
      <c r="ARZ24" s="4"/>
      <c r="ASA24" s="4"/>
      <c r="ASB24" s="4"/>
      <c r="ASC24" s="4"/>
      <c r="ASD24" s="4"/>
      <c r="ASE24" s="4"/>
      <c r="ASF24" s="4"/>
      <c r="ASG24" s="4"/>
      <c r="ASH24" s="4"/>
      <c r="ASI24" s="4"/>
      <c r="ASJ24" s="4"/>
      <c r="ASK24" s="4"/>
      <c r="ASL24" s="4"/>
      <c r="ASM24" s="4"/>
      <c r="ASN24" s="4"/>
      <c r="ASO24" s="4"/>
      <c r="ASP24" s="4"/>
      <c r="ASQ24" s="4"/>
      <c r="ASR24" s="4"/>
      <c r="ASS24" s="4"/>
      <c r="AST24" s="4"/>
      <c r="ASU24" s="4"/>
      <c r="ASV24" s="4"/>
      <c r="ASW24" s="4"/>
      <c r="ASX24" s="4"/>
      <c r="ASY24" s="4"/>
      <c r="ASZ24" s="4"/>
      <c r="ATA24" s="4"/>
      <c r="ATB24" s="4"/>
      <c r="ATC24" s="4"/>
      <c r="ATD24" s="4"/>
      <c r="ATE24" s="4"/>
      <c r="ATF24" s="4"/>
      <c r="ATG24" s="4"/>
      <c r="ATH24" s="4"/>
      <c r="ATI24" s="4"/>
      <c r="ATJ24" s="4"/>
      <c r="ATK24" s="4"/>
      <c r="ATL24" s="4"/>
      <c r="ATM24" s="4"/>
      <c r="ATN24" s="4"/>
      <c r="ATO24" s="4"/>
      <c r="ATP24" s="4"/>
      <c r="ATQ24" s="4"/>
      <c r="ATR24" s="4"/>
      <c r="ATS24" s="4"/>
      <c r="ATT24" s="4"/>
      <c r="ATU24" s="4"/>
      <c r="ATV24" s="4"/>
      <c r="ATW24" s="4"/>
      <c r="ATX24" s="4"/>
      <c r="ATY24" s="4"/>
      <c r="ATZ24" s="4"/>
      <c r="AUA24" s="4"/>
      <c r="AUB24" s="4"/>
      <c r="AUC24" s="4"/>
      <c r="AUD24" s="4"/>
      <c r="AUE24" s="4"/>
      <c r="AUF24" s="4"/>
      <c r="AUG24" s="4"/>
      <c r="AUH24" s="4"/>
      <c r="AUI24" s="4"/>
      <c r="AUJ24" s="4"/>
      <c r="AUK24" s="4"/>
      <c r="AUL24" s="4"/>
      <c r="AUM24" s="4"/>
      <c r="AUN24" s="4"/>
      <c r="AUO24" s="4"/>
      <c r="AUP24" s="4"/>
      <c r="AUQ24" s="4"/>
      <c r="AUR24" s="4"/>
      <c r="AUS24" s="4"/>
      <c r="AUT24" s="4"/>
      <c r="AUU24" s="4"/>
      <c r="AUV24" s="4"/>
      <c r="AUW24" s="4"/>
      <c r="AUX24" s="4"/>
      <c r="AUY24" s="4"/>
      <c r="AUZ24" s="4"/>
      <c r="AVA24" s="4"/>
      <c r="AVB24" s="4"/>
      <c r="AVC24" s="4"/>
      <c r="AVD24" s="4"/>
      <c r="AVE24" s="4"/>
      <c r="AVF24" s="4"/>
      <c r="AVG24" s="4"/>
      <c r="AVH24" s="4"/>
      <c r="AVI24" s="4"/>
      <c r="AVJ24" s="4"/>
      <c r="AVK24" s="4"/>
      <c r="AVL24" s="4"/>
      <c r="AVM24" s="4"/>
      <c r="AVN24" s="4"/>
      <c r="AVO24" s="4"/>
      <c r="AVP24" s="4"/>
      <c r="AVQ24" s="4"/>
      <c r="AVR24" s="4"/>
      <c r="AVS24" s="4"/>
      <c r="AVT24" s="4"/>
      <c r="AVU24" s="4"/>
      <c r="AVV24" s="4"/>
      <c r="AVW24" s="4"/>
      <c r="AVX24" s="4"/>
      <c r="AVY24" s="4"/>
      <c r="AVZ24" s="4"/>
      <c r="AWA24" s="4"/>
      <c r="AWB24" s="4"/>
      <c r="AWC24" s="4"/>
      <c r="AWD24" s="4"/>
      <c r="AWE24" s="4"/>
      <c r="AWF24" s="4"/>
      <c r="AWG24" s="4"/>
      <c r="AWH24" s="4"/>
      <c r="AWI24" s="4"/>
      <c r="AWJ24" s="4"/>
      <c r="AWK24" s="4"/>
      <c r="AWL24" s="4"/>
      <c r="AWM24" s="4"/>
      <c r="AWN24" s="4"/>
      <c r="AWO24" s="4"/>
      <c r="AWP24" s="4"/>
      <c r="AWQ24" s="4"/>
      <c r="AWR24" s="4"/>
      <c r="AWS24" s="4"/>
      <c r="AWT24" s="4"/>
      <c r="AWU24" s="4"/>
      <c r="AWV24" s="4"/>
      <c r="AWW24" s="4"/>
      <c r="AWX24" s="4"/>
      <c r="AWY24" s="4"/>
      <c r="AWZ24" s="4"/>
      <c r="AXA24" s="4"/>
      <c r="AXB24" s="4"/>
      <c r="AXC24" s="4"/>
      <c r="AXD24" s="4"/>
      <c r="AXE24" s="4"/>
      <c r="AXF24" s="4"/>
      <c r="AXG24" s="4"/>
      <c r="AXH24" s="4"/>
      <c r="AXI24" s="4"/>
      <c r="AXJ24" s="4"/>
      <c r="AXK24" s="4"/>
      <c r="AXL24" s="4"/>
      <c r="AXM24" s="4"/>
      <c r="AXN24" s="4"/>
      <c r="AXO24" s="4"/>
      <c r="AXP24" s="4"/>
      <c r="AXQ24" s="4"/>
      <c r="AXR24" s="4"/>
      <c r="AXS24" s="4"/>
      <c r="AXT24" s="4"/>
      <c r="AXU24" s="4"/>
      <c r="AXV24" s="4"/>
      <c r="AXW24" s="4"/>
      <c r="AXX24" s="4"/>
      <c r="AXY24" s="4"/>
      <c r="AXZ24" s="4"/>
      <c r="AYA24" s="4"/>
      <c r="AYB24" s="4"/>
      <c r="AYC24" s="4"/>
      <c r="AYD24" s="4"/>
      <c r="AYE24" s="4"/>
      <c r="AYF24" s="4"/>
      <c r="AYG24" s="4"/>
      <c r="AYH24" s="4"/>
      <c r="AYI24" s="4"/>
      <c r="AYJ24" s="4"/>
      <c r="AYK24" s="4"/>
      <c r="AYL24" s="4"/>
      <c r="AYM24" s="4"/>
      <c r="AYN24" s="4"/>
      <c r="AYO24" s="4"/>
      <c r="AYP24" s="4"/>
      <c r="AYQ24" s="4"/>
      <c r="AYR24" s="4"/>
      <c r="AYS24" s="4"/>
      <c r="AYT24" s="4"/>
      <c r="AYU24" s="4"/>
      <c r="AYV24" s="4"/>
      <c r="AYW24" s="4"/>
      <c r="AYX24" s="4"/>
      <c r="AYY24" s="4"/>
      <c r="AYZ24" s="4"/>
      <c r="AZA24" s="4"/>
      <c r="AZB24" s="4"/>
      <c r="AZC24" s="4"/>
      <c r="AZD24" s="4"/>
      <c r="AZE24" s="4"/>
      <c r="AZF24" s="4"/>
      <c r="AZG24" s="4"/>
      <c r="AZH24" s="4"/>
      <c r="AZI24" s="4"/>
      <c r="AZJ24" s="4"/>
      <c r="AZK24" s="4"/>
      <c r="AZL24" s="4"/>
      <c r="AZM24" s="4"/>
      <c r="AZN24" s="4"/>
      <c r="AZO24" s="4"/>
      <c r="AZP24" s="4"/>
      <c r="AZQ24" s="4"/>
      <c r="AZR24" s="4"/>
      <c r="AZS24" s="4"/>
      <c r="AZT24" s="4"/>
      <c r="AZU24" s="4"/>
      <c r="AZV24" s="4"/>
      <c r="AZW24" s="4"/>
      <c r="AZX24" s="4"/>
      <c r="AZY24" s="4"/>
      <c r="AZZ24" s="4"/>
      <c r="BAA24" s="4"/>
      <c r="BAB24" s="4"/>
      <c r="BAC24" s="4"/>
      <c r="BAD24" s="4"/>
      <c r="BAE24" s="4"/>
      <c r="BAF24" s="4"/>
      <c r="BAG24" s="4"/>
      <c r="BAH24" s="4"/>
      <c r="BAI24" s="4"/>
      <c r="BAJ24" s="4"/>
      <c r="BAK24" s="4"/>
      <c r="BAL24" s="4"/>
      <c r="BAM24" s="4"/>
      <c r="BAN24" s="4"/>
      <c r="BAO24" s="4"/>
      <c r="BAP24" s="4"/>
      <c r="BAQ24" s="4"/>
      <c r="BAR24" s="4"/>
      <c r="BAS24" s="4"/>
      <c r="BAT24" s="4"/>
      <c r="BAU24" s="4"/>
      <c r="BAV24" s="4"/>
      <c r="BAW24" s="4"/>
      <c r="BAX24" s="4"/>
      <c r="BAY24" s="4"/>
      <c r="BAZ24" s="4"/>
      <c r="BBA24" s="4"/>
      <c r="BBB24" s="4"/>
      <c r="BBC24" s="4"/>
      <c r="BBD24" s="4"/>
      <c r="BBE24" s="4"/>
      <c r="BBF24" s="4"/>
      <c r="BBG24" s="4"/>
      <c r="BBH24" s="4"/>
      <c r="BBI24" s="4"/>
      <c r="BBJ24" s="4"/>
      <c r="BBK24" s="4"/>
      <c r="BBL24" s="4"/>
      <c r="BBM24" s="4"/>
      <c r="BBN24" s="4"/>
      <c r="BBO24" s="4"/>
      <c r="BBP24" s="4"/>
      <c r="BBQ24" s="4"/>
      <c r="BBR24" s="4"/>
      <c r="BBS24" s="4"/>
      <c r="BBT24" s="4"/>
      <c r="BBU24" s="4"/>
      <c r="BBV24" s="4"/>
      <c r="BBW24" s="4"/>
      <c r="BBX24" s="4"/>
      <c r="BBY24" s="4"/>
      <c r="BBZ24" s="4"/>
      <c r="BCA24" s="4"/>
      <c r="BCB24" s="4"/>
      <c r="BCC24" s="4"/>
      <c r="BCD24" s="4"/>
      <c r="BCE24" s="4"/>
      <c r="BCF24" s="4"/>
      <c r="BCG24" s="4"/>
      <c r="BCH24" s="4"/>
      <c r="BCI24" s="4"/>
      <c r="BCJ24" s="4"/>
      <c r="BCK24" s="4"/>
      <c r="BCL24" s="4"/>
      <c r="BCM24" s="4"/>
      <c r="BCN24" s="4"/>
      <c r="BCO24" s="4"/>
      <c r="BCP24" s="4"/>
      <c r="BCQ24" s="4"/>
      <c r="BCR24" s="4"/>
      <c r="BCS24" s="4"/>
      <c r="BCT24" s="4"/>
      <c r="BCU24" s="4"/>
      <c r="BCV24" s="4"/>
      <c r="BCW24" s="4"/>
      <c r="BCX24" s="4"/>
      <c r="BCY24" s="4"/>
      <c r="BCZ24" s="4"/>
      <c r="BDA24" s="4"/>
      <c r="BDB24" s="4"/>
      <c r="BDC24" s="4"/>
      <c r="BDD24" s="4"/>
      <c r="BDE24" s="4"/>
      <c r="BDF24" s="4"/>
      <c r="BDG24" s="4"/>
      <c r="BDH24" s="4"/>
      <c r="BDI24" s="4"/>
      <c r="BDJ24" s="4"/>
      <c r="BDK24" s="4"/>
      <c r="BDL24" s="4"/>
      <c r="BDM24" s="4"/>
      <c r="BDN24" s="4"/>
      <c r="BDO24" s="4"/>
      <c r="BDP24" s="4"/>
      <c r="BDQ24" s="4"/>
      <c r="BDR24" s="4"/>
      <c r="BDS24" s="4"/>
      <c r="BDT24" s="4"/>
      <c r="BDU24" s="4"/>
      <c r="BDV24" s="4"/>
      <c r="BDW24" s="4"/>
      <c r="BDX24" s="4"/>
      <c r="BDY24" s="4"/>
      <c r="BDZ24" s="4"/>
      <c r="BEA24" s="4"/>
      <c r="BEB24" s="4"/>
      <c r="BEC24" s="4"/>
      <c r="BED24" s="4"/>
      <c r="BEE24" s="4"/>
      <c r="BEF24" s="4"/>
      <c r="BEG24" s="4"/>
      <c r="BEH24" s="4"/>
      <c r="BEI24" s="4"/>
      <c r="BEJ24" s="4"/>
      <c r="BEK24" s="4"/>
      <c r="BEL24" s="4"/>
      <c r="BEM24" s="4"/>
      <c r="BEN24" s="4"/>
      <c r="BEO24" s="4"/>
      <c r="BEP24" s="4"/>
      <c r="BEQ24" s="4"/>
      <c r="BER24" s="4"/>
      <c r="BES24" s="4"/>
      <c r="BET24" s="4"/>
      <c r="BEU24" s="4"/>
      <c r="BEV24" s="4"/>
      <c r="BEW24" s="4"/>
      <c r="BEX24" s="4"/>
      <c r="BEY24" s="4"/>
      <c r="BEZ24" s="4"/>
      <c r="BFA24" s="4"/>
      <c r="BFB24" s="4"/>
      <c r="BFC24" s="4"/>
      <c r="BFD24" s="4"/>
      <c r="BFE24" s="4"/>
      <c r="BFF24" s="4"/>
      <c r="BFG24" s="4"/>
      <c r="BFH24" s="4"/>
      <c r="BFI24" s="4"/>
      <c r="BFJ24" s="4"/>
      <c r="BFK24" s="4"/>
      <c r="BFL24" s="4"/>
      <c r="BFM24" s="4"/>
      <c r="BFN24" s="4"/>
      <c r="BFO24" s="4"/>
      <c r="BFP24" s="4"/>
      <c r="BFQ24" s="4"/>
      <c r="BFR24" s="4"/>
      <c r="BFS24" s="4"/>
      <c r="BFT24" s="4"/>
      <c r="BFU24" s="4"/>
      <c r="BFV24" s="4"/>
      <c r="BFW24" s="4"/>
      <c r="BFX24" s="4"/>
      <c r="BFY24" s="4"/>
      <c r="BFZ24" s="4"/>
      <c r="BGA24" s="4"/>
      <c r="BGB24" s="4"/>
      <c r="BGC24" s="4"/>
      <c r="BGD24" s="4"/>
      <c r="BGE24" s="4"/>
      <c r="BGF24" s="4"/>
      <c r="BGG24" s="4"/>
      <c r="BGH24" s="4"/>
      <c r="BGI24" s="4"/>
      <c r="BGJ24" s="4"/>
      <c r="BGK24" s="4"/>
      <c r="BGL24" s="4"/>
      <c r="BGM24" s="4"/>
      <c r="BGN24" s="4"/>
      <c r="BGO24" s="4"/>
      <c r="BGP24" s="4"/>
      <c r="BGQ24" s="4"/>
      <c r="BGR24" s="4"/>
      <c r="BGS24" s="4"/>
      <c r="BGT24" s="4"/>
      <c r="BGU24" s="4"/>
      <c r="BGV24" s="4"/>
      <c r="BGW24" s="4"/>
      <c r="BGX24" s="4"/>
      <c r="BGY24" s="4"/>
      <c r="BGZ24" s="4"/>
      <c r="BHA24" s="4"/>
      <c r="BHB24" s="4"/>
      <c r="BHC24" s="4"/>
      <c r="BHD24" s="4"/>
      <c r="BHE24" s="4"/>
      <c r="BHF24" s="4"/>
      <c r="BHG24" s="4"/>
      <c r="BHH24" s="4"/>
      <c r="BHI24" s="4"/>
      <c r="BHJ24" s="4"/>
      <c r="BHK24" s="4"/>
      <c r="BHL24" s="4"/>
      <c r="BHM24" s="4"/>
      <c r="BHN24" s="4"/>
      <c r="BHO24" s="4"/>
      <c r="BHP24" s="4"/>
      <c r="BHQ24" s="4"/>
      <c r="BHR24" s="4"/>
      <c r="BHS24" s="4"/>
      <c r="BHT24" s="4"/>
      <c r="BHU24" s="4"/>
      <c r="BHV24" s="4"/>
      <c r="BHW24" s="4"/>
      <c r="BHX24" s="4"/>
      <c r="BHY24" s="4"/>
      <c r="BHZ24" s="4"/>
      <c r="BIA24" s="4"/>
      <c r="BIB24" s="4"/>
      <c r="BIC24" s="4"/>
      <c r="BID24" s="4"/>
      <c r="BIE24" s="4"/>
      <c r="BIF24" s="4"/>
      <c r="BIG24" s="4"/>
      <c r="BIH24" s="4"/>
      <c r="BII24" s="4"/>
      <c r="BIJ24" s="4"/>
      <c r="BIK24" s="4"/>
      <c r="BIL24" s="4"/>
      <c r="BIM24" s="4"/>
      <c r="BIN24" s="4"/>
      <c r="BIO24" s="4"/>
      <c r="BIP24" s="4"/>
      <c r="BIQ24" s="4"/>
      <c r="BIR24" s="4"/>
      <c r="BIS24" s="4"/>
      <c r="BIT24" s="4"/>
      <c r="BIU24" s="4"/>
      <c r="BIV24" s="4"/>
      <c r="BIW24" s="4"/>
      <c r="BIX24" s="4"/>
      <c r="BIY24" s="4"/>
      <c r="BIZ24" s="4"/>
      <c r="BJA24" s="4"/>
      <c r="BJB24" s="4"/>
      <c r="BJC24" s="4"/>
      <c r="BJD24" s="4"/>
      <c r="BJE24" s="4"/>
      <c r="BJF24" s="4"/>
      <c r="BJG24" s="4"/>
      <c r="BJH24" s="4"/>
      <c r="BJI24" s="4"/>
      <c r="BJJ24" s="4"/>
      <c r="BJK24" s="4"/>
      <c r="BJL24" s="4"/>
      <c r="BJM24" s="4"/>
      <c r="BJN24" s="4"/>
      <c r="BJO24" s="4"/>
      <c r="BJP24" s="4"/>
      <c r="BJQ24" s="4"/>
      <c r="BJR24" s="4"/>
      <c r="BJS24" s="4"/>
      <c r="BJT24" s="4"/>
      <c r="BJU24" s="4"/>
      <c r="BJV24" s="4"/>
      <c r="BJW24" s="4"/>
      <c r="BJX24" s="4"/>
      <c r="BJY24" s="4"/>
      <c r="BJZ24" s="4"/>
      <c r="BKA24" s="4"/>
      <c r="BKB24" s="4"/>
      <c r="BKC24" s="4"/>
      <c r="BKD24" s="4"/>
      <c r="BKE24" s="4"/>
      <c r="BKF24" s="4"/>
      <c r="BKG24" s="4"/>
      <c r="BKH24" s="4"/>
      <c r="BKI24" s="4"/>
      <c r="BKJ24" s="4"/>
      <c r="BKK24" s="4"/>
      <c r="BKL24" s="4"/>
      <c r="BKM24" s="4"/>
      <c r="BKN24" s="4"/>
      <c r="BKO24" s="4"/>
      <c r="BKP24" s="4"/>
      <c r="BKQ24" s="4"/>
      <c r="BKR24" s="4"/>
      <c r="BKS24" s="4"/>
      <c r="BKT24" s="4"/>
      <c r="BKU24" s="4"/>
      <c r="BKV24" s="4"/>
      <c r="BKW24" s="4"/>
      <c r="BKX24" s="4"/>
      <c r="BKY24" s="4"/>
      <c r="BKZ24" s="4"/>
      <c r="BLA24" s="4"/>
      <c r="BLB24" s="4"/>
      <c r="BLC24" s="4"/>
      <c r="BLD24" s="4"/>
      <c r="BLE24" s="4"/>
      <c r="BLF24" s="4"/>
      <c r="BLG24" s="4"/>
      <c r="BLH24" s="4"/>
      <c r="BLI24" s="4"/>
      <c r="BLJ24" s="4"/>
      <c r="BLK24" s="4"/>
      <c r="BLL24" s="4"/>
      <c r="BLM24" s="4"/>
      <c r="BLN24" s="4"/>
      <c r="BLO24" s="4"/>
      <c r="BLP24" s="4"/>
      <c r="BLQ24" s="4"/>
      <c r="BLR24" s="4"/>
      <c r="BLS24" s="4"/>
      <c r="BLT24" s="4"/>
      <c r="BLU24" s="4"/>
      <c r="BLV24" s="4"/>
      <c r="BLW24" s="4"/>
      <c r="BLX24" s="4"/>
      <c r="BLY24" s="4"/>
      <c r="BLZ24" s="4"/>
      <c r="BMA24" s="4"/>
      <c r="BMB24" s="4"/>
      <c r="BMC24" s="4"/>
      <c r="BMD24" s="4"/>
      <c r="BME24" s="4"/>
      <c r="BMF24" s="4"/>
      <c r="BMG24" s="4"/>
      <c r="BMH24" s="4"/>
      <c r="BMI24" s="4"/>
      <c r="BMJ24" s="4"/>
      <c r="BMK24" s="4"/>
      <c r="BML24" s="4"/>
      <c r="BMM24" s="4"/>
      <c r="BMN24" s="4"/>
      <c r="BMO24" s="4"/>
      <c r="BMP24" s="4"/>
      <c r="BMQ24" s="4"/>
      <c r="BMR24" s="4"/>
      <c r="BMS24" s="4"/>
      <c r="BMT24" s="4"/>
      <c r="BMU24" s="4"/>
      <c r="BMV24" s="4"/>
      <c r="BMW24" s="4"/>
      <c r="BMX24" s="4"/>
      <c r="BMY24" s="4"/>
      <c r="BMZ24" s="4"/>
      <c r="BNA24" s="4"/>
      <c r="BNB24" s="4"/>
      <c r="BNC24" s="4"/>
      <c r="BND24" s="4"/>
      <c r="BNE24" s="4"/>
      <c r="BNF24" s="4"/>
      <c r="BNG24" s="4"/>
      <c r="BNH24" s="4"/>
      <c r="BNI24" s="4"/>
      <c r="BNJ24" s="4"/>
      <c r="BNK24" s="4"/>
      <c r="BNL24" s="4"/>
      <c r="BNM24" s="4"/>
      <c r="BNN24" s="4"/>
      <c r="BNO24" s="4"/>
      <c r="BNP24" s="4"/>
      <c r="BNQ24" s="4"/>
      <c r="BNR24" s="4"/>
      <c r="BNS24" s="4"/>
      <c r="BNT24" s="4"/>
      <c r="BNU24" s="4"/>
      <c r="BNV24" s="4"/>
      <c r="BNW24" s="4"/>
      <c r="BNX24" s="4"/>
      <c r="BNY24" s="4"/>
      <c r="BNZ24" s="4"/>
      <c r="BOA24" s="4"/>
      <c r="BOB24" s="4"/>
      <c r="BOC24" s="4"/>
      <c r="BOD24" s="4"/>
      <c r="BOE24" s="4"/>
      <c r="BOF24" s="4"/>
      <c r="BOG24" s="4"/>
      <c r="BOH24" s="4"/>
      <c r="BOI24" s="4"/>
      <c r="BOJ24" s="4"/>
      <c r="BOK24" s="4"/>
      <c r="BOL24" s="4"/>
      <c r="BOM24" s="4"/>
      <c r="BON24" s="4"/>
      <c r="BOO24" s="4"/>
      <c r="BOP24" s="4"/>
      <c r="BOQ24" s="4"/>
      <c r="BOR24" s="4"/>
      <c r="BOS24" s="4"/>
      <c r="BOT24" s="4"/>
      <c r="BOU24" s="4"/>
      <c r="BOV24" s="4"/>
      <c r="BOW24" s="4"/>
      <c r="BOX24" s="4"/>
      <c r="BOY24" s="4"/>
      <c r="BOZ24" s="4"/>
      <c r="BPA24" s="4"/>
      <c r="BPB24" s="4"/>
      <c r="BPC24" s="66"/>
    </row>
    <row r="25" s="6" customFormat="1" ht="60" customHeight="1" spans="1:1024 1025:1771">
      <c r="A25" s="359" t="s">
        <v>92</v>
      </c>
      <c r="B25" s="356" t="s">
        <v>93</v>
      </c>
      <c r="C25" s="356" t="s">
        <v>94</v>
      </c>
      <c r="D25" s="356" t="s">
        <v>95</v>
      </c>
      <c r="E25" s="356"/>
      <c r="F25" s="356"/>
      <c r="G25" s="360"/>
      <c r="H25" s="357">
        <f t="shared" si="0"/>
        <v>46161</v>
      </c>
      <c r="I25" s="361" t="s">
        <v>7</v>
      </c>
      <c r="J25" s="360"/>
      <c r="K25" s="5"/>
      <c r="L25" s="5" t="s">
        <v>43</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c r="VE25" s="4"/>
      <c r="VF25" s="4"/>
      <c r="VG25" s="4"/>
      <c r="VH25" s="4"/>
      <c r="VI25" s="4"/>
      <c r="VJ25" s="4"/>
      <c r="VK25" s="4"/>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c r="XC25" s="4"/>
      <c r="XD25" s="4"/>
      <c r="XE25" s="4"/>
      <c r="XF25" s="4"/>
      <c r="XG25" s="4"/>
      <c r="XH25" s="4"/>
      <c r="XI25" s="4"/>
      <c r="XJ25" s="4"/>
      <c r="XK25" s="4"/>
      <c r="XL25" s="4"/>
      <c r="XM25" s="4"/>
      <c r="XN25" s="4"/>
      <c r="XO25" s="4"/>
      <c r="XP25" s="4"/>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c r="AGE25" s="4"/>
      <c r="AGF25" s="4"/>
      <c r="AGG25" s="4"/>
      <c r="AGH25" s="4"/>
      <c r="AGI25" s="4"/>
      <c r="AGJ25" s="4"/>
      <c r="AGK25" s="4"/>
      <c r="AGL25" s="4"/>
      <c r="AGM25" s="4"/>
      <c r="AGN25" s="4"/>
      <c r="AGO25" s="4"/>
      <c r="AGP25" s="4"/>
      <c r="AGQ25" s="4"/>
      <c r="AGR25" s="4"/>
      <c r="AGS25" s="4"/>
      <c r="AGT25" s="4"/>
      <c r="AGU25" s="4"/>
      <c r="AGV25" s="4"/>
      <c r="AGW25" s="4"/>
      <c r="AGX25" s="4"/>
      <c r="AGY25" s="4"/>
      <c r="AGZ25" s="4"/>
      <c r="AHA25" s="4"/>
      <c r="AHB25" s="4"/>
      <c r="AHC25" s="4"/>
      <c r="AHD25" s="4"/>
      <c r="AHE25" s="4"/>
      <c r="AHF25" s="4"/>
      <c r="AHG25" s="4"/>
      <c r="AHH25" s="4"/>
      <c r="AHI25" s="4"/>
      <c r="AHJ25" s="4"/>
      <c r="AHK25" s="4"/>
      <c r="AHL25" s="4"/>
      <c r="AHM25" s="4"/>
      <c r="AHN25" s="4"/>
      <c r="AHO25" s="4"/>
      <c r="AHP25" s="4"/>
      <c r="AHQ25" s="4"/>
      <c r="AHR25" s="4"/>
      <c r="AHS25" s="4"/>
      <c r="AHT25" s="4"/>
      <c r="AHU25" s="4"/>
      <c r="AHV25" s="4"/>
      <c r="AHW25" s="4"/>
      <c r="AHX25" s="4"/>
      <c r="AHY25" s="4"/>
      <c r="AHZ25" s="4"/>
      <c r="AIA25" s="4"/>
      <c r="AIB25" s="4"/>
      <c r="AIC25" s="4"/>
      <c r="AID25" s="4"/>
      <c r="AIE25" s="4"/>
      <c r="AIF25" s="4"/>
      <c r="AIG25" s="4"/>
      <c r="AIH25" s="4"/>
      <c r="AII25" s="4"/>
      <c r="AIJ25" s="4"/>
      <c r="AIK25" s="4"/>
      <c r="AIL25" s="4"/>
      <c r="AIM25" s="4"/>
      <c r="AIN25" s="4"/>
      <c r="AIO25" s="4"/>
      <c r="AIP25" s="4"/>
      <c r="AIQ25" s="4"/>
      <c r="AIR25" s="4"/>
      <c r="AIS25" s="4"/>
      <c r="AIT25" s="4"/>
      <c r="AIU25" s="4"/>
      <c r="AIV25" s="4"/>
      <c r="AIW25" s="4"/>
      <c r="AIX25" s="4"/>
      <c r="AIY25" s="4"/>
      <c r="AIZ25" s="4"/>
      <c r="AJA25" s="4"/>
      <c r="AJB25" s="4"/>
      <c r="AJC25" s="4"/>
      <c r="AJD25" s="4"/>
      <c r="AJE25" s="4"/>
      <c r="AJF25" s="4"/>
      <c r="AJG25" s="4"/>
      <c r="AJH25" s="4"/>
      <c r="AJI25" s="4"/>
      <c r="AJJ25" s="4"/>
      <c r="AJK25" s="4"/>
      <c r="AJL25" s="4"/>
      <c r="AJM25" s="4"/>
      <c r="AJN25" s="4"/>
      <c r="AJO25" s="4"/>
      <c r="AJP25" s="4"/>
      <c r="AJQ25" s="4"/>
      <c r="AJR25" s="4"/>
      <c r="AJS25" s="4"/>
      <c r="AJT25" s="4"/>
      <c r="AJU25" s="4"/>
      <c r="AJV25" s="4"/>
      <c r="AJW25" s="4"/>
      <c r="AJX25" s="4"/>
      <c r="AJY25" s="4"/>
      <c r="AJZ25" s="4"/>
      <c r="AKA25" s="4"/>
      <c r="AKB25" s="4"/>
      <c r="AKC25" s="4"/>
      <c r="AKD25" s="4"/>
      <c r="AKE25" s="4"/>
      <c r="AKF25" s="4"/>
      <c r="AKG25" s="4"/>
      <c r="AKH25" s="4"/>
      <c r="AKI25" s="4"/>
      <c r="AKJ25" s="4"/>
      <c r="AKK25" s="4"/>
      <c r="AKL25" s="4"/>
      <c r="AKM25" s="4"/>
      <c r="AKN25" s="4"/>
      <c r="AKO25" s="4"/>
      <c r="AKP25" s="4"/>
      <c r="AKQ25" s="4"/>
      <c r="AKR25" s="4"/>
      <c r="AKS25" s="4"/>
      <c r="AKT25" s="4"/>
      <c r="AKU25" s="4"/>
      <c r="AKV25" s="4"/>
      <c r="AKW25" s="4"/>
      <c r="AKX25" s="4"/>
      <c r="AKY25" s="4"/>
      <c r="AKZ25" s="4"/>
      <c r="ALA25" s="4"/>
      <c r="ALB25" s="4"/>
      <c r="ALC25" s="4"/>
      <c r="ALD25" s="4"/>
      <c r="ALE25" s="4"/>
      <c r="ALF25" s="4"/>
      <c r="ALG25" s="4"/>
      <c r="ALH25" s="4"/>
      <c r="ALI25" s="4"/>
      <c r="ALJ25" s="4"/>
      <c r="ALK25" s="4"/>
      <c r="ALL25" s="4"/>
      <c r="ALM25" s="4"/>
      <c r="ALN25" s="4"/>
      <c r="ALO25" s="4"/>
      <c r="ALP25" s="4"/>
      <c r="ALQ25" s="4"/>
      <c r="ALR25" s="4"/>
      <c r="ALS25" s="4"/>
      <c r="ALT25" s="4"/>
      <c r="ALU25" s="4"/>
      <c r="ALV25" s="4"/>
      <c r="ALW25" s="4"/>
      <c r="ALX25" s="4"/>
      <c r="ALY25" s="4"/>
      <c r="ALZ25" s="4"/>
      <c r="AMA25" s="4"/>
      <c r="AMB25" s="4"/>
      <c r="AMC25" s="4"/>
      <c r="AMD25" s="4"/>
      <c r="AME25" s="4"/>
      <c r="AMF25" s="4"/>
      <c r="AMG25" s="4"/>
      <c r="AMH25" s="4"/>
      <c r="AMI25" s="4"/>
      <c r="AMJ25" s="4"/>
      <c r="AMK25" s="4"/>
      <c r="AML25" s="4"/>
      <c r="AMM25" s="4"/>
      <c r="AMN25" s="4"/>
      <c r="AMO25" s="4"/>
      <c r="AMP25" s="4"/>
      <c r="AMQ25" s="4"/>
      <c r="AMR25" s="4"/>
      <c r="AMS25" s="4"/>
      <c r="AMT25" s="4"/>
      <c r="AMU25" s="4"/>
      <c r="AMV25" s="4"/>
      <c r="AMW25" s="4"/>
      <c r="AMX25" s="4"/>
      <c r="AMY25" s="4"/>
      <c r="AMZ25" s="4"/>
      <c r="ANA25" s="4"/>
      <c r="ANB25" s="4"/>
      <c r="ANC25" s="4"/>
      <c r="AND25" s="4"/>
      <c r="ANE25" s="4"/>
      <c r="ANF25" s="4"/>
      <c r="ANG25" s="4"/>
      <c r="ANH25" s="4"/>
      <c r="ANI25" s="4"/>
      <c r="ANJ25" s="4"/>
      <c r="ANK25" s="4"/>
      <c r="ANL25" s="4"/>
      <c r="ANM25" s="4"/>
      <c r="ANN25" s="4"/>
      <c r="ANO25" s="4"/>
      <c r="ANP25" s="4"/>
      <c r="ANQ25" s="4"/>
      <c r="ANR25" s="4"/>
      <c r="ANS25" s="4"/>
      <c r="ANT25" s="4"/>
      <c r="ANU25" s="4"/>
      <c r="ANV25" s="4"/>
      <c r="ANW25" s="4"/>
      <c r="ANX25" s="4"/>
      <c r="ANY25" s="4"/>
      <c r="ANZ25" s="4"/>
      <c r="AOA25" s="4"/>
      <c r="AOB25" s="4"/>
      <c r="AOC25" s="4"/>
      <c r="AOD25" s="4"/>
      <c r="AOE25" s="4"/>
      <c r="AOF25" s="4"/>
      <c r="AOG25" s="4"/>
      <c r="AOH25" s="4"/>
      <c r="AOI25" s="4"/>
      <c r="AOJ25" s="4"/>
      <c r="AOK25" s="4"/>
      <c r="AOL25" s="4"/>
      <c r="AOM25" s="4"/>
      <c r="AON25" s="4"/>
      <c r="AOO25" s="4"/>
      <c r="AOP25" s="4"/>
      <c r="AOQ25" s="4"/>
      <c r="AOR25" s="4"/>
      <c r="AOS25" s="4"/>
      <c r="AOT25" s="4"/>
      <c r="AOU25" s="4"/>
      <c r="AOV25" s="4"/>
      <c r="AOW25" s="4"/>
      <c r="AOX25" s="4"/>
      <c r="AOY25" s="4"/>
      <c r="AOZ25" s="4"/>
      <c r="APA25" s="4"/>
      <c r="APB25" s="4"/>
      <c r="APC25" s="4"/>
      <c r="APD25" s="4"/>
      <c r="APE25" s="4"/>
      <c r="APF25" s="4"/>
      <c r="APG25" s="4"/>
      <c r="APH25" s="4"/>
      <c r="API25" s="4"/>
      <c r="APJ25" s="4"/>
      <c r="APK25" s="4"/>
      <c r="APL25" s="4"/>
      <c r="APM25" s="4"/>
      <c r="APN25" s="4"/>
      <c r="APO25" s="4"/>
      <c r="APP25" s="4"/>
      <c r="APQ25" s="4"/>
      <c r="APR25" s="4"/>
      <c r="APS25" s="4"/>
      <c r="APT25" s="4"/>
      <c r="APU25" s="4"/>
      <c r="APV25" s="4"/>
      <c r="APW25" s="4"/>
      <c r="APX25" s="4"/>
      <c r="APY25" s="4"/>
      <c r="APZ25" s="4"/>
      <c r="AQA25" s="4"/>
      <c r="AQB25" s="4"/>
      <c r="AQC25" s="4"/>
      <c r="AQD25" s="4"/>
      <c r="AQE25" s="4"/>
      <c r="AQF25" s="4"/>
      <c r="AQG25" s="4"/>
      <c r="AQH25" s="4"/>
      <c r="AQI25" s="4"/>
      <c r="AQJ25" s="4"/>
      <c r="AQK25" s="4"/>
      <c r="AQL25" s="4"/>
      <c r="AQM25" s="4"/>
      <c r="AQN25" s="4"/>
      <c r="AQO25" s="4"/>
      <c r="AQP25" s="4"/>
      <c r="AQQ25" s="4"/>
      <c r="AQR25" s="4"/>
      <c r="AQS25" s="4"/>
      <c r="AQT25" s="4"/>
      <c r="AQU25" s="4"/>
      <c r="AQV25" s="4"/>
      <c r="AQW25" s="4"/>
      <c r="AQX25" s="4"/>
      <c r="AQY25" s="4"/>
      <c r="AQZ25" s="4"/>
      <c r="ARA25" s="4"/>
      <c r="ARB25" s="4"/>
      <c r="ARC25" s="4"/>
      <c r="ARD25" s="4"/>
      <c r="ARE25" s="4"/>
      <c r="ARF25" s="4"/>
      <c r="ARG25" s="4"/>
      <c r="ARH25" s="4"/>
      <c r="ARI25" s="4"/>
      <c r="ARJ25" s="4"/>
      <c r="ARK25" s="4"/>
      <c r="ARL25" s="4"/>
      <c r="ARM25" s="4"/>
      <c r="ARN25" s="4"/>
      <c r="ARO25" s="4"/>
      <c r="ARP25" s="4"/>
      <c r="ARQ25" s="4"/>
      <c r="ARR25" s="4"/>
      <c r="ARS25" s="4"/>
      <c r="ART25" s="4"/>
      <c r="ARU25" s="4"/>
      <c r="ARV25" s="4"/>
      <c r="ARW25" s="4"/>
      <c r="ARX25" s="4"/>
      <c r="ARY25" s="4"/>
      <c r="ARZ25" s="4"/>
      <c r="ASA25" s="4"/>
      <c r="ASB25" s="4"/>
      <c r="ASC25" s="4"/>
      <c r="ASD25" s="4"/>
      <c r="ASE25" s="4"/>
      <c r="ASF25" s="4"/>
      <c r="ASG25" s="4"/>
      <c r="ASH25" s="4"/>
      <c r="ASI25" s="4"/>
      <c r="ASJ25" s="4"/>
      <c r="ASK25" s="4"/>
      <c r="ASL25" s="4"/>
      <c r="ASM25" s="4"/>
      <c r="ASN25" s="4"/>
      <c r="ASO25" s="4"/>
      <c r="ASP25" s="4"/>
      <c r="ASQ25" s="4"/>
      <c r="ASR25" s="4"/>
      <c r="ASS25" s="4"/>
      <c r="AST25" s="4"/>
      <c r="ASU25" s="4"/>
      <c r="ASV25" s="4"/>
      <c r="ASW25" s="4"/>
      <c r="ASX25" s="4"/>
      <c r="ASY25" s="4"/>
      <c r="ASZ25" s="4"/>
      <c r="ATA25" s="4"/>
      <c r="ATB25" s="4"/>
      <c r="ATC25" s="4"/>
      <c r="ATD25" s="4"/>
      <c r="ATE25" s="4"/>
      <c r="ATF25" s="4"/>
      <c r="ATG25" s="4"/>
      <c r="ATH25" s="4"/>
      <c r="ATI25" s="4"/>
      <c r="ATJ25" s="4"/>
      <c r="ATK25" s="4"/>
      <c r="ATL25" s="4"/>
      <c r="ATM25" s="4"/>
      <c r="ATN25" s="4"/>
      <c r="ATO25" s="4"/>
      <c r="ATP25" s="4"/>
      <c r="ATQ25" s="4"/>
      <c r="ATR25" s="4"/>
      <c r="ATS25" s="4"/>
      <c r="ATT25" s="4"/>
      <c r="ATU25" s="4"/>
      <c r="ATV25" s="4"/>
      <c r="ATW25" s="4"/>
      <c r="ATX25" s="4"/>
      <c r="ATY25" s="4"/>
      <c r="ATZ25" s="4"/>
      <c r="AUA25" s="4"/>
      <c r="AUB25" s="4"/>
      <c r="AUC25" s="4"/>
      <c r="AUD25" s="4"/>
      <c r="AUE25" s="4"/>
      <c r="AUF25" s="4"/>
      <c r="AUG25" s="4"/>
      <c r="AUH25" s="4"/>
      <c r="AUI25" s="4"/>
      <c r="AUJ25" s="4"/>
      <c r="AUK25" s="4"/>
      <c r="AUL25" s="4"/>
      <c r="AUM25" s="4"/>
      <c r="AUN25" s="4"/>
      <c r="AUO25" s="4"/>
      <c r="AUP25" s="4"/>
      <c r="AUQ25" s="4"/>
      <c r="AUR25" s="4"/>
      <c r="AUS25" s="4"/>
      <c r="AUT25" s="4"/>
      <c r="AUU25" s="4"/>
      <c r="AUV25" s="4"/>
      <c r="AUW25" s="4"/>
      <c r="AUX25" s="4"/>
      <c r="AUY25" s="4"/>
      <c r="AUZ25" s="4"/>
      <c r="AVA25" s="4"/>
      <c r="AVB25" s="4"/>
      <c r="AVC25" s="4"/>
      <c r="AVD25" s="4"/>
      <c r="AVE25" s="4"/>
      <c r="AVF25" s="4"/>
      <c r="AVG25" s="4"/>
      <c r="AVH25" s="4"/>
      <c r="AVI25" s="4"/>
      <c r="AVJ25" s="4"/>
      <c r="AVK25" s="4"/>
      <c r="AVL25" s="4"/>
      <c r="AVM25" s="4"/>
      <c r="AVN25" s="4"/>
      <c r="AVO25" s="4"/>
      <c r="AVP25" s="4"/>
      <c r="AVQ25" s="4"/>
      <c r="AVR25" s="4"/>
      <c r="AVS25" s="4"/>
      <c r="AVT25" s="4"/>
      <c r="AVU25" s="4"/>
      <c r="AVV25" s="4"/>
      <c r="AVW25" s="4"/>
      <c r="AVX25" s="4"/>
      <c r="AVY25" s="4"/>
      <c r="AVZ25" s="4"/>
      <c r="AWA25" s="4"/>
      <c r="AWB25" s="4"/>
      <c r="AWC25" s="4"/>
      <c r="AWD25" s="4"/>
      <c r="AWE25" s="4"/>
      <c r="AWF25" s="4"/>
      <c r="AWG25" s="4"/>
      <c r="AWH25" s="4"/>
      <c r="AWI25" s="4"/>
      <c r="AWJ25" s="4"/>
      <c r="AWK25" s="4"/>
      <c r="AWL25" s="4"/>
      <c r="AWM25" s="4"/>
      <c r="AWN25" s="4"/>
      <c r="AWO25" s="4"/>
      <c r="AWP25" s="4"/>
      <c r="AWQ25" s="4"/>
      <c r="AWR25" s="4"/>
      <c r="AWS25" s="4"/>
      <c r="AWT25" s="4"/>
      <c r="AWU25" s="4"/>
      <c r="AWV25" s="4"/>
      <c r="AWW25" s="4"/>
      <c r="AWX25" s="4"/>
      <c r="AWY25" s="4"/>
      <c r="AWZ25" s="4"/>
      <c r="AXA25" s="4"/>
      <c r="AXB25" s="4"/>
      <c r="AXC25" s="4"/>
      <c r="AXD25" s="4"/>
      <c r="AXE25" s="4"/>
      <c r="AXF25" s="4"/>
      <c r="AXG25" s="4"/>
      <c r="AXH25" s="4"/>
      <c r="AXI25" s="4"/>
      <c r="AXJ25" s="4"/>
      <c r="AXK25" s="4"/>
      <c r="AXL25" s="4"/>
      <c r="AXM25" s="4"/>
      <c r="AXN25" s="4"/>
      <c r="AXO25" s="4"/>
      <c r="AXP25" s="4"/>
      <c r="AXQ25" s="4"/>
      <c r="AXR25" s="4"/>
      <c r="AXS25" s="4"/>
      <c r="AXT25" s="4"/>
      <c r="AXU25" s="4"/>
      <c r="AXV25" s="4"/>
      <c r="AXW25" s="4"/>
      <c r="AXX25" s="4"/>
      <c r="AXY25" s="4"/>
      <c r="AXZ25" s="4"/>
      <c r="AYA25" s="4"/>
      <c r="AYB25" s="4"/>
      <c r="AYC25" s="4"/>
      <c r="AYD25" s="4"/>
      <c r="AYE25" s="4"/>
      <c r="AYF25" s="4"/>
      <c r="AYG25" s="4"/>
      <c r="AYH25" s="4"/>
      <c r="AYI25" s="4"/>
      <c r="AYJ25" s="4"/>
      <c r="AYK25" s="4"/>
      <c r="AYL25" s="4"/>
      <c r="AYM25" s="4"/>
      <c r="AYN25" s="4"/>
      <c r="AYO25" s="4"/>
      <c r="AYP25" s="4"/>
      <c r="AYQ25" s="4"/>
      <c r="AYR25" s="4"/>
      <c r="AYS25" s="4"/>
      <c r="AYT25" s="4"/>
      <c r="AYU25" s="4"/>
      <c r="AYV25" s="4"/>
      <c r="AYW25" s="4"/>
      <c r="AYX25" s="4"/>
      <c r="AYY25" s="4"/>
      <c r="AYZ25" s="4"/>
      <c r="AZA25" s="4"/>
      <c r="AZB25" s="4"/>
      <c r="AZC25" s="4"/>
      <c r="AZD25" s="4"/>
      <c r="AZE25" s="4"/>
      <c r="AZF25" s="4"/>
      <c r="AZG25" s="4"/>
      <c r="AZH25" s="4"/>
      <c r="AZI25" s="4"/>
      <c r="AZJ25" s="4"/>
      <c r="AZK25" s="4"/>
      <c r="AZL25" s="4"/>
      <c r="AZM25" s="4"/>
      <c r="AZN25" s="4"/>
      <c r="AZO25" s="4"/>
      <c r="AZP25" s="4"/>
      <c r="AZQ25" s="4"/>
      <c r="AZR25" s="4"/>
      <c r="AZS25" s="4"/>
      <c r="AZT25" s="4"/>
      <c r="AZU25" s="4"/>
      <c r="AZV25" s="4"/>
      <c r="AZW25" s="4"/>
      <c r="AZX25" s="4"/>
      <c r="AZY25" s="4"/>
      <c r="AZZ25" s="4"/>
      <c r="BAA25" s="4"/>
      <c r="BAB25" s="4"/>
      <c r="BAC25" s="4"/>
      <c r="BAD25" s="4"/>
      <c r="BAE25" s="4"/>
      <c r="BAF25" s="4"/>
      <c r="BAG25" s="4"/>
      <c r="BAH25" s="4"/>
      <c r="BAI25" s="4"/>
      <c r="BAJ25" s="4"/>
      <c r="BAK25" s="4"/>
      <c r="BAL25" s="4"/>
      <c r="BAM25" s="4"/>
      <c r="BAN25" s="4"/>
      <c r="BAO25" s="4"/>
      <c r="BAP25" s="4"/>
      <c r="BAQ25" s="4"/>
      <c r="BAR25" s="4"/>
      <c r="BAS25" s="4"/>
      <c r="BAT25" s="4"/>
      <c r="BAU25" s="4"/>
      <c r="BAV25" s="4"/>
      <c r="BAW25" s="4"/>
      <c r="BAX25" s="4"/>
      <c r="BAY25" s="4"/>
      <c r="BAZ25" s="4"/>
      <c r="BBA25" s="4"/>
      <c r="BBB25" s="4"/>
      <c r="BBC25" s="4"/>
      <c r="BBD25" s="4"/>
      <c r="BBE25" s="4"/>
      <c r="BBF25" s="4"/>
      <c r="BBG25" s="4"/>
      <c r="BBH25" s="4"/>
      <c r="BBI25" s="4"/>
      <c r="BBJ25" s="4"/>
      <c r="BBK25" s="4"/>
      <c r="BBL25" s="4"/>
      <c r="BBM25" s="4"/>
      <c r="BBN25" s="4"/>
      <c r="BBO25" s="4"/>
      <c r="BBP25" s="4"/>
      <c r="BBQ25" s="4"/>
      <c r="BBR25" s="4"/>
      <c r="BBS25" s="4"/>
      <c r="BBT25" s="4"/>
      <c r="BBU25" s="4"/>
      <c r="BBV25" s="4"/>
      <c r="BBW25" s="4"/>
      <c r="BBX25" s="4"/>
      <c r="BBY25" s="4"/>
      <c r="BBZ25" s="4"/>
      <c r="BCA25" s="4"/>
      <c r="BCB25" s="4"/>
      <c r="BCC25" s="4"/>
      <c r="BCD25" s="4"/>
      <c r="BCE25" s="4"/>
      <c r="BCF25" s="4"/>
      <c r="BCG25" s="4"/>
      <c r="BCH25" s="4"/>
      <c r="BCI25" s="4"/>
      <c r="BCJ25" s="4"/>
      <c r="BCK25" s="4"/>
      <c r="BCL25" s="4"/>
      <c r="BCM25" s="4"/>
      <c r="BCN25" s="4"/>
      <c r="BCO25" s="4"/>
      <c r="BCP25" s="4"/>
      <c r="BCQ25" s="4"/>
      <c r="BCR25" s="4"/>
      <c r="BCS25" s="4"/>
      <c r="BCT25" s="4"/>
      <c r="BCU25" s="4"/>
      <c r="BCV25" s="4"/>
      <c r="BCW25" s="4"/>
      <c r="BCX25" s="4"/>
      <c r="BCY25" s="4"/>
      <c r="BCZ25" s="4"/>
      <c r="BDA25" s="4"/>
      <c r="BDB25" s="4"/>
      <c r="BDC25" s="4"/>
      <c r="BDD25" s="4"/>
      <c r="BDE25" s="4"/>
      <c r="BDF25" s="4"/>
      <c r="BDG25" s="4"/>
      <c r="BDH25" s="4"/>
      <c r="BDI25" s="4"/>
      <c r="BDJ25" s="4"/>
      <c r="BDK25" s="4"/>
      <c r="BDL25" s="4"/>
      <c r="BDM25" s="4"/>
      <c r="BDN25" s="4"/>
      <c r="BDO25" s="4"/>
      <c r="BDP25" s="4"/>
      <c r="BDQ25" s="4"/>
      <c r="BDR25" s="4"/>
      <c r="BDS25" s="4"/>
      <c r="BDT25" s="4"/>
      <c r="BDU25" s="4"/>
      <c r="BDV25" s="4"/>
      <c r="BDW25" s="4"/>
      <c r="BDX25" s="4"/>
      <c r="BDY25" s="4"/>
      <c r="BDZ25" s="4"/>
      <c r="BEA25" s="4"/>
      <c r="BEB25" s="4"/>
      <c r="BEC25" s="4"/>
      <c r="BED25" s="4"/>
      <c r="BEE25" s="4"/>
      <c r="BEF25" s="4"/>
      <c r="BEG25" s="4"/>
      <c r="BEH25" s="4"/>
      <c r="BEI25" s="4"/>
      <c r="BEJ25" s="4"/>
      <c r="BEK25" s="4"/>
      <c r="BEL25" s="4"/>
      <c r="BEM25" s="4"/>
      <c r="BEN25" s="4"/>
      <c r="BEO25" s="4"/>
      <c r="BEP25" s="4"/>
      <c r="BEQ25" s="4"/>
      <c r="BER25" s="4"/>
      <c r="BES25" s="4"/>
      <c r="BET25" s="4"/>
      <c r="BEU25" s="4"/>
      <c r="BEV25" s="4"/>
      <c r="BEW25" s="4"/>
      <c r="BEX25" s="4"/>
      <c r="BEY25" s="4"/>
      <c r="BEZ25" s="4"/>
      <c r="BFA25" s="4"/>
      <c r="BFB25" s="4"/>
      <c r="BFC25" s="4"/>
      <c r="BFD25" s="4"/>
      <c r="BFE25" s="4"/>
      <c r="BFF25" s="4"/>
      <c r="BFG25" s="4"/>
      <c r="BFH25" s="4"/>
      <c r="BFI25" s="4"/>
      <c r="BFJ25" s="4"/>
      <c r="BFK25" s="4"/>
      <c r="BFL25" s="4"/>
      <c r="BFM25" s="4"/>
      <c r="BFN25" s="4"/>
      <c r="BFO25" s="4"/>
      <c r="BFP25" s="4"/>
      <c r="BFQ25" s="4"/>
      <c r="BFR25" s="4"/>
      <c r="BFS25" s="4"/>
      <c r="BFT25" s="4"/>
      <c r="BFU25" s="4"/>
      <c r="BFV25" s="4"/>
      <c r="BFW25" s="4"/>
      <c r="BFX25" s="4"/>
      <c r="BFY25" s="4"/>
      <c r="BFZ25" s="4"/>
      <c r="BGA25" s="4"/>
      <c r="BGB25" s="4"/>
      <c r="BGC25" s="4"/>
      <c r="BGD25" s="4"/>
      <c r="BGE25" s="4"/>
      <c r="BGF25" s="4"/>
      <c r="BGG25" s="4"/>
      <c r="BGH25" s="4"/>
      <c r="BGI25" s="4"/>
      <c r="BGJ25" s="4"/>
      <c r="BGK25" s="4"/>
      <c r="BGL25" s="4"/>
      <c r="BGM25" s="4"/>
      <c r="BGN25" s="4"/>
      <c r="BGO25" s="4"/>
      <c r="BGP25" s="4"/>
      <c r="BGQ25" s="4"/>
      <c r="BGR25" s="4"/>
      <c r="BGS25" s="4"/>
      <c r="BGT25" s="4"/>
      <c r="BGU25" s="4"/>
      <c r="BGV25" s="4"/>
      <c r="BGW25" s="4"/>
      <c r="BGX25" s="4"/>
      <c r="BGY25" s="4"/>
      <c r="BGZ25" s="4"/>
      <c r="BHA25" s="4"/>
      <c r="BHB25" s="4"/>
      <c r="BHC25" s="4"/>
      <c r="BHD25" s="4"/>
      <c r="BHE25" s="4"/>
      <c r="BHF25" s="4"/>
      <c r="BHG25" s="4"/>
      <c r="BHH25" s="4"/>
      <c r="BHI25" s="4"/>
      <c r="BHJ25" s="4"/>
      <c r="BHK25" s="4"/>
      <c r="BHL25" s="4"/>
      <c r="BHM25" s="4"/>
      <c r="BHN25" s="4"/>
      <c r="BHO25" s="4"/>
      <c r="BHP25" s="4"/>
      <c r="BHQ25" s="4"/>
      <c r="BHR25" s="4"/>
      <c r="BHS25" s="4"/>
      <c r="BHT25" s="4"/>
      <c r="BHU25" s="4"/>
      <c r="BHV25" s="4"/>
      <c r="BHW25" s="4"/>
      <c r="BHX25" s="4"/>
      <c r="BHY25" s="4"/>
      <c r="BHZ25" s="4"/>
      <c r="BIA25" s="4"/>
      <c r="BIB25" s="4"/>
      <c r="BIC25" s="4"/>
      <c r="BID25" s="4"/>
      <c r="BIE25" s="4"/>
      <c r="BIF25" s="4"/>
      <c r="BIG25" s="4"/>
      <c r="BIH25" s="4"/>
      <c r="BII25" s="4"/>
      <c r="BIJ25" s="4"/>
      <c r="BIK25" s="4"/>
      <c r="BIL25" s="4"/>
      <c r="BIM25" s="4"/>
      <c r="BIN25" s="4"/>
      <c r="BIO25" s="4"/>
      <c r="BIP25" s="4"/>
      <c r="BIQ25" s="4"/>
      <c r="BIR25" s="4"/>
      <c r="BIS25" s="4"/>
      <c r="BIT25" s="4"/>
      <c r="BIU25" s="4"/>
      <c r="BIV25" s="4"/>
      <c r="BIW25" s="4"/>
      <c r="BIX25" s="4"/>
      <c r="BIY25" s="4"/>
      <c r="BIZ25" s="4"/>
      <c r="BJA25" s="4"/>
      <c r="BJB25" s="4"/>
      <c r="BJC25" s="4"/>
      <c r="BJD25" s="4"/>
      <c r="BJE25" s="4"/>
      <c r="BJF25" s="4"/>
      <c r="BJG25" s="4"/>
      <c r="BJH25" s="4"/>
      <c r="BJI25" s="4"/>
      <c r="BJJ25" s="4"/>
      <c r="BJK25" s="4"/>
      <c r="BJL25" s="4"/>
      <c r="BJM25" s="4"/>
      <c r="BJN25" s="4"/>
      <c r="BJO25" s="4"/>
      <c r="BJP25" s="4"/>
      <c r="BJQ25" s="4"/>
      <c r="BJR25" s="4"/>
      <c r="BJS25" s="4"/>
      <c r="BJT25" s="4"/>
      <c r="BJU25" s="4"/>
      <c r="BJV25" s="4"/>
      <c r="BJW25" s="4"/>
      <c r="BJX25" s="4"/>
      <c r="BJY25" s="4"/>
      <c r="BJZ25" s="4"/>
      <c r="BKA25" s="4"/>
      <c r="BKB25" s="4"/>
      <c r="BKC25" s="4"/>
      <c r="BKD25" s="4"/>
      <c r="BKE25" s="4"/>
      <c r="BKF25" s="4"/>
      <c r="BKG25" s="4"/>
      <c r="BKH25" s="4"/>
      <c r="BKI25" s="4"/>
      <c r="BKJ25" s="4"/>
      <c r="BKK25" s="4"/>
      <c r="BKL25" s="4"/>
      <c r="BKM25" s="4"/>
      <c r="BKN25" s="4"/>
      <c r="BKO25" s="4"/>
      <c r="BKP25" s="4"/>
      <c r="BKQ25" s="4"/>
      <c r="BKR25" s="4"/>
      <c r="BKS25" s="4"/>
      <c r="BKT25" s="4"/>
      <c r="BKU25" s="4"/>
      <c r="BKV25" s="4"/>
      <c r="BKW25" s="4"/>
      <c r="BKX25" s="4"/>
      <c r="BKY25" s="4"/>
      <c r="BKZ25" s="4"/>
      <c r="BLA25" s="4"/>
      <c r="BLB25" s="4"/>
      <c r="BLC25" s="4"/>
      <c r="BLD25" s="4"/>
      <c r="BLE25" s="4"/>
      <c r="BLF25" s="4"/>
      <c r="BLG25" s="4"/>
      <c r="BLH25" s="4"/>
      <c r="BLI25" s="4"/>
      <c r="BLJ25" s="4"/>
      <c r="BLK25" s="4"/>
      <c r="BLL25" s="4"/>
      <c r="BLM25" s="4"/>
      <c r="BLN25" s="4"/>
      <c r="BLO25" s="4"/>
      <c r="BLP25" s="4"/>
      <c r="BLQ25" s="4"/>
      <c r="BLR25" s="4"/>
      <c r="BLS25" s="4"/>
      <c r="BLT25" s="4"/>
      <c r="BLU25" s="4"/>
      <c r="BLV25" s="4"/>
      <c r="BLW25" s="4"/>
      <c r="BLX25" s="4"/>
      <c r="BLY25" s="4"/>
      <c r="BLZ25" s="4"/>
      <c r="BMA25" s="4"/>
      <c r="BMB25" s="4"/>
      <c r="BMC25" s="4"/>
      <c r="BMD25" s="4"/>
      <c r="BME25" s="4"/>
      <c r="BMF25" s="4"/>
      <c r="BMG25" s="4"/>
      <c r="BMH25" s="4"/>
      <c r="BMI25" s="4"/>
      <c r="BMJ25" s="4"/>
      <c r="BMK25" s="4"/>
      <c r="BML25" s="4"/>
      <c r="BMM25" s="4"/>
      <c r="BMN25" s="4"/>
      <c r="BMO25" s="4"/>
      <c r="BMP25" s="4"/>
      <c r="BMQ25" s="4"/>
      <c r="BMR25" s="4"/>
      <c r="BMS25" s="4"/>
      <c r="BMT25" s="4"/>
      <c r="BMU25" s="4"/>
      <c r="BMV25" s="4"/>
      <c r="BMW25" s="4"/>
      <c r="BMX25" s="4"/>
      <c r="BMY25" s="4"/>
      <c r="BMZ25" s="4"/>
      <c r="BNA25" s="4"/>
      <c r="BNB25" s="4"/>
      <c r="BNC25" s="4"/>
      <c r="BND25" s="4"/>
      <c r="BNE25" s="4"/>
      <c r="BNF25" s="4"/>
      <c r="BNG25" s="4"/>
      <c r="BNH25" s="4"/>
      <c r="BNI25" s="4"/>
      <c r="BNJ25" s="4"/>
      <c r="BNK25" s="4"/>
      <c r="BNL25" s="4"/>
      <c r="BNM25" s="4"/>
      <c r="BNN25" s="4"/>
      <c r="BNO25" s="4"/>
      <c r="BNP25" s="4"/>
      <c r="BNQ25" s="4"/>
      <c r="BNR25" s="4"/>
      <c r="BNS25" s="4"/>
      <c r="BNT25" s="4"/>
      <c r="BNU25" s="4"/>
      <c r="BNV25" s="4"/>
      <c r="BNW25" s="4"/>
      <c r="BNX25" s="4"/>
      <c r="BNY25" s="4"/>
      <c r="BNZ25" s="4"/>
      <c r="BOA25" s="4"/>
      <c r="BOB25" s="4"/>
      <c r="BOC25" s="4"/>
      <c r="BOD25" s="4"/>
      <c r="BOE25" s="4"/>
      <c r="BOF25" s="4"/>
      <c r="BOG25" s="4"/>
      <c r="BOH25" s="4"/>
      <c r="BOI25" s="4"/>
      <c r="BOJ25" s="4"/>
      <c r="BOK25" s="4"/>
      <c r="BOL25" s="4"/>
      <c r="BOM25" s="4"/>
      <c r="BON25" s="4"/>
      <c r="BOO25" s="4"/>
      <c r="BOP25" s="4"/>
      <c r="BOQ25" s="4"/>
      <c r="BOR25" s="4"/>
      <c r="BOS25" s="4"/>
      <c r="BOT25" s="4"/>
      <c r="BOU25" s="4"/>
      <c r="BOV25" s="4"/>
      <c r="BOW25" s="4"/>
      <c r="BOX25" s="4"/>
      <c r="BOY25" s="4"/>
      <c r="BOZ25" s="4"/>
      <c r="BPA25" s="4"/>
      <c r="BPB25" s="4"/>
      <c r="BPC25" s="66"/>
    </row>
    <row r="26" s="6" customFormat="1" ht="60" customHeight="1" spans="1:1024 1025:1771">
      <c r="A26" s="359" t="s">
        <v>96</v>
      </c>
      <c r="B26" s="356" t="s">
        <v>97</v>
      </c>
      <c r="C26" s="356" t="s">
        <v>98</v>
      </c>
      <c r="D26" s="356" t="s">
        <v>99</v>
      </c>
      <c r="E26" s="356"/>
      <c r="F26" s="356"/>
      <c r="G26" s="360"/>
      <c r="H26" s="357">
        <f t="shared" si="0"/>
        <v>46161</v>
      </c>
      <c r="I26" s="361" t="s">
        <v>7</v>
      </c>
      <c r="J26" s="360"/>
      <c r="K26" s="5"/>
      <c r="L26" s="5" t="s">
        <v>43</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c r="VL26" s="4"/>
      <c r="VM26" s="4"/>
      <c r="VN26" s="4"/>
      <c r="VO26" s="4"/>
      <c r="VP26" s="4"/>
      <c r="VQ26" s="4"/>
      <c r="VR26" s="4"/>
      <c r="VS26" s="4"/>
      <c r="VT26" s="4"/>
      <c r="VU26" s="4"/>
      <c r="VV26" s="4"/>
      <c r="VW26" s="4"/>
      <c r="VX26" s="4"/>
      <c r="VY26" s="4"/>
      <c r="VZ26" s="4"/>
      <c r="WA26" s="4"/>
      <c r="WB26" s="4"/>
      <c r="WC26" s="4"/>
      <c r="WD26" s="4"/>
      <c r="WE26" s="4"/>
      <c r="WF26" s="4"/>
      <c r="WG26" s="4"/>
      <c r="WH26" s="4"/>
      <c r="WI26" s="4"/>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c r="AAB26" s="4"/>
      <c r="AAC26" s="4"/>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c r="AGK26" s="4"/>
      <c r="AGL26" s="4"/>
      <c r="AGM26" s="4"/>
      <c r="AGN26" s="4"/>
      <c r="AGO26" s="4"/>
      <c r="AGP26" s="4"/>
      <c r="AGQ26" s="4"/>
      <c r="AGR26" s="4"/>
      <c r="AGS26" s="4"/>
      <c r="AGT26" s="4"/>
      <c r="AGU26" s="4"/>
      <c r="AGV26" s="4"/>
      <c r="AGW26" s="4"/>
      <c r="AGX26" s="4"/>
      <c r="AGY26" s="4"/>
      <c r="AGZ26" s="4"/>
      <c r="AHA26" s="4"/>
      <c r="AHB26" s="4"/>
      <c r="AHC26" s="4"/>
      <c r="AHD26" s="4"/>
      <c r="AHE26" s="4"/>
      <c r="AHF26" s="4"/>
      <c r="AHG26" s="4"/>
      <c r="AHH26" s="4"/>
      <c r="AHI26" s="4"/>
      <c r="AHJ26" s="4"/>
      <c r="AHK26" s="4"/>
      <c r="AHL26" s="4"/>
      <c r="AHM26" s="4"/>
      <c r="AHN26" s="4"/>
      <c r="AHO26" s="4"/>
      <c r="AHP26" s="4"/>
      <c r="AHQ26" s="4"/>
      <c r="AHR26" s="4"/>
      <c r="AHS26" s="4"/>
      <c r="AHT26" s="4"/>
      <c r="AHU26" s="4"/>
      <c r="AHV26" s="4"/>
      <c r="AHW26" s="4"/>
      <c r="AHX26" s="4"/>
      <c r="AHY26" s="4"/>
      <c r="AHZ26" s="4"/>
      <c r="AIA26" s="4"/>
      <c r="AIB26" s="4"/>
      <c r="AIC26" s="4"/>
      <c r="AID26" s="4"/>
      <c r="AIE26" s="4"/>
      <c r="AIF26" s="4"/>
      <c r="AIG26" s="4"/>
      <c r="AIH26" s="4"/>
      <c r="AII26" s="4"/>
      <c r="AIJ26" s="4"/>
      <c r="AIK26" s="4"/>
      <c r="AIL26" s="4"/>
      <c r="AIM26" s="4"/>
      <c r="AIN26" s="4"/>
      <c r="AIO26" s="4"/>
      <c r="AIP26" s="4"/>
      <c r="AIQ26" s="4"/>
      <c r="AIR26" s="4"/>
      <c r="AIS26" s="4"/>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c r="AJU26" s="4"/>
      <c r="AJV26" s="4"/>
      <c r="AJW26" s="4"/>
      <c r="AJX26" s="4"/>
      <c r="AJY26" s="4"/>
      <c r="AJZ26" s="4"/>
      <c r="AKA26" s="4"/>
      <c r="AKB26" s="4"/>
      <c r="AKC26" s="4"/>
      <c r="AKD26" s="4"/>
      <c r="AKE26" s="4"/>
      <c r="AKF26" s="4"/>
      <c r="AKG26" s="4"/>
      <c r="AKH26" s="4"/>
      <c r="AKI26" s="4"/>
      <c r="AKJ26" s="4"/>
      <c r="AKK26" s="4"/>
      <c r="AKL26" s="4"/>
      <c r="AKM26" s="4"/>
      <c r="AKN26" s="4"/>
      <c r="AKO26" s="4"/>
      <c r="AKP26" s="4"/>
      <c r="AKQ26" s="4"/>
      <c r="AKR26" s="4"/>
      <c r="AKS26" s="4"/>
      <c r="AKT26" s="4"/>
      <c r="AKU26" s="4"/>
      <c r="AKV26" s="4"/>
      <c r="AKW26" s="4"/>
      <c r="AKX26" s="4"/>
      <c r="AKY26" s="4"/>
      <c r="AKZ26" s="4"/>
      <c r="ALA26" s="4"/>
      <c r="ALB26" s="4"/>
      <c r="ALC26" s="4"/>
      <c r="ALD26" s="4"/>
      <c r="ALE26" s="4"/>
      <c r="ALF26" s="4"/>
      <c r="ALG26" s="4"/>
      <c r="ALH26" s="4"/>
      <c r="ALI26" s="4"/>
      <c r="ALJ26" s="4"/>
      <c r="ALK26" s="4"/>
      <c r="ALL26" s="4"/>
      <c r="ALM26" s="4"/>
      <c r="ALN26" s="4"/>
      <c r="ALO26" s="4"/>
      <c r="ALP26" s="4"/>
      <c r="ALQ26" s="4"/>
      <c r="ALR26" s="4"/>
      <c r="ALS26" s="4"/>
      <c r="ALT26" s="4"/>
      <c r="ALU26" s="4"/>
      <c r="ALV26" s="4"/>
      <c r="ALW26" s="4"/>
      <c r="ALX26" s="4"/>
      <c r="ALY26" s="4"/>
      <c r="ALZ26" s="4"/>
      <c r="AMA26" s="4"/>
      <c r="AMB26" s="4"/>
      <c r="AMC26" s="4"/>
      <c r="AMD26" s="4"/>
      <c r="AME26" s="4"/>
      <c r="AMF26" s="4"/>
      <c r="AMG26" s="4"/>
      <c r="AMH26" s="4"/>
      <c r="AMI26" s="4"/>
      <c r="AMJ26" s="4"/>
      <c r="AMK26" s="4"/>
      <c r="AML26" s="4"/>
      <c r="AMM26" s="4"/>
      <c r="AMN26" s="4"/>
      <c r="AMO26" s="4"/>
      <c r="AMP26" s="4"/>
      <c r="AMQ26" s="4"/>
      <c r="AMR26" s="4"/>
      <c r="AMS26" s="4"/>
      <c r="AMT26" s="4"/>
      <c r="AMU26" s="4"/>
      <c r="AMV26" s="4"/>
      <c r="AMW26" s="4"/>
      <c r="AMX26" s="4"/>
      <c r="AMY26" s="4"/>
      <c r="AMZ26" s="4"/>
      <c r="ANA26" s="4"/>
      <c r="ANB26" s="4"/>
      <c r="ANC26" s="4"/>
      <c r="AND26" s="4"/>
      <c r="ANE26" s="4"/>
      <c r="ANF26" s="4"/>
      <c r="ANG26" s="4"/>
      <c r="ANH26" s="4"/>
      <c r="ANI26" s="4"/>
      <c r="ANJ26" s="4"/>
      <c r="ANK26" s="4"/>
      <c r="ANL26" s="4"/>
      <c r="ANM26" s="4"/>
      <c r="ANN26" s="4"/>
      <c r="ANO26" s="4"/>
      <c r="ANP26" s="4"/>
      <c r="ANQ26" s="4"/>
      <c r="ANR26" s="4"/>
      <c r="ANS26" s="4"/>
      <c r="ANT26" s="4"/>
      <c r="ANU26" s="4"/>
      <c r="ANV26" s="4"/>
      <c r="ANW26" s="4"/>
      <c r="ANX26" s="4"/>
      <c r="ANY26" s="4"/>
      <c r="ANZ26" s="4"/>
      <c r="AOA26" s="4"/>
      <c r="AOB26" s="4"/>
      <c r="AOC26" s="4"/>
      <c r="AOD26" s="4"/>
      <c r="AOE26" s="4"/>
      <c r="AOF26" s="4"/>
      <c r="AOG26" s="4"/>
      <c r="AOH26" s="4"/>
      <c r="AOI26" s="4"/>
      <c r="AOJ26" s="4"/>
      <c r="AOK26" s="4"/>
      <c r="AOL26" s="4"/>
      <c r="AOM26" s="4"/>
      <c r="AON26" s="4"/>
      <c r="AOO26" s="4"/>
      <c r="AOP26" s="4"/>
      <c r="AOQ26" s="4"/>
      <c r="AOR26" s="4"/>
      <c r="AOS26" s="4"/>
      <c r="AOT26" s="4"/>
      <c r="AOU26" s="4"/>
      <c r="AOV26" s="4"/>
      <c r="AOW26" s="4"/>
      <c r="AOX26" s="4"/>
      <c r="AOY26" s="4"/>
      <c r="AOZ26" s="4"/>
      <c r="APA26" s="4"/>
      <c r="APB26" s="4"/>
      <c r="APC26" s="4"/>
      <c r="APD26" s="4"/>
      <c r="APE26" s="4"/>
      <c r="APF26" s="4"/>
      <c r="APG26" s="4"/>
      <c r="APH26" s="4"/>
      <c r="API26" s="4"/>
      <c r="APJ26" s="4"/>
      <c r="APK26" s="4"/>
      <c r="APL26" s="4"/>
      <c r="APM26" s="4"/>
      <c r="APN26" s="4"/>
      <c r="APO26" s="4"/>
      <c r="APP26" s="4"/>
      <c r="APQ26" s="4"/>
      <c r="APR26" s="4"/>
      <c r="APS26" s="4"/>
      <c r="APT26" s="4"/>
      <c r="APU26" s="4"/>
      <c r="APV26" s="4"/>
      <c r="APW26" s="4"/>
      <c r="APX26" s="4"/>
      <c r="APY26" s="4"/>
      <c r="APZ26" s="4"/>
      <c r="AQA26" s="4"/>
      <c r="AQB26" s="4"/>
      <c r="AQC26" s="4"/>
      <c r="AQD26" s="4"/>
      <c r="AQE26" s="4"/>
      <c r="AQF26" s="4"/>
      <c r="AQG26" s="4"/>
      <c r="AQH26" s="4"/>
      <c r="AQI26" s="4"/>
      <c r="AQJ26" s="4"/>
      <c r="AQK26" s="4"/>
      <c r="AQL26" s="4"/>
      <c r="AQM26" s="4"/>
      <c r="AQN26" s="4"/>
      <c r="AQO26" s="4"/>
      <c r="AQP26" s="4"/>
      <c r="AQQ26" s="4"/>
      <c r="AQR26" s="4"/>
      <c r="AQS26" s="4"/>
      <c r="AQT26" s="4"/>
      <c r="AQU26" s="4"/>
      <c r="AQV26" s="4"/>
      <c r="AQW26" s="4"/>
      <c r="AQX26" s="4"/>
      <c r="AQY26" s="4"/>
      <c r="AQZ26" s="4"/>
      <c r="ARA26" s="4"/>
      <c r="ARB26" s="4"/>
      <c r="ARC26" s="4"/>
      <c r="ARD26" s="4"/>
      <c r="ARE26" s="4"/>
      <c r="ARF26" s="4"/>
      <c r="ARG26" s="4"/>
      <c r="ARH26" s="4"/>
      <c r="ARI26" s="4"/>
      <c r="ARJ26" s="4"/>
      <c r="ARK26" s="4"/>
      <c r="ARL26" s="4"/>
      <c r="ARM26" s="4"/>
      <c r="ARN26" s="4"/>
      <c r="ARO26" s="4"/>
      <c r="ARP26" s="4"/>
      <c r="ARQ26" s="4"/>
      <c r="ARR26" s="4"/>
      <c r="ARS26" s="4"/>
      <c r="ART26" s="4"/>
      <c r="ARU26" s="4"/>
      <c r="ARV26" s="4"/>
      <c r="ARW26" s="4"/>
      <c r="ARX26" s="4"/>
      <c r="ARY26" s="4"/>
      <c r="ARZ26" s="4"/>
      <c r="ASA26" s="4"/>
      <c r="ASB26" s="4"/>
      <c r="ASC26" s="4"/>
      <c r="ASD26" s="4"/>
      <c r="ASE26" s="4"/>
      <c r="ASF26" s="4"/>
      <c r="ASG26" s="4"/>
      <c r="ASH26" s="4"/>
      <c r="ASI26" s="4"/>
      <c r="ASJ26" s="4"/>
      <c r="ASK26" s="4"/>
      <c r="ASL26" s="4"/>
      <c r="ASM26" s="4"/>
      <c r="ASN26" s="4"/>
      <c r="ASO26" s="4"/>
      <c r="ASP26" s="4"/>
      <c r="ASQ26" s="4"/>
      <c r="ASR26" s="4"/>
      <c r="ASS26" s="4"/>
      <c r="AST26" s="4"/>
      <c r="ASU26" s="4"/>
      <c r="ASV26" s="4"/>
      <c r="ASW26" s="4"/>
      <c r="ASX26" s="4"/>
      <c r="ASY26" s="4"/>
      <c r="ASZ26" s="4"/>
      <c r="ATA26" s="4"/>
      <c r="ATB26" s="4"/>
      <c r="ATC26" s="4"/>
      <c r="ATD26" s="4"/>
      <c r="ATE26" s="4"/>
      <c r="ATF26" s="4"/>
      <c r="ATG26" s="4"/>
      <c r="ATH26" s="4"/>
      <c r="ATI26" s="4"/>
      <c r="ATJ26" s="4"/>
      <c r="ATK26" s="4"/>
      <c r="ATL26" s="4"/>
      <c r="ATM26" s="4"/>
      <c r="ATN26" s="4"/>
      <c r="ATO26" s="4"/>
      <c r="ATP26" s="4"/>
      <c r="ATQ26" s="4"/>
      <c r="ATR26" s="4"/>
      <c r="ATS26" s="4"/>
      <c r="ATT26" s="4"/>
      <c r="ATU26" s="4"/>
      <c r="ATV26" s="4"/>
      <c r="ATW26" s="4"/>
      <c r="ATX26" s="4"/>
      <c r="ATY26" s="4"/>
      <c r="ATZ26" s="4"/>
      <c r="AUA26" s="4"/>
      <c r="AUB26" s="4"/>
      <c r="AUC26" s="4"/>
      <c r="AUD26" s="4"/>
      <c r="AUE26" s="4"/>
      <c r="AUF26" s="4"/>
      <c r="AUG26" s="4"/>
      <c r="AUH26" s="4"/>
      <c r="AUI26" s="4"/>
      <c r="AUJ26" s="4"/>
      <c r="AUK26" s="4"/>
      <c r="AUL26" s="4"/>
      <c r="AUM26" s="4"/>
      <c r="AUN26" s="4"/>
      <c r="AUO26" s="4"/>
      <c r="AUP26" s="4"/>
      <c r="AUQ26" s="4"/>
      <c r="AUR26" s="4"/>
      <c r="AUS26" s="4"/>
      <c r="AUT26" s="4"/>
      <c r="AUU26" s="4"/>
      <c r="AUV26" s="4"/>
      <c r="AUW26" s="4"/>
      <c r="AUX26" s="4"/>
      <c r="AUY26" s="4"/>
      <c r="AUZ26" s="4"/>
      <c r="AVA26" s="4"/>
      <c r="AVB26" s="4"/>
      <c r="AVC26" s="4"/>
      <c r="AVD26" s="4"/>
      <c r="AVE26" s="4"/>
      <c r="AVF26" s="4"/>
      <c r="AVG26" s="4"/>
      <c r="AVH26" s="4"/>
      <c r="AVI26" s="4"/>
      <c r="AVJ26" s="4"/>
      <c r="AVK26" s="4"/>
      <c r="AVL26" s="4"/>
      <c r="AVM26" s="4"/>
      <c r="AVN26" s="4"/>
      <c r="AVO26" s="4"/>
      <c r="AVP26" s="4"/>
      <c r="AVQ26" s="4"/>
      <c r="AVR26" s="4"/>
      <c r="AVS26" s="4"/>
      <c r="AVT26" s="4"/>
      <c r="AVU26" s="4"/>
      <c r="AVV26" s="4"/>
      <c r="AVW26" s="4"/>
      <c r="AVX26" s="4"/>
      <c r="AVY26" s="4"/>
      <c r="AVZ26" s="4"/>
      <c r="AWA26" s="4"/>
      <c r="AWB26" s="4"/>
      <c r="AWC26" s="4"/>
      <c r="AWD26" s="4"/>
      <c r="AWE26" s="4"/>
      <c r="AWF26" s="4"/>
      <c r="AWG26" s="4"/>
      <c r="AWH26" s="4"/>
      <c r="AWI26" s="4"/>
      <c r="AWJ26" s="4"/>
      <c r="AWK26" s="4"/>
      <c r="AWL26" s="4"/>
      <c r="AWM26" s="4"/>
      <c r="AWN26" s="4"/>
      <c r="AWO26" s="4"/>
      <c r="AWP26" s="4"/>
      <c r="AWQ26" s="4"/>
      <c r="AWR26" s="4"/>
      <c r="AWS26" s="4"/>
      <c r="AWT26" s="4"/>
      <c r="AWU26" s="4"/>
      <c r="AWV26" s="4"/>
      <c r="AWW26" s="4"/>
      <c r="AWX26" s="4"/>
      <c r="AWY26" s="4"/>
      <c r="AWZ26" s="4"/>
      <c r="AXA26" s="4"/>
      <c r="AXB26" s="4"/>
      <c r="AXC26" s="4"/>
      <c r="AXD26" s="4"/>
      <c r="AXE26" s="4"/>
      <c r="AXF26" s="4"/>
      <c r="AXG26" s="4"/>
      <c r="AXH26" s="4"/>
      <c r="AXI26" s="4"/>
      <c r="AXJ26" s="4"/>
      <c r="AXK26" s="4"/>
      <c r="AXL26" s="4"/>
      <c r="AXM26" s="4"/>
      <c r="AXN26" s="4"/>
      <c r="AXO26" s="4"/>
      <c r="AXP26" s="4"/>
      <c r="AXQ26" s="4"/>
      <c r="AXR26" s="4"/>
      <c r="AXS26" s="4"/>
      <c r="AXT26" s="4"/>
      <c r="AXU26" s="4"/>
      <c r="AXV26" s="4"/>
      <c r="AXW26" s="4"/>
      <c r="AXX26" s="4"/>
      <c r="AXY26" s="4"/>
      <c r="AXZ26" s="4"/>
      <c r="AYA26" s="4"/>
      <c r="AYB26" s="4"/>
      <c r="AYC26" s="4"/>
      <c r="AYD26" s="4"/>
      <c r="AYE26" s="4"/>
      <c r="AYF26" s="4"/>
      <c r="AYG26" s="4"/>
      <c r="AYH26" s="4"/>
      <c r="AYI26" s="4"/>
      <c r="AYJ26" s="4"/>
      <c r="AYK26" s="4"/>
      <c r="AYL26" s="4"/>
      <c r="AYM26" s="4"/>
      <c r="AYN26" s="4"/>
      <c r="AYO26" s="4"/>
      <c r="AYP26" s="4"/>
      <c r="AYQ26" s="4"/>
      <c r="AYR26" s="4"/>
      <c r="AYS26" s="4"/>
      <c r="AYT26" s="4"/>
      <c r="AYU26" s="4"/>
      <c r="AYV26" s="4"/>
      <c r="AYW26" s="4"/>
      <c r="AYX26" s="4"/>
      <c r="AYY26" s="4"/>
      <c r="AYZ26" s="4"/>
      <c r="AZA26" s="4"/>
      <c r="AZB26" s="4"/>
      <c r="AZC26" s="4"/>
      <c r="AZD26" s="4"/>
      <c r="AZE26" s="4"/>
      <c r="AZF26" s="4"/>
      <c r="AZG26" s="4"/>
      <c r="AZH26" s="4"/>
      <c r="AZI26" s="4"/>
      <c r="AZJ26" s="4"/>
      <c r="AZK26" s="4"/>
      <c r="AZL26" s="4"/>
      <c r="AZM26" s="4"/>
      <c r="AZN26" s="4"/>
      <c r="AZO26" s="4"/>
      <c r="AZP26" s="4"/>
      <c r="AZQ26" s="4"/>
      <c r="AZR26" s="4"/>
      <c r="AZS26" s="4"/>
      <c r="AZT26" s="4"/>
      <c r="AZU26" s="4"/>
      <c r="AZV26" s="4"/>
      <c r="AZW26" s="4"/>
      <c r="AZX26" s="4"/>
      <c r="AZY26" s="4"/>
      <c r="AZZ26" s="4"/>
      <c r="BAA26" s="4"/>
      <c r="BAB26" s="4"/>
      <c r="BAC26" s="4"/>
      <c r="BAD26" s="4"/>
      <c r="BAE26" s="4"/>
      <c r="BAF26" s="4"/>
      <c r="BAG26" s="4"/>
      <c r="BAH26" s="4"/>
      <c r="BAI26" s="4"/>
      <c r="BAJ26" s="4"/>
      <c r="BAK26" s="4"/>
      <c r="BAL26" s="4"/>
      <c r="BAM26" s="4"/>
      <c r="BAN26" s="4"/>
      <c r="BAO26" s="4"/>
      <c r="BAP26" s="4"/>
      <c r="BAQ26" s="4"/>
      <c r="BAR26" s="4"/>
      <c r="BAS26" s="4"/>
      <c r="BAT26" s="4"/>
      <c r="BAU26" s="4"/>
      <c r="BAV26" s="4"/>
      <c r="BAW26" s="4"/>
      <c r="BAX26" s="4"/>
      <c r="BAY26" s="4"/>
      <c r="BAZ26" s="4"/>
      <c r="BBA26" s="4"/>
      <c r="BBB26" s="4"/>
      <c r="BBC26" s="4"/>
      <c r="BBD26" s="4"/>
      <c r="BBE26" s="4"/>
      <c r="BBF26" s="4"/>
      <c r="BBG26" s="4"/>
      <c r="BBH26" s="4"/>
      <c r="BBI26" s="4"/>
      <c r="BBJ26" s="4"/>
      <c r="BBK26" s="4"/>
      <c r="BBL26" s="4"/>
      <c r="BBM26" s="4"/>
      <c r="BBN26" s="4"/>
      <c r="BBO26" s="4"/>
      <c r="BBP26" s="4"/>
      <c r="BBQ26" s="4"/>
      <c r="BBR26" s="4"/>
      <c r="BBS26" s="4"/>
      <c r="BBT26" s="4"/>
      <c r="BBU26" s="4"/>
      <c r="BBV26" s="4"/>
      <c r="BBW26" s="4"/>
      <c r="BBX26" s="4"/>
      <c r="BBY26" s="4"/>
      <c r="BBZ26" s="4"/>
      <c r="BCA26" s="4"/>
      <c r="BCB26" s="4"/>
      <c r="BCC26" s="4"/>
      <c r="BCD26" s="4"/>
      <c r="BCE26" s="4"/>
      <c r="BCF26" s="4"/>
      <c r="BCG26" s="4"/>
      <c r="BCH26" s="4"/>
      <c r="BCI26" s="4"/>
      <c r="BCJ26" s="4"/>
      <c r="BCK26" s="4"/>
      <c r="BCL26" s="4"/>
      <c r="BCM26" s="4"/>
      <c r="BCN26" s="4"/>
      <c r="BCO26" s="4"/>
      <c r="BCP26" s="4"/>
      <c r="BCQ26" s="4"/>
      <c r="BCR26" s="4"/>
      <c r="BCS26" s="4"/>
      <c r="BCT26" s="4"/>
      <c r="BCU26" s="4"/>
      <c r="BCV26" s="4"/>
      <c r="BCW26" s="4"/>
      <c r="BCX26" s="4"/>
      <c r="BCY26" s="4"/>
      <c r="BCZ26" s="4"/>
      <c r="BDA26" s="4"/>
      <c r="BDB26" s="4"/>
      <c r="BDC26" s="4"/>
      <c r="BDD26" s="4"/>
      <c r="BDE26" s="4"/>
      <c r="BDF26" s="4"/>
      <c r="BDG26" s="4"/>
      <c r="BDH26" s="4"/>
      <c r="BDI26" s="4"/>
      <c r="BDJ26" s="4"/>
      <c r="BDK26" s="4"/>
      <c r="BDL26" s="4"/>
      <c r="BDM26" s="4"/>
      <c r="BDN26" s="4"/>
      <c r="BDO26" s="4"/>
      <c r="BDP26" s="4"/>
      <c r="BDQ26" s="4"/>
      <c r="BDR26" s="4"/>
      <c r="BDS26" s="4"/>
      <c r="BDT26" s="4"/>
      <c r="BDU26" s="4"/>
      <c r="BDV26" s="4"/>
      <c r="BDW26" s="4"/>
      <c r="BDX26" s="4"/>
      <c r="BDY26" s="4"/>
      <c r="BDZ26" s="4"/>
      <c r="BEA26" s="4"/>
      <c r="BEB26" s="4"/>
      <c r="BEC26" s="4"/>
      <c r="BED26" s="4"/>
      <c r="BEE26" s="4"/>
      <c r="BEF26" s="4"/>
      <c r="BEG26" s="4"/>
      <c r="BEH26" s="4"/>
      <c r="BEI26" s="4"/>
      <c r="BEJ26" s="4"/>
      <c r="BEK26" s="4"/>
      <c r="BEL26" s="4"/>
      <c r="BEM26" s="4"/>
      <c r="BEN26" s="4"/>
      <c r="BEO26" s="4"/>
      <c r="BEP26" s="4"/>
      <c r="BEQ26" s="4"/>
      <c r="BER26" s="4"/>
      <c r="BES26" s="4"/>
      <c r="BET26" s="4"/>
      <c r="BEU26" s="4"/>
      <c r="BEV26" s="4"/>
      <c r="BEW26" s="4"/>
      <c r="BEX26" s="4"/>
      <c r="BEY26" s="4"/>
      <c r="BEZ26" s="4"/>
      <c r="BFA26" s="4"/>
      <c r="BFB26" s="4"/>
      <c r="BFC26" s="4"/>
      <c r="BFD26" s="4"/>
      <c r="BFE26" s="4"/>
      <c r="BFF26" s="4"/>
      <c r="BFG26" s="4"/>
      <c r="BFH26" s="4"/>
      <c r="BFI26" s="4"/>
      <c r="BFJ26" s="4"/>
      <c r="BFK26" s="4"/>
      <c r="BFL26" s="4"/>
      <c r="BFM26" s="4"/>
      <c r="BFN26" s="4"/>
      <c r="BFO26" s="4"/>
      <c r="BFP26" s="4"/>
      <c r="BFQ26" s="4"/>
      <c r="BFR26" s="4"/>
      <c r="BFS26" s="4"/>
      <c r="BFT26" s="4"/>
      <c r="BFU26" s="4"/>
      <c r="BFV26" s="4"/>
      <c r="BFW26" s="4"/>
      <c r="BFX26" s="4"/>
      <c r="BFY26" s="4"/>
      <c r="BFZ26" s="4"/>
      <c r="BGA26" s="4"/>
      <c r="BGB26" s="4"/>
      <c r="BGC26" s="4"/>
      <c r="BGD26" s="4"/>
      <c r="BGE26" s="4"/>
      <c r="BGF26" s="4"/>
      <c r="BGG26" s="4"/>
      <c r="BGH26" s="4"/>
      <c r="BGI26" s="4"/>
      <c r="BGJ26" s="4"/>
      <c r="BGK26" s="4"/>
      <c r="BGL26" s="4"/>
      <c r="BGM26" s="4"/>
      <c r="BGN26" s="4"/>
      <c r="BGO26" s="4"/>
      <c r="BGP26" s="4"/>
      <c r="BGQ26" s="4"/>
      <c r="BGR26" s="4"/>
      <c r="BGS26" s="4"/>
      <c r="BGT26" s="4"/>
      <c r="BGU26" s="4"/>
      <c r="BGV26" s="4"/>
      <c r="BGW26" s="4"/>
      <c r="BGX26" s="4"/>
      <c r="BGY26" s="4"/>
      <c r="BGZ26" s="4"/>
      <c r="BHA26" s="4"/>
      <c r="BHB26" s="4"/>
      <c r="BHC26" s="4"/>
      <c r="BHD26" s="4"/>
      <c r="BHE26" s="4"/>
      <c r="BHF26" s="4"/>
      <c r="BHG26" s="4"/>
      <c r="BHH26" s="4"/>
      <c r="BHI26" s="4"/>
      <c r="BHJ26" s="4"/>
      <c r="BHK26" s="4"/>
      <c r="BHL26" s="4"/>
      <c r="BHM26" s="4"/>
      <c r="BHN26" s="4"/>
      <c r="BHO26" s="4"/>
      <c r="BHP26" s="4"/>
      <c r="BHQ26" s="4"/>
      <c r="BHR26" s="4"/>
      <c r="BHS26" s="4"/>
      <c r="BHT26" s="4"/>
      <c r="BHU26" s="4"/>
      <c r="BHV26" s="4"/>
      <c r="BHW26" s="4"/>
      <c r="BHX26" s="4"/>
      <c r="BHY26" s="4"/>
      <c r="BHZ26" s="4"/>
      <c r="BIA26" s="4"/>
      <c r="BIB26" s="4"/>
      <c r="BIC26" s="4"/>
      <c r="BID26" s="4"/>
      <c r="BIE26" s="4"/>
      <c r="BIF26" s="4"/>
      <c r="BIG26" s="4"/>
      <c r="BIH26" s="4"/>
      <c r="BII26" s="4"/>
      <c r="BIJ26" s="4"/>
      <c r="BIK26" s="4"/>
      <c r="BIL26" s="4"/>
      <c r="BIM26" s="4"/>
      <c r="BIN26" s="4"/>
      <c r="BIO26" s="4"/>
      <c r="BIP26" s="4"/>
      <c r="BIQ26" s="4"/>
      <c r="BIR26" s="4"/>
      <c r="BIS26" s="4"/>
      <c r="BIT26" s="4"/>
      <c r="BIU26" s="4"/>
      <c r="BIV26" s="4"/>
      <c r="BIW26" s="4"/>
      <c r="BIX26" s="4"/>
      <c r="BIY26" s="4"/>
      <c r="BIZ26" s="4"/>
      <c r="BJA26" s="4"/>
      <c r="BJB26" s="4"/>
      <c r="BJC26" s="4"/>
      <c r="BJD26" s="4"/>
      <c r="BJE26" s="4"/>
      <c r="BJF26" s="4"/>
      <c r="BJG26" s="4"/>
      <c r="BJH26" s="4"/>
      <c r="BJI26" s="4"/>
      <c r="BJJ26" s="4"/>
      <c r="BJK26" s="4"/>
      <c r="BJL26" s="4"/>
      <c r="BJM26" s="4"/>
      <c r="BJN26" s="4"/>
      <c r="BJO26" s="4"/>
      <c r="BJP26" s="4"/>
      <c r="BJQ26" s="4"/>
      <c r="BJR26" s="4"/>
      <c r="BJS26" s="4"/>
      <c r="BJT26" s="4"/>
      <c r="BJU26" s="4"/>
      <c r="BJV26" s="4"/>
      <c r="BJW26" s="4"/>
      <c r="BJX26" s="4"/>
      <c r="BJY26" s="4"/>
      <c r="BJZ26" s="4"/>
      <c r="BKA26" s="4"/>
      <c r="BKB26" s="4"/>
      <c r="BKC26" s="4"/>
      <c r="BKD26" s="4"/>
      <c r="BKE26" s="4"/>
      <c r="BKF26" s="4"/>
      <c r="BKG26" s="4"/>
      <c r="BKH26" s="4"/>
      <c r="BKI26" s="4"/>
      <c r="BKJ26" s="4"/>
      <c r="BKK26" s="4"/>
      <c r="BKL26" s="4"/>
      <c r="BKM26" s="4"/>
      <c r="BKN26" s="4"/>
      <c r="BKO26" s="4"/>
      <c r="BKP26" s="4"/>
      <c r="BKQ26" s="4"/>
      <c r="BKR26" s="4"/>
      <c r="BKS26" s="4"/>
      <c r="BKT26" s="4"/>
      <c r="BKU26" s="4"/>
      <c r="BKV26" s="4"/>
      <c r="BKW26" s="4"/>
      <c r="BKX26" s="4"/>
      <c r="BKY26" s="4"/>
      <c r="BKZ26" s="4"/>
      <c r="BLA26" s="4"/>
      <c r="BLB26" s="4"/>
      <c r="BLC26" s="4"/>
      <c r="BLD26" s="4"/>
      <c r="BLE26" s="4"/>
      <c r="BLF26" s="4"/>
      <c r="BLG26" s="4"/>
      <c r="BLH26" s="4"/>
      <c r="BLI26" s="4"/>
      <c r="BLJ26" s="4"/>
      <c r="BLK26" s="4"/>
      <c r="BLL26" s="4"/>
      <c r="BLM26" s="4"/>
      <c r="BLN26" s="4"/>
      <c r="BLO26" s="4"/>
      <c r="BLP26" s="4"/>
      <c r="BLQ26" s="4"/>
      <c r="BLR26" s="4"/>
      <c r="BLS26" s="4"/>
      <c r="BLT26" s="4"/>
      <c r="BLU26" s="4"/>
      <c r="BLV26" s="4"/>
      <c r="BLW26" s="4"/>
      <c r="BLX26" s="4"/>
      <c r="BLY26" s="4"/>
      <c r="BLZ26" s="4"/>
      <c r="BMA26" s="4"/>
      <c r="BMB26" s="4"/>
      <c r="BMC26" s="4"/>
      <c r="BMD26" s="4"/>
      <c r="BME26" s="4"/>
      <c r="BMF26" s="4"/>
      <c r="BMG26" s="4"/>
      <c r="BMH26" s="4"/>
      <c r="BMI26" s="4"/>
      <c r="BMJ26" s="4"/>
      <c r="BMK26" s="4"/>
      <c r="BML26" s="4"/>
      <c r="BMM26" s="4"/>
      <c r="BMN26" s="4"/>
      <c r="BMO26" s="4"/>
      <c r="BMP26" s="4"/>
      <c r="BMQ26" s="4"/>
      <c r="BMR26" s="4"/>
      <c r="BMS26" s="4"/>
      <c r="BMT26" s="4"/>
      <c r="BMU26" s="4"/>
      <c r="BMV26" s="4"/>
      <c r="BMW26" s="4"/>
      <c r="BMX26" s="4"/>
      <c r="BMY26" s="4"/>
      <c r="BMZ26" s="4"/>
      <c r="BNA26" s="4"/>
      <c r="BNB26" s="4"/>
      <c r="BNC26" s="4"/>
      <c r="BND26" s="4"/>
      <c r="BNE26" s="4"/>
      <c r="BNF26" s="4"/>
      <c r="BNG26" s="4"/>
      <c r="BNH26" s="4"/>
      <c r="BNI26" s="4"/>
      <c r="BNJ26" s="4"/>
      <c r="BNK26" s="4"/>
      <c r="BNL26" s="4"/>
      <c r="BNM26" s="4"/>
      <c r="BNN26" s="4"/>
      <c r="BNO26" s="4"/>
      <c r="BNP26" s="4"/>
      <c r="BNQ26" s="4"/>
      <c r="BNR26" s="4"/>
      <c r="BNS26" s="4"/>
      <c r="BNT26" s="4"/>
      <c r="BNU26" s="4"/>
      <c r="BNV26" s="4"/>
      <c r="BNW26" s="4"/>
      <c r="BNX26" s="4"/>
      <c r="BNY26" s="4"/>
      <c r="BNZ26" s="4"/>
      <c r="BOA26" s="4"/>
      <c r="BOB26" s="4"/>
      <c r="BOC26" s="4"/>
      <c r="BOD26" s="4"/>
      <c r="BOE26" s="4"/>
      <c r="BOF26" s="4"/>
      <c r="BOG26" s="4"/>
      <c r="BOH26" s="4"/>
      <c r="BOI26" s="4"/>
      <c r="BOJ26" s="4"/>
      <c r="BOK26" s="4"/>
      <c r="BOL26" s="4"/>
      <c r="BOM26" s="4"/>
      <c r="BON26" s="4"/>
      <c r="BOO26" s="4"/>
      <c r="BOP26" s="4"/>
      <c r="BOQ26" s="4"/>
      <c r="BOR26" s="4"/>
      <c r="BOS26" s="4"/>
      <c r="BOT26" s="4"/>
      <c r="BOU26" s="4"/>
      <c r="BOV26" s="4"/>
      <c r="BOW26" s="4"/>
      <c r="BOX26" s="4"/>
      <c r="BOY26" s="4"/>
      <c r="BOZ26" s="4"/>
      <c r="BPA26" s="4"/>
      <c r="BPB26" s="4"/>
      <c r="BPC26" s="66"/>
    </row>
    <row r="27" s="6" customFormat="1" ht="24" customHeight="1" spans="1:1024 1025:1771">
      <c r="A27" s="362" t="s">
        <v>100</v>
      </c>
      <c r="B27" s="363"/>
      <c r="C27" s="363"/>
      <c r="D27" s="363"/>
      <c r="E27" s="363"/>
      <c r="F27" s="363"/>
      <c r="G27" s="363"/>
      <c r="H27" s="363"/>
      <c r="I27" s="363"/>
      <c r="J27" s="363"/>
      <c r="K27" s="363"/>
      <c r="L27" s="257"/>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c r="AGK27" s="4"/>
      <c r="AGL27" s="4"/>
      <c r="AGM27" s="4"/>
      <c r="AGN27" s="4"/>
      <c r="AGO27" s="4"/>
      <c r="AGP27" s="4"/>
      <c r="AGQ27" s="4"/>
      <c r="AGR27" s="4"/>
      <c r="AGS27" s="4"/>
      <c r="AGT27" s="4"/>
      <c r="AGU27" s="4"/>
      <c r="AGV27" s="4"/>
      <c r="AGW27" s="4"/>
      <c r="AGX27" s="4"/>
      <c r="AGY27" s="4"/>
      <c r="AGZ27" s="4"/>
      <c r="AHA27" s="4"/>
      <c r="AHB27" s="4"/>
      <c r="AHC27" s="4"/>
      <c r="AHD27" s="4"/>
      <c r="AHE27" s="4"/>
      <c r="AHF27" s="4"/>
      <c r="AHG27" s="4"/>
      <c r="AHH27" s="4"/>
      <c r="AHI27" s="4"/>
      <c r="AHJ27" s="4"/>
      <c r="AHK27" s="4"/>
      <c r="AHL27" s="4"/>
      <c r="AHM27" s="4"/>
      <c r="AHN27" s="4"/>
      <c r="AHO27" s="4"/>
      <c r="AHP27" s="4"/>
      <c r="AHQ27" s="4"/>
      <c r="AHR27" s="4"/>
      <c r="AHS27" s="4"/>
      <c r="AHT27" s="4"/>
      <c r="AHU27" s="4"/>
      <c r="AHV27" s="4"/>
      <c r="AHW27" s="4"/>
      <c r="AHX27" s="4"/>
      <c r="AHY27" s="4"/>
      <c r="AHZ27" s="4"/>
      <c r="AIA27" s="4"/>
      <c r="AIB27" s="4"/>
      <c r="AIC27" s="4"/>
      <c r="AID27" s="4"/>
      <c r="AIE27" s="4"/>
      <c r="AIF27" s="4"/>
      <c r="AIG27" s="4"/>
      <c r="AIH27" s="4"/>
      <c r="AII27" s="4"/>
      <c r="AIJ27" s="4"/>
      <c r="AIK27" s="4"/>
      <c r="AIL27" s="4"/>
      <c r="AIM27" s="4"/>
      <c r="AIN27" s="4"/>
      <c r="AIO27" s="4"/>
      <c r="AIP27" s="4"/>
      <c r="AIQ27" s="4"/>
      <c r="AIR27" s="4"/>
      <c r="AIS27" s="4"/>
      <c r="AIT27" s="4"/>
      <c r="AIU27" s="4"/>
      <c r="AIV27" s="4"/>
      <c r="AIW27" s="4"/>
      <c r="AIX27" s="4"/>
      <c r="AIY27" s="4"/>
      <c r="AIZ27" s="4"/>
      <c r="AJA27" s="4"/>
      <c r="AJB27" s="4"/>
      <c r="AJC27" s="4"/>
      <c r="AJD27" s="4"/>
      <c r="AJE27" s="4"/>
      <c r="AJF27" s="4"/>
      <c r="AJG27" s="4"/>
      <c r="AJH27" s="4"/>
      <c r="AJI27" s="4"/>
      <c r="AJJ27" s="4"/>
      <c r="AJK27" s="4"/>
      <c r="AJL27" s="4"/>
      <c r="AJM27" s="4"/>
      <c r="AJN27" s="4"/>
      <c r="AJO27" s="4"/>
      <c r="AJP27" s="4"/>
      <c r="AJQ27" s="4"/>
      <c r="AJR27" s="4"/>
      <c r="AJS27" s="4"/>
      <c r="AJT27" s="4"/>
      <c r="AJU27" s="4"/>
      <c r="AJV27" s="4"/>
      <c r="AJW27" s="4"/>
      <c r="AJX27" s="4"/>
      <c r="AJY27" s="4"/>
      <c r="AJZ27" s="4"/>
      <c r="AKA27" s="4"/>
      <c r="AKB27" s="4"/>
      <c r="AKC27" s="4"/>
      <c r="AKD27" s="4"/>
      <c r="AKE27" s="4"/>
      <c r="AKF27" s="4"/>
      <c r="AKG27" s="4"/>
      <c r="AKH27" s="4"/>
      <c r="AKI27" s="4"/>
      <c r="AKJ27" s="4"/>
      <c r="AKK27" s="4"/>
      <c r="AKL27" s="4"/>
      <c r="AKM27" s="4"/>
      <c r="AKN27" s="4"/>
      <c r="AKO27" s="4"/>
      <c r="AKP27" s="4"/>
      <c r="AKQ27" s="4"/>
      <c r="AKR27" s="4"/>
      <c r="AKS27" s="4"/>
      <c r="AKT27" s="4"/>
      <c r="AKU27" s="4"/>
      <c r="AKV27" s="4"/>
      <c r="AKW27" s="4"/>
      <c r="AKX27" s="4"/>
      <c r="AKY27" s="4"/>
      <c r="AKZ27" s="4"/>
      <c r="ALA27" s="4"/>
      <c r="ALB27" s="4"/>
      <c r="ALC27" s="4"/>
      <c r="ALD27" s="4"/>
      <c r="ALE27" s="4"/>
      <c r="ALF27" s="4"/>
      <c r="ALG27" s="4"/>
      <c r="ALH27" s="4"/>
      <c r="ALI27" s="4"/>
      <c r="ALJ27" s="4"/>
      <c r="ALK27" s="4"/>
      <c r="ALL27" s="4"/>
      <c r="ALM27" s="4"/>
      <c r="ALN27" s="4"/>
      <c r="ALO27" s="4"/>
      <c r="ALP27" s="4"/>
      <c r="ALQ27" s="4"/>
      <c r="ALR27" s="4"/>
      <c r="ALS27" s="4"/>
      <c r="ALT27" s="4"/>
      <c r="ALU27" s="4"/>
      <c r="ALV27" s="4"/>
      <c r="ALW27" s="4"/>
      <c r="ALX27" s="4"/>
      <c r="ALY27" s="4"/>
      <c r="ALZ27" s="4"/>
      <c r="AMA27" s="4"/>
      <c r="AMB27" s="4"/>
      <c r="AMC27" s="4"/>
      <c r="AMD27" s="4"/>
      <c r="AME27" s="4"/>
      <c r="AMF27" s="4"/>
      <c r="AMG27" s="4"/>
      <c r="AMH27" s="4"/>
      <c r="AMI27" s="4"/>
      <c r="AMJ27" s="4"/>
      <c r="AMK27" s="4"/>
      <c r="AML27" s="4"/>
      <c r="AMM27" s="4"/>
      <c r="AMN27" s="4"/>
      <c r="AMO27" s="4"/>
      <c r="AMP27" s="4"/>
      <c r="AMQ27" s="4"/>
      <c r="AMR27" s="4"/>
      <c r="AMS27" s="4"/>
      <c r="AMT27" s="4"/>
      <c r="AMU27" s="4"/>
      <c r="AMV27" s="4"/>
      <c r="AMW27" s="4"/>
      <c r="AMX27" s="4"/>
      <c r="AMY27" s="4"/>
      <c r="AMZ27" s="4"/>
      <c r="ANA27" s="4"/>
      <c r="ANB27" s="4"/>
      <c r="ANC27" s="4"/>
      <c r="AND27" s="4"/>
      <c r="ANE27" s="4"/>
      <c r="ANF27" s="4"/>
      <c r="ANG27" s="4"/>
      <c r="ANH27" s="4"/>
      <c r="ANI27" s="4"/>
      <c r="ANJ27" s="4"/>
      <c r="ANK27" s="4"/>
      <c r="ANL27" s="4"/>
      <c r="ANM27" s="4"/>
      <c r="ANN27" s="4"/>
      <c r="ANO27" s="4"/>
      <c r="ANP27" s="4"/>
      <c r="ANQ27" s="4"/>
      <c r="ANR27" s="4"/>
      <c r="ANS27" s="4"/>
      <c r="ANT27" s="4"/>
      <c r="ANU27" s="4"/>
      <c r="ANV27" s="4"/>
      <c r="ANW27" s="4"/>
      <c r="ANX27" s="4"/>
      <c r="ANY27" s="4"/>
      <c r="ANZ27" s="4"/>
      <c r="AOA27" s="4"/>
      <c r="AOB27" s="4"/>
      <c r="AOC27" s="4"/>
      <c r="AOD27" s="4"/>
      <c r="AOE27" s="4"/>
      <c r="AOF27" s="4"/>
      <c r="AOG27" s="4"/>
      <c r="AOH27" s="4"/>
      <c r="AOI27" s="4"/>
      <c r="AOJ27" s="4"/>
      <c r="AOK27" s="4"/>
      <c r="AOL27" s="4"/>
      <c r="AOM27" s="4"/>
      <c r="AON27" s="4"/>
      <c r="AOO27" s="4"/>
      <c r="AOP27" s="4"/>
      <c r="AOQ27" s="4"/>
      <c r="AOR27" s="4"/>
      <c r="AOS27" s="4"/>
      <c r="AOT27" s="4"/>
      <c r="AOU27" s="4"/>
      <c r="AOV27" s="4"/>
      <c r="AOW27" s="4"/>
      <c r="AOX27" s="4"/>
      <c r="AOY27" s="4"/>
      <c r="AOZ27" s="4"/>
      <c r="APA27" s="4"/>
      <c r="APB27" s="4"/>
      <c r="APC27" s="4"/>
      <c r="APD27" s="4"/>
      <c r="APE27" s="4"/>
      <c r="APF27" s="4"/>
      <c r="APG27" s="4"/>
      <c r="APH27" s="4"/>
      <c r="API27" s="4"/>
      <c r="APJ27" s="4"/>
      <c r="APK27" s="4"/>
      <c r="APL27" s="4"/>
      <c r="APM27" s="4"/>
      <c r="APN27" s="4"/>
      <c r="APO27" s="4"/>
      <c r="APP27" s="4"/>
      <c r="APQ27" s="4"/>
      <c r="APR27" s="4"/>
      <c r="APS27" s="4"/>
      <c r="APT27" s="4"/>
      <c r="APU27" s="4"/>
      <c r="APV27" s="4"/>
      <c r="APW27" s="4"/>
      <c r="APX27" s="4"/>
      <c r="APY27" s="4"/>
      <c r="APZ27" s="4"/>
      <c r="AQA27" s="4"/>
      <c r="AQB27" s="4"/>
      <c r="AQC27" s="4"/>
      <c r="AQD27" s="4"/>
      <c r="AQE27" s="4"/>
      <c r="AQF27" s="4"/>
      <c r="AQG27" s="4"/>
      <c r="AQH27" s="4"/>
      <c r="AQI27" s="4"/>
      <c r="AQJ27" s="4"/>
      <c r="AQK27" s="4"/>
      <c r="AQL27" s="4"/>
      <c r="AQM27" s="4"/>
      <c r="AQN27" s="4"/>
      <c r="AQO27" s="4"/>
      <c r="AQP27" s="4"/>
      <c r="AQQ27" s="4"/>
      <c r="AQR27" s="4"/>
      <c r="AQS27" s="4"/>
      <c r="AQT27" s="4"/>
      <c r="AQU27" s="4"/>
      <c r="AQV27" s="4"/>
      <c r="AQW27" s="4"/>
      <c r="AQX27" s="4"/>
      <c r="AQY27" s="4"/>
      <c r="AQZ27" s="4"/>
      <c r="ARA27" s="4"/>
      <c r="ARB27" s="4"/>
      <c r="ARC27" s="4"/>
      <c r="ARD27" s="4"/>
      <c r="ARE27" s="4"/>
      <c r="ARF27" s="4"/>
      <c r="ARG27" s="4"/>
      <c r="ARH27" s="4"/>
      <c r="ARI27" s="4"/>
      <c r="ARJ27" s="4"/>
      <c r="ARK27" s="4"/>
      <c r="ARL27" s="4"/>
      <c r="ARM27" s="4"/>
      <c r="ARN27" s="4"/>
      <c r="ARO27" s="4"/>
      <c r="ARP27" s="4"/>
      <c r="ARQ27" s="4"/>
      <c r="ARR27" s="4"/>
      <c r="ARS27" s="4"/>
      <c r="ART27" s="4"/>
      <c r="ARU27" s="4"/>
      <c r="ARV27" s="4"/>
      <c r="ARW27" s="4"/>
      <c r="ARX27" s="4"/>
      <c r="ARY27" s="4"/>
      <c r="ARZ27" s="4"/>
      <c r="ASA27" s="4"/>
      <c r="ASB27" s="4"/>
      <c r="ASC27" s="4"/>
      <c r="ASD27" s="4"/>
      <c r="ASE27" s="4"/>
      <c r="ASF27" s="4"/>
      <c r="ASG27" s="4"/>
      <c r="ASH27" s="4"/>
      <c r="ASI27" s="4"/>
      <c r="ASJ27" s="4"/>
      <c r="ASK27" s="4"/>
      <c r="ASL27" s="4"/>
      <c r="ASM27" s="4"/>
      <c r="ASN27" s="4"/>
      <c r="ASO27" s="4"/>
      <c r="ASP27" s="4"/>
      <c r="ASQ27" s="4"/>
      <c r="ASR27" s="4"/>
      <c r="ASS27" s="4"/>
      <c r="AST27" s="4"/>
      <c r="ASU27" s="4"/>
      <c r="ASV27" s="4"/>
      <c r="ASW27" s="4"/>
      <c r="ASX27" s="4"/>
      <c r="ASY27" s="4"/>
      <c r="ASZ27" s="4"/>
      <c r="ATA27" s="4"/>
      <c r="ATB27" s="4"/>
      <c r="ATC27" s="4"/>
      <c r="ATD27" s="4"/>
      <c r="ATE27" s="4"/>
      <c r="ATF27" s="4"/>
      <c r="ATG27" s="4"/>
      <c r="ATH27" s="4"/>
      <c r="ATI27" s="4"/>
      <c r="ATJ27" s="4"/>
      <c r="ATK27" s="4"/>
      <c r="ATL27" s="4"/>
      <c r="ATM27" s="4"/>
      <c r="ATN27" s="4"/>
      <c r="ATO27" s="4"/>
      <c r="ATP27" s="4"/>
      <c r="ATQ27" s="4"/>
      <c r="ATR27" s="4"/>
      <c r="ATS27" s="4"/>
      <c r="ATT27" s="4"/>
      <c r="ATU27" s="4"/>
      <c r="ATV27" s="4"/>
      <c r="ATW27" s="4"/>
      <c r="ATX27" s="4"/>
      <c r="ATY27" s="4"/>
      <c r="ATZ27" s="4"/>
      <c r="AUA27" s="4"/>
      <c r="AUB27" s="4"/>
      <c r="AUC27" s="4"/>
      <c r="AUD27" s="4"/>
      <c r="AUE27" s="4"/>
      <c r="AUF27" s="4"/>
      <c r="AUG27" s="4"/>
      <c r="AUH27" s="4"/>
      <c r="AUI27" s="4"/>
      <c r="AUJ27" s="4"/>
      <c r="AUK27" s="4"/>
      <c r="AUL27" s="4"/>
      <c r="AUM27" s="4"/>
      <c r="AUN27" s="4"/>
      <c r="AUO27" s="4"/>
      <c r="AUP27" s="4"/>
      <c r="AUQ27" s="4"/>
      <c r="AUR27" s="4"/>
      <c r="AUS27" s="4"/>
      <c r="AUT27" s="4"/>
      <c r="AUU27" s="4"/>
      <c r="AUV27" s="4"/>
      <c r="AUW27" s="4"/>
      <c r="AUX27" s="4"/>
      <c r="AUY27" s="4"/>
      <c r="AUZ27" s="4"/>
      <c r="AVA27" s="4"/>
      <c r="AVB27" s="4"/>
      <c r="AVC27" s="4"/>
      <c r="AVD27" s="4"/>
      <c r="AVE27" s="4"/>
      <c r="AVF27" s="4"/>
      <c r="AVG27" s="4"/>
      <c r="AVH27" s="4"/>
      <c r="AVI27" s="4"/>
      <c r="AVJ27" s="4"/>
      <c r="AVK27" s="4"/>
      <c r="AVL27" s="4"/>
      <c r="AVM27" s="4"/>
      <c r="AVN27" s="4"/>
      <c r="AVO27" s="4"/>
      <c r="AVP27" s="4"/>
      <c r="AVQ27" s="4"/>
      <c r="AVR27" s="4"/>
      <c r="AVS27" s="4"/>
      <c r="AVT27" s="4"/>
      <c r="AVU27" s="4"/>
      <c r="AVV27" s="4"/>
      <c r="AVW27" s="4"/>
      <c r="AVX27" s="4"/>
      <c r="AVY27" s="4"/>
      <c r="AVZ27" s="4"/>
      <c r="AWA27" s="4"/>
      <c r="AWB27" s="4"/>
      <c r="AWC27" s="4"/>
      <c r="AWD27" s="4"/>
      <c r="AWE27" s="4"/>
      <c r="AWF27" s="4"/>
      <c r="AWG27" s="4"/>
      <c r="AWH27" s="4"/>
      <c r="AWI27" s="4"/>
      <c r="AWJ27" s="4"/>
      <c r="AWK27" s="4"/>
      <c r="AWL27" s="4"/>
      <c r="AWM27" s="4"/>
      <c r="AWN27" s="4"/>
      <c r="AWO27" s="4"/>
      <c r="AWP27" s="4"/>
      <c r="AWQ27" s="4"/>
      <c r="AWR27" s="4"/>
      <c r="AWS27" s="4"/>
      <c r="AWT27" s="4"/>
      <c r="AWU27" s="4"/>
      <c r="AWV27" s="4"/>
      <c r="AWW27" s="4"/>
      <c r="AWX27" s="4"/>
      <c r="AWY27" s="4"/>
      <c r="AWZ27" s="4"/>
      <c r="AXA27" s="4"/>
      <c r="AXB27" s="4"/>
      <c r="AXC27" s="4"/>
      <c r="AXD27" s="4"/>
      <c r="AXE27" s="4"/>
      <c r="AXF27" s="4"/>
      <c r="AXG27" s="4"/>
      <c r="AXH27" s="4"/>
      <c r="AXI27" s="4"/>
      <c r="AXJ27" s="4"/>
      <c r="AXK27" s="4"/>
      <c r="AXL27" s="4"/>
      <c r="AXM27" s="4"/>
      <c r="AXN27" s="4"/>
      <c r="AXO27" s="4"/>
      <c r="AXP27" s="4"/>
      <c r="AXQ27" s="4"/>
      <c r="AXR27" s="4"/>
      <c r="AXS27" s="4"/>
      <c r="AXT27" s="4"/>
      <c r="AXU27" s="4"/>
      <c r="AXV27" s="4"/>
      <c r="AXW27" s="4"/>
      <c r="AXX27" s="4"/>
      <c r="AXY27" s="4"/>
      <c r="AXZ27" s="4"/>
      <c r="AYA27" s="4"/>
      <c r="AYB27" s="4"/>
      <c r="AYC27" s="4"/>
      <c r="AYD27" s="4"/>
      <c r="AYE27" s="4"/>
      <c r="AYF27" s="4"/>
      <c r="AYG27" s="4"/>
      <c r="AYH27" s="4"/>
      <c r="AYI27" s="4"/>
      <c r="AYJ27" s="4"/>
      <c r="AYK27" s="4"/>
      <c r="AYL27" s="4"/>
      <c r="AYM27" s="4"/>
      <c r="AYN27" s="4"/>
      <c r="AYO27" s="4"/>
      <c r="AYP27" s="4"/>
      <c r="AYQ27" s="4"/>
      <c r="AYR27" s="4"/>
      <c r="AYS27" s="4"/>
      <c r="AYT27" s="4"/>
      <c r="AYU27" s="4"/>
      <c r="AYV27" s="4"/>
      <c r="AYW27" s="4"/>
      <c r="AYX27" s="4"/>
      <c r="AYY27" s="4"/>
      <c r="AYZ27" s="4"/>
      <c r="AZA27" s="4"/>
      <c r="AZB27" s="4"/>
      <c r="AZC27" s="4"/>
      <c r="AZD27" s="4"/>
      <c r="AZE27" s="4"/>
      <c r="AZF27" s="4"/>
      <c r="AZG27" s="4"/>
      <c r="AZH27" s="4"/>
      <c r="AZI27" s="4"/>
      <c r="AZJ27" s="4"/>
      <c r="AZK27" s="4"/>
      <c r="AZL27" s="4"/>
      <c r="AZM27" s="4"/>
      <c r="AZN27" s="4"/>
      <c r="AZO27" s="4"/>
      <c r="AZP27" s="4"/>
      <c r="AZQ27" s="4"/>
      <c r="AZR27" s="4"/>
      <c r="AZS27" s="4"/>
      <c r="AZT27" s="4"/>
      <c r="AZU27" s="4"/>
      <c r="AZV27" s="4"/>
      <c r="AZW27" s="4"/>
      <c r="AZX27" s="4"/>
      <c r="AZY27" s="4"/>
      <c r="AZZ27" s="4"/>
      <c r="BAA27" s="4"/>
      <c r="BAB27" s="4"/>
      <c r="BAC27" s="4"/>
      <c r="BAD27" s="4"/>
      <c r="BAE27" s="4"/>
      <c r="BAF27" s="4"/>
      <c r="BAG27" s="4"/>
      <c r="BAH27" s="4"/>
      <c r="BAI27" s="4"/>
      <c r="BAJ27" s="4"/>
      <c r="BAK27" s="4"/>
      <c r="BAL27" s="4"/>
      <c r="BAM27" s="4"/>
      <c r="BAN27" s="4"/>
      <c r="BAO27" s="4"/>
      <c r="BAP27" s="4"/>
      <c r="BAQ27" s="4"/>
      <c r="BAR27" s="4"/>
      <c r="BAS27" s="4"/>
      <c r="BAT27" s="4"/>
      <c r="BAU27" s="4"/>
      <c r="BAV27" s="4"/>
      <c r="BAW27" s="4"/>
      <c r="BAX27" s="4"/>
      <c r="BAY27" s="4"/>
      <c r="BAZ27" s="4"/>
      <c r="BBA27" s="4"/>
      <c r="BBB27" s="4"/>
      <c r="BBC27" s="4"/>
      <c r="BBD27" s="4"/>
      <c r="BBE27" s="4"/>
      <c r="BBF27" s="4"/>
      <c r="BBG27" s="4"/>
      <c r="BBH27" s="4"/>
      <c r="BBI27" s="4"/>
      <c r="BBJ27" s="4"/>
      <c r="BBK27" s="4"/>
      <c r="BBL27" s="4"/>
      <c r="BBM27" s="4"/>
      <c r="BBN27" s="4"/>
      <c r="BBO27" s="4"/>
      <c r="BBP27" s="4"/>
      <c r="BBQ27" s="4"/>
      <c r="BBR27" s="4"/>
      <c r="BBS27" s="4"/>
      <c r="BBT27" s="4"/>
      <c r="BBU27" s="4"/>
      <c r="BBV27" s="4"/>
      <c r="BBW27" s="4"/>
      <c r="BBX27" s="4"/>
      <c r="BBY27" s="4"/>
      <c r="BBZ27" s="4"/>
      <c r="BCA27" s="4"/>
      <c r="BCB27" s="4"/>
      <c r="BCC27" s="4"/>
      <c r="BCD27" s="4"/>
      <c r="BCE27" s="4"/>
      <c r="BCF27" s="4"/>
      <c r="BCG27" s="4"/>
      <c r="BCH27" s="4"/>
      <c r="BCI27" s="4"/>
      <c r="BCJ27" s="4"/>
      <c r="BCK27" s="4"/>
      <c r="BCL27" s="4"/>
      <c r="BCM27" s="4"/>
      <c r="BCN27" s="4"/>
      <c r="BCO27" s="4"/>
      <c r="BCP27" s="4"/>
      <c r="BCQ27" s="4"/>
      <c r="BCR27" s="4"/>
      <c r="BCS27" s="4"/>
      <c r="BCT27" s="4"/>
      <c r="BCU27" s="4"/>
      <c r="BCV27" s="4"/>
      <c r="BCW27" s="4"/>
      <c r="BCX27" s="4"/>
      <c r="BCY27" s="4"/>
      <c r="BCZ27" s="4"/>
      <c r="BDA27" s="4"/>
      <c r="BDB27" s="4"/>
      <c r="BDC27" s="4"/>
      <c r="BDD27" s="4"/>
      <c r="BDE27" s="4"/>
      <c r="BDF27" s="4"/>
      <c r="BDG27" s="4"/>
      <c r="BDH27" s="4"/>
      <c r="BDI27" s="4"/>
      <c r="BDJ27" s="4"/>
      <c r="BDK27" s="4"/>
      <c r="BDL27" s="4"/>
      <c r="BDM27" s="4"/>
      <c r="BDN27" s="4"/>
      <c r="BDO27" s="4"/>
      <c r="BDP27" s="4"/>
      <c r="BDQ27" s="4"/>
      <c r="BDR27" s="4"/>
      <c r="BDS27" s="4"/>
      <c r="BDT27" s="4"/>
      <c r="BDU27" s="4"/>
      <c r="BDV27" s="4"/>
      <c r="BDW27" s="4"/>
      <c r="BDX27" s="4"/>
      <c r="BDY27" s="4"/>
      <c r="BDZ27" s="4"/>
      <c r="BEA27" s="4"/>
      <c r="BEB27" s="4"/>
      <c r="BEC27" s="4"/>
      <c r="BED27" s="4"/>
      <c r="BEE27" s="4"/>
      <c r="BEF27" s="4"/>
      <c r="BEG27" s="4"/>
      <c r="BEH27" s="4"/>
      <c r="BEI27" s="4"/>
      <c r="BEJ27" s="4"/>
      <c r="BEK27" s="4"/>
      <c r="BEL27" s="4"/>
      <c r="BEM27" s="4"/>
      <c r="BEN27" s="4"/>
      <c r="BEO27" s="4"/>
      <c r="BEP27" s="4"/>
      <c r="BEQ27" s="4"/>
      <c r="BER27" s="4"/>
      <c r="BES27" s="4"/>
      <c r="BET27" s="4"/>
      <c r="BEU27" s="4"/>
      <c r="BEV27" s="4"/>
      <c r="BEW27" s="4"/>
      <c r="BEX27" s="4"/>
      <c r="BEY27" s="4"/>
      <c r="BEZ27" s="4"/>
      <c r="BFA27" s="4"/>
      <c r="BFB27" s="4"/>
      <c r="BFC27" s="4"/>
      <c r="BFD27" s="4"/>
      <c r="BFE27" s="4"/>
      <c r="BFF27" s="4"/>
      <c r="BFG27" s="4"/>
      <c r="BFH27" s="4"/>
      <c r="BFI27" s="4"/>
      <c r="BFJ27" s="4"/>
      <c r="BFK27" s="4"/>
      <c r="BFL27" s="4"/>
      <c r="BFM27" s="4"/>
      <c r="BFN27" s="4"/>
      <c r="BFO27" s="4"/>
      <c r="BFP27" s="4"/>
      <c r="BFQ27" s="4"/>
      <c r="BFR27" s="4"/>
      <c r="BFS27" s="4"/>
      <c r="BFT27" s="4"/>
      <c r="BFU27" s="4"/>
      <c r="BFV27" s="4"/>
      <c r="BFW27" s="4"/>
      <c r="BFX27" s="4"/>
      <c r="BFY27" s="4"/>
      <c r="BFZ27" s="4"/>
      <c r="BGA27" s="4"/>
      <c r="BGB27" s="4"/>
      <c r="BGC27" s="4"/>
      <c r="BGD27" s="4"/>
      <c r="BGE27" s="4"/>
      <c r="BGF27" s="4"/>
      <c r="BGG27" s="4"/>
      <c r="BGH27" s="4"/>
      <c r="BGI27" s="4"/>
      <c r="BGJ27" s="4"/>
      <c r="BGK27" s="4"/>
      <c r="BGL27" s="4"/>
      <c r="BGM27" s="4"/>
      <c r="BGN27" s="4"/>
      <c r="BGO27" s="4"/>
      <c r="BGP27" s="4"/>
      <c r="BGQ27" s="4"/>
      <c r="BGR27" s="4"/>
      <c r="BGS27" s="4"/>
      <c r="BGT27" s="4"/>
      <c r="BGU27" s="4"/>
      <c r="BGV27" s="4"/>
      <c r="BGW27" s="4"/>
      <c r="BGX27" s="4"/>
      <c r="BGY27" s="4"/>
      <c r="BGZ27" s="4"/>
      <c r="BHA27" s="4"/>
      <c r="BHB27" s="4"/>
      <c r="BHC27" s="4"/>
      <c r="BHD27" s="4"/>
      <c r="BHE27" s="4"/>
      <c r="BHF27" s="4"/>
      <c r="BHG27" s="4"/>
      <c r="BHH27" s="4"/>
      <c r="BHI27" s="4"/>
      <c r="BHJ27" s="4"/>
      <c r="BHK27" s="4"/>
      <c r="BHL27" s="4"/>
      <c r="BHM27" s="4"/>
      <c r="BHN27" s="4"/>
      <c r="BHO27" s="4"/>
      <c r="BHP27" s="4"/>
      <c r="BHQ27" s="4"/>
      <c r="BHR27" s="4"/>
      <c r="BHS27" s="4"/>
      <c r="BHT27" s="4"/>
      <c r="BHU27" s="4"/>
      <c r="BHV27" s="4"/>
      <c r="BHW27" s="4"/>
      <c r="BHX27" s="4"/>
      <c r="BHY27" s="4"/>
      <c r="BHZ27" s="4"/>
      <c r="BIA27" s="4"/>
      <c r="BIB27" s="4"/>
      <c r="BIC27" s="4"/>
      <c r="BID27" s="4"/>
      <c r="BIE27" s="4"/>
      <c r="BIF27" s="4"/>
      <c r="BIG27" s="4"/>
      <c r="BIH27" s="4"/>
      <c r="BII27" s="4"/>
      <c r="BIJ27" s="4"/>
      <c r="BIK27" s="4"/>
      <c r="BIL27" s="4"/>
      <c r="BIM27" s="4"/>
      <c r="BIN27" s="4"/>
      <c r="BIO27" s="4"/>
      <c r="BIP27" s="4"/>
      <c r="BIQ27" s="4"/>
      <c r="BIR27" s="4"/>
      <c r="BIS27" s="4"/>
      <c r="BIT27" s="4"/>
      <c r="BIU27" s="4"/>
      <c r="BIV27" s="4"/>
      <c r="BIW27" s="4"/>
      <c r="BIX27" s="4"/>
      <c r="BIY27" s="4"/>
      <c r="BIZ27" s="4"/>
      <c r="BJA27" s="4"/>
      <c r="BJB27" s="4"/>
      <c r="BJC27" s="4"/>
      <c r="BJD27" s="4"/>
      <c r="BJE27" s="4"/>
      <c r="BJF27" s="4"/>
      <c r="BJG27" s="4"/>
      <c r="BJH27" s="4"/>
      <c r="BJI27" s="4"/>
      <c r="BJJ27" s="4"/>
      <c r="BJK27" s="4"/>
      <c r="BJL27" s="4"/>
      <c r="BJM27" s="4"/>
      <c r="BJN27" s="4"/>
      <c r="BJO27" s="4"/>
      <c r="BJP27" s="4"/>
      <c r="BJQ27" s="4"/>
      <c r="BJR27" s="4"/>
      <c r="BJS27" s="4"/>
      <c r="BJT27" s="4"/>
      <c r="BJU27" s="4"/>
      <c r="BJV27" s="4"/>
      <c r="BJW27" s="4"/>
      <c r="BJX27" s="4"/>
      <c r="BJY27" s="4"/>
      <c r="BJZ27" s="4"/>
      <c r="BKA27" s="4"/>
      <c r="BKB27" s="4"/>
      <c r="BKC27" s="4"/>
      <c r="BKD27" s="4"/>
      <c r="BKE27" s="4"/>
      <c r="BKF27" s="4"/>
      <c r="BKG27" s="4"/>
      <c r="BKH27" s="4"/>
      <c r="BKI27" s="4"/>
      <c r="BKJ27" s="4"/>
      <c r="BKK27" s="4"/>
      <c r="BKL27" s="4"/>
      <c r="BKM27" s="4"/>
      <c r="BKN27" s="4"/>
      <c r="BKO27" s="4"/>
      <c r="BKP27" s="4"/>
      <c r="BKQ27" s="4"/>
      <c r="BKR27" s="4"/>
      <c r="BKS27" s="4"/>
      <c r="BKT27" s="4"/>
      <c r="BKU27" s="4"/>
      <c r="BKV27" s="4"/>
      <c r="BKW27" s="4"/>
      <c r="BKX27" s="4"/>
      <c r="BKY27" s="4"/>
      <c r="BKZ27" s="4"/>
      <c r="BLA27" s="4"/>
      <c r="BLB27" s="4"/>
      <c r="BLC27" s="4"/>
      <c r="BLD27" s="4"/>
      <c r="BLE27" s="4"/>
      <c r="BLF27" s="4"/>
      <c r="BLG27" s="4"/>
      <c r="BLH27" s="4"/>
      <c r="BLI27" s="4"/>
      <c r="BLJ27" s="4"/>
      <c r="BLK27" s="4"/>
      <c r="BLL27" s="4"/>
      <c r="BLM27" s="4"/>
      <c r="BLN27" s="4"/>
      <c r="BLO27" s="4"/>
      <c r="BLP27" s="4"/>
      <c r="BLQ27" s="4"/>
      <c r="BLR27" s="4"/>
      <c r="BLS27" s="4"/>
      <c r="BLT27" s="4"/>
      <c r="BLU27" s="4"/>
      <c r="BLV27" s="4"/>
      <c r="BLW27" s="4"/>
      <c r="BLX27" s="4"/>
      <c r="BLY27" s="4"/>
      <c r="BLZ27" s="4"/>
      <c r="BMA27" s="4"/>
      <c r="BMB27" s="4"/>
      <c r="BMC27" s="4"/>
      <c r="BMD27" s="4"/>
      <c r="BME27" s="4"/>
      <c r="BMF27" s="4"/>
      <c r="BMG27" s="4"/>
      <c r="BMH27" s="4"/>
      <c r="BMI27" s="4"/>
      <c r="BMJ27" s="4"/>
      <c r="BMK27" s="4"/>
      <c r="BML27" s="4"/>
      <c r="BMM27" s="4"/>
      <c r="BMN27" s="4"/>
      <c r="BMO27" s="4"/>
      <c r="BMP27" s="4"/>
      <c r="BMQ27" s="4"/>
      <c r="BMR27" s="4"/>
      <c r="BMS27" s="4"/>
      <c r="BMT27" s="4"/>
      <c r="BMU27" s="4"/>
      <c r="BMV27" s="4"/>
      <c r="BMW27" s="4"/>
      <c r="BMX27" s="4"/>
      <c r="BMY27" s="4"/>
      <c r="BMZ27" s="4"/>
      <c r="BNA27" s="4"/>
      <c r="BNB27" s="4"/>
      <c r="BNC27" s="4"/>
      <c r="BND27" s="4"/>
      <c r="BNE27" s="4"/>
      <c r="BNF27" s="4"/>
      <c r="BNG27" s="4"/>
      <c r="BNH27" s="4"/>
      <c r="BNI27" s="4"/>
      <c r="BNJ27" s="4"/>
      <c r="BNK27" s="4"/>
      <c r="BNL27" s="4"/>
      <c r="BNM27" s="4"/>
      <c r="BNN27" s="4"/>
      <c r="BNO27" s="4"/>
      <c r="BNP27" s="4"/>
      <c r="BNQ27" s="4"/>
      <c r="BNR27" s="4"/>
      <c r="BNS27" s="4"/>
      <c r="BNT27" s="4"/>
      <c r="BNU27" s="4"/>
      <c r="BNV27" s="4"/>
      <c r="BNW27" s="4"/>
      <c r="BNX27" s="4"/>
      <c r="BNY27" s="4"/>
      <c r="BNZ27" s="4"/>
      <c r="BOA27" s="4"/>
      <c r="BOB27" s="4"/>
      <c r="BOC27" s="4"/>
      <c r="BOD27" s="4"/>
      <c r="BOE27" s="4"/>
      <c r="BOF27" s="4"/>
      <c r="BOG27" s="4"/>
      <c r="BOH27" s="4"/>
      <c r="BOI27" s="4"/>
      <c r="BOJ27" s="4"/>
      <c r="BOK27" s="4"/>
      <c r="BOL27" s="4"/>
      <c r="BOM27" s="4"/>
      <c r="BON27" s="4"/>
      <c r="BOO27" s="4"/>
      <c r="BOP27" s="4"/>
      <c r="BOQ27" s="4"/>
      <c r="BOR27" s="4"/>
      <c r="BOS27" s="4"/>
      <c r="BOT27" s="4"/>
      <c r="BOU27" s="4"/>
      <c r="BOV27" s="4"/>
      <c r="BOW27" s="4"/>
      <c r="BOX27" s="4"/>
      <c r="BOY27" s="4"/>
      <c r="BOZ27" s="4"/>
      <c r="BPA27" s="4"/>
      <c r="BPB27" s="4"/>
      <c r="BPC27" s="66"/>
    </row>
    <row r="28" s="6" customFormat="1" ht="60" customHeight="1" spans="1:1024 1025:1771">
      <c r="A28" s="359" t="s">
        <v>101</v>
      </c>
      <c r="B28" s="356" t="s">
        <v>102</v>
      </c>
      <c r="C28" s="356" t="s">
        <v>103</v>
      </c>
      <c r="D28" s="356" t="s">
        <v>104</v>
      </c>
      <c r="E28" s="356"/>
      <c r="F28" s="356"/>
      <c r="G28" s="360"/>
      <c r="H28" s="357">
        <f>DATEVALUE("05/19/2026")</f>
        <v>46161</v>
      </c>
      <c r="I28" s="364" t="s">
        <v>8</v>
      </c>
      <c r="J28" s="360" t="s">
        <v>105</v>
      </c>
      <c r="K28" s="5" t="s">
        <v>106</v>
      </c>
      <c r="L28" s="5" t="s">
        <v>43</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c r="ADV28" s="4"/>
      <c r="ADW28" s="4"/>
      <c r="ADX28" s="4"/>
      <c r="ADY28" s="4"/>
      <c r="ADZ28" s="4"/>
      <c r="AEA28" s="4"/>
      <c r="AEB28" s="4"/>
      <c r="AEC28" s="4"/>
      <c r="AED28" s="4"/>
      <c r="AEE28" s="4"/>
      <c r="AEF28" s="4"/>
      <c r="AEG28" s="4"/>
      <c r="AEH28" s="4"/>
      <c r="AEI28" s="4"/>
      <c r="AEJ28" s="4"/>
      <c r="AEK28" s="4"/>
      <c r="AEL28" s="4"/>
      <c r="AEM28" s="4"/>
      <c r="AEN28" s="4"/>
      <c r="AEO28" s="4"/>
      <c r="AEP28" s="4"/>
      <c r="AEQ28" s="4"/>
      <c r="AER28" s="4"/>
      <c r="AES28" s="4"/>
      <c r="AET28" s="4"/>
      <c r="AEU28" s="4"/>
      <c r="AEV28" s="4"/>
      <c r="AEW28" s="4"/>
      <c r="AEX28" s="4"/>
      <c r="AEY28" s="4"/>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c r="AGG28" s="4"/>
      <c r="AGH28" s="4"/>
      <c r="AGI28" s="4"/>
      <c r="AGJ28" s="4"/>
      <c r="AGK28" s="4"/>
      <c r="AGL28" s="4"/>
      <c r="AGM28" s="4"/>
      <c r="AGN28" s="4"/>
      <c r="AGO28" s="4"/>
      <c r="AGP28" s="4"/>
      <c r="AGQ28" s="4"/>
      <c r="AGR28" s="4"/>
      <c r="AGS28" s="4"/>
      <c r="AGT28" s="4"/>
      <c r="AGU28" s="4"/>
      <c r="AGV28" s="4"/>
      <c r="AGW28" s="4"/>
      <c r="AGX28" s="4"/>
      <c r="AGY28" s="4"/>
      <c r="AGZ28" s="4"/>
      <c r="AHA28" s="4"/>
      <c r="AHB28" s="4"/>
      <c r="AHC28" s="4"/>
      <c r="AHD28" s="4"/>
      <c r="AHE28" s="4"/>
      <c r="AHF28" s="4"/>
      <c r="AHG28" s="4"/>
      <c r="AHH28" s="4"/>
      <c r="AHI28" s="4"/>
      <c r="AHJ28" s="4"/>
      <c r="AHK28" s="4"/>
      <c r="AHL28" s="4"/>
      <c r="AHM28" s="4"/>
      <c r="AHN28" s="4"/>
      <c r="AHO28" s="4"/>
      <c r="AHP28" s="4"/>
      <c r="AHQ28" s="4"/>
      <c r="AHR28" s="4"/>
      <c r="AHS28" s="4"/>
      <c r="AHT28" s="4"/>
      <c r="AHU28" s="4"/>
      <c r="AHV28" s="4"/>
      <c r="AHW28" s="4"/>
      <c r="AHX28" s="4"/>
      <c r="AHY28" s="4"/>
      <c r="AHZ28" s="4"/>
      <c r="AIA28" s="4"/>
      <c r="AIB28" s="4"/>
      <c r="AIC28" s="4"/>
      <c r="AID28" s="4"/>
      <c r="AIE28" s="4"/>
      <c r="AIF28" s="4"/>
      <c r="AIG28" s="4"/>
      <c r="AIH28" s="4"/>
      <c r="AII28" s="4"/>
      <c r="AIJ28" s="4"/>
      <c r="AIK28" s="4"/>
      <c r="AIL28" s="4"/>
      <c r="AIM28" s="4"/>
      <c r="AIN28" s="4"/>
      <c r="AIO28" s="4"/>
      <c r="AIP28" s="4"/>
      <c r="AIQ28" s="4"/>
      <c r="AIR28" s="4"/>
      <c r="AIS28" s="4"/>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c r="AJR28" s="4"/>
      <c r="AJS28" s="4"/>
      <c r="AJT28" s="4"/>
      <c r="AJU28" s="4"/>
      <c r="AJV28" s="4"/>
      <c r="AJW28" s="4"/>
      <c r="AJX28" s="4"/>
      <c r="AJY28" s="4"/>
      <c r="AJZ28" s="4"/>
      <c r="AKA28" s="4"/>
      <c r="AKB28" s="4"/>
      <c r="AKC28" s="4"/>
      <c r="AKD28" s="4"/>
      <c r="AKE28" s="4"/>
      <c r="AKF28" s="4"/>
      <c r="AKG28" s="4"/>
      <c r="AKH28" s="4"/>
      <c r="AKI28" s="4"/>
      <c r="AKJ28" s="4"/>
      <c r="AKK28" s="4"/>
      <c r="AKL28" s="4"/>
      <c r="AKM28" s="4"/>
      <c r="AKN28" s="4"/>
      <c r="AKO28" s="4"/>
      <c r="AKP28" s="4"/>
      <c r="AKQ28" s="4"/>
      <c r="AKR28" s="4"/>
      <c r="AKS28" s="4"/>
      <c r="AKT28" s="4"/>
      <c r="AKU28" s="4"/>
      <c r="AKV28" s="4"/>
      <c r="AKW28" s="4"/>
      <c r="AKX28" s="4"/>
      <c r="AKY28" s="4"/>
      <c r="AKZ28" s="4"/>
      <c r="ALA28" s="4"/>
      <c r="ALB28" s="4"/>
      <c r="ALC28" s="4"/>
      <c r="ALD28" s="4"/>
      <c r="ALE28" s="4"/>
      <c r="ALF28" s="4"/>
      <c r="ALG28" s="4"/>
      <c r="ALH28" s="4"/>
      <c r="ALI28" s="4"/>
      <c r="ALJ28" s="4"/>
      <c r="ALK28" s="4"/>
      <c r="ALL28" s="4"/>
      <c r="ALM28" s="4"/>
      <c r="ALN28" s="4"/>
      <c r="ALO28" s="4"/>
      <c r="ALP28" s="4"/>
      <c r="ALQ28" s="4"/>
      <c r="ALR28" s="4"/>
      <c r="ALS28" s="4"/>
      <c r="ALT28" s="4"/>
      <c r="ALU28" s="4"/>
      <c r="ALV28" s="4"/>
      <c r="ALW28" s="4"/>
      <c r="ALX28" s="4"/>
      <c r="ALY28" s="4"/>
      <c r="ALZ28" s="4"/>
      <c r="AMA28" s="4"/>
      <c r="AMB28" s="4"/>
      <c r="AMC28" s="4"/>
      <c r="AMD28" s="4"/>
      <c r="AME28" s="4"/>
      <c r="AMF28" s="4"/>
      <c r="AMG28" s="4"/>
      <c r="AMH28" s="4"/>
      <c r="AMI28" s="4"/>
      <c r="AMJ28" s="4"/>
      <c r="AMK28" s="4"/>
      <c r="AML28" s="4"/>
      <c r="AMM28" s="4"/>
      <c r="AMN28" s="4"/>
      <c r="AMO28" s="4"/>
      <c r="AMP28" s="4"/>
      <c r="AMQ28" s="4"/>
      <c r="AMR28" s="4"/>
      <c r="AMS28" s="4"/>
      <c r="AMT28" s="4"/>
      <c r="AMU28" s="4"/>
      <c r="AMV28" s="4"/>
      <c r="AMW28" s="4"/>
      <c r="AMX28" s="4"/>
      <c r="AMY28" s="4"/>
      <c r="AMZ28" s="4"/>
      <c r="ANA28" s="4"/>
      <c r="ANB28" s="4"/>
      <c r="ANC28" s="4"/>
      <c r="AND28" s="4"/>
      <c r="ANE28" s="4"/>
      <c r="ANF28" s="4"/>
      <c r="ANG28" s="4"/>
      <c r="ANH28" s="4"/>
      <c r="ANI28" s="4"/>
      <c r="ANJ28" s="4"/>
      <c r="ANK28" s="4"/>
      <c r="ANL28" s="4"/>
      <c r="ANM28" s="4"/>
      <c r="ANN28" s="4"/>
      <c r="ANO28" s="4"/>
      <c r="ANP28" s="4"/>
      <c r="ANQ28" s="4"/>
      <c r="ANR28" s="4"/>
      <c r="ANS28" s="4"/>
      <c r="ANT28" s="4"/>
      <c r="ANU28" s="4"/>
      <c r="ANV28" s="4"/>
      <c r="ANW28" s="4"/>
      <c r="ANX28" s="4"/>
      <c r="ANY28" s="4"/>
      <c r="ANZ28" s="4"/>
      <c r="AOA28" s="4"/>
      <c r="AOB28" s="4"/>
      <c r="AOC28" s="4"/>
      <c r="AOD28" s="4"/>
      <c r="AOE28" s="4"/>
      <c r="AOF28" s="4"/>
      <c r="AOG28" s="4"/>
      <c r="AOH28" s="4"/>
      <c r="AOI28" s="4"/>
      <c r="AOJ28" s="4"/>
      <c r="AOK28" s="4"/>
      <c r="AOL28" s="4"/>
      <c r="AOM28" s="4"/>
      <c r="AON28" s="4"/>
      <c r="AOO28" s="4"/>
      <c r="AOP28" s="4"/>
      <c r="AOQ28" s="4"/>
      <c r="AOR28" s="4"/>
      <c r="AOS28" s="4"/>
      <c r="AOT28" s="4"/>
      <c r="AOU28" s="4"/>
      <c r="AOV28" s="4"/>
      <c r="AOW28" s="4"/>
      <c r="AOX28" s="4"/>
      <c r="AOY28" s="4"/>
      <c r="AOZ28" s="4"/>
      <c r="APA28" s="4"/>
      <c r="APB28" s="4"/>
      <c r="APC28" s="4"/>
      <c r="APD28" s="4"/>
      <c r="APE28" s="4"/>
      <c r="APF28" s="4"/>
      <c r="APG28" s="4"/>
      <c r="APH28" s="4"/>
      <c r="API28" s="4"/>
      <c r="APJ28" s="4"/>
      <c r="APK28" s="4"/>
      <c r="APL28" s="4"/>
      <c r="APM28" s="4"/>
      <c r="APN28" s="4"/>
      <c r="APO28" s="4"/>
      <c r="APP28" s="4"/>
      <c r="APQ28" s="4"/>
      <c r="APR28" s="4"/>
      <c r="APS28" s="4"/>
      <c r="APT28" s="4"/>
      <c r="APU28" s="4"/>
      <c r="APV28" s="4"/>
      <c r="APW28" s="4"/>
      <c r="APX28" s="4"/>
      <c r="APY28" s="4"/>
      <c r="APZ28" s="4"/>
      <c r="AQA28" s="4"/>
      <c r="AQB28" s="4"/>
      <c r="AQC28" s="4"/>
      <c r="AQD28" s="4"/>
      <c r="AQE28" s="4"/>
      <c r="AQF28" s="4"/>
      <c r="AQG28" s="4"/>
      <c r="AQH28" s="4"/>
      <c r="AQI28" s="4"/>
      <c r="AQJ28" s="4"/>
      <c r="AQK28" s="4"/>
      <c r="AQL28" s="4"/>
      <c r="AQM28" s="4"/>
      <c r="AQN28" s="4"/>
      <c r="AQO28" s="4"/>
      <c r="AQP28" s="4"/>
      <c r="AQQ28" s="4"/>
      <c r="AQR28" s="4"/>
      <c r="AQS28" s="4"/>
      <c r="AQT28" s="4"/>
      <c r="AQU28" s="4"/>
      <c r="AQV28" s="4"/>
      <c r="AQW28" s="4"/>
      <c r="AQX28" s="4"/>
      <c r="AQY28" s="4"/>
      <c r="AQZ28" s="4"/>
      <c r="ARA28" s="4"/>
      <c r="ARB28" s="4"/>
      <c r="ARC28" s="4"/>
      <c r="ARD28" s="4"/>
      <c r="ARE28" s="4"/>
      <c r="ARF28" s="4"/>
      <c r="ARG28" s="4"/>
      <c r="ARH28" s="4"/>
      <c r="ARI28" s="4"/>
      <c r="ARJ28" s="4"/>
      <c r="ARK28" s="4"/>
      <c r="ARL28" s="4"/>
      <c r="ARM28" s="4"/>
      <c r="ARN28" s="4"/>
      <c r="ARO28" s="4"/>
      <c r="ARP28" s="4"/>
      <c r="ARQ28" s="4"/>
      <c r="ARR28" s="4"/>
      <c r="ARS28" s="4"/>
      <c r="ART28" s="4"/>
      <c r="ARU28" s="4"/>
      <c r="ARV28" s="4"/>
      <c r="ARW28" s="4"/>
      <c r="ARX28" s="4"/>
      <c r="ARY28" s="4"/>
      <c r="ARZ28" s="4"/>
      <c r="ASA28" s="4"/>
      <c r="ASB28" s="4"/>
      <c r="ASC28" s="4"/>
      <c r="ASD28" s="4"/>
      <c r="ASE28" s="4"/>
      <c r="ASF28" s="4"/>
      <c r="ASG28" s="4"/>
      <c r="ASH28" s="4"/>
      <c r="ASI28" s="4"/>
      <c r="ASJ28" s="4"/>
      <c r="ASK28" s="4"/>
      <c r="ASL28" s="4"/>
      <c r="ASM28" s="4"/>
      <c r="ASN28" s="4"/>
      <c r="ASO28" s="4"/>
      <c r="ASP28" s="4"/>
      <c r="ASQ28" s="4"/>
      <c r="ASR28" s="4"/>
      <c r="ASS28" s="4"/>
      <c r="AST28" s="4"/>
      <c r="ASU28" s="4"/>
      <c r="ASV28" s="4"/>
      <c r="ASW28" s="4"/>
      <c r="ASX28" s="4"/>
      <c r="ASY28" s="4"/>
      <c r="ASZ28" s="4"/>
      <c r="ATA28" s="4"/>
      <c r="ATB28" s="4"/>
      <c r="ATC28" s="4"/>
      <c r="ATD28" s="4"/>
      <c r="ATE28" s="4"/>
      <c r="ATF28" s="4"/>
      <c r="ATG28" s="4"/>
      <c r="ATH28" s="4"/>
      <c r="ATI28" s="4"/>
      <c r="ATJ28" s="4"/>
      <c r="ATK28" s="4"/>
      <c r="ATL28" s="4"/>
      <c r="ATM28" s="4"/>
      <c r="ATN28" s="4"/>
      <c r="ATO28" s="4"/>
      <c r="ATP28" s="4"/>
      <c r="ATQ28" s="4"/>
      <c r="ATR28" s="4"/>
      <c r="ATS28" s="4"/>
      <c r="ATT28" s="4"/>
      <c r="ATU28" s="4"/>
      <c r="ATV28" s="4"/>
      <c r="ATW28" s="4"/>
      <c r="ATX28" s="4"/>
      <c r="ATY28" s="4"/>
      <c r="ATZ28" s="4"/>
      <c r="AUA28" s="4"/>
      <c r="AUB28" s="4"/>
      <c r="AUC28" s="4"/>
      <c r="AUD28" s="4"/>
      <c r="AUE28" s="4"/>
      <c r="AUF28" s="4"/>
      <c r="AUG28" s="4"/>
      <c r="AUH28" s="4"/>
      <c r="AUI28" s="4"/>
      <c r="AUJ28" s="4"/>
      <c r="AUK28" s="4"/>
      <c r="AUL28" s="4"/>
      <c r="AUM28" s="4"/>
      <c r="AUN28" s="4"/>
      <c r="AUO28" s="4"/>
      <c r="AUP28" s="4"/>
      <c r="AUQ28" s="4"/>
      <c r="AUR28" s="4"/>
      <c r="AUS28" s="4"/>
      <c r="AUT28" s="4"/>
      <c r="AUU28" s="4"/>
      <c r="AUV28" s="4"/>
      <c r="AUW28" s="4"/>
      <c r="AUX28" s="4"/>
      <c r="AUY28" s="4"/>
      <c r="AUZ28" s="4"/>
      <c r="AVA28" s="4"/>
      <c r="AVB28" s="4"/>
      <c r="AVC28" s="4"/>
      <c r="AVD28" s="4"/>
      <c r="AVE28" s="4"/>
      <c r="AVF28" s="4"/>
      <c r="AVG28" s="4"/>
      <c r="AVH28" s="4"/>
      <c r="AVI28" s="4"/>
      <c r="AVJ28" s="4"/>
      <c r="AVK28" s="4"/>
      <c r="AVL28" s="4"/>
      <c r="AVM28" s="4"/>
      <c r="AVN28" s="4"/>
      <c r="AVO28" s="4"/>
      <c r="AVP28" s="4"/>
      <c r="AVQ28" s="4"/>
      <c r="AVR28" s="4"/>
      <c r="AVS28" s="4"/>
      <c r="AVT28" s="4"/>
      <c r="AVU28" s="4"/>
      <c r="AVV28" s="4"/>
      <c r="AVW28" s="4"/>
      <c r="AVX28" s="4"/>
      <c r="AVY28" s="4"/>
      <c r="AVZ28" s="4"/>
      <c r="AWA28" s="4"/>
      <c r="AWB28" s="4"/>
      <c r="AWC28" s="4"/>
      <c r="AWD28" s="4"/>
      <c r="AWE28" s="4"/>
      <c r="AWF28" s="4"/>
      <c r="AWG28" s="4"/>
      <c r="AWH28" s="4"/>
      <c r="AWI28" s="4"/>
      <c r="AWJ28" s="4"/>
      <c r="AWK28" s="4"/>
      <c r="AWL28" s="4"/>
      <c r="AWM28" s="4"/>
      <c r="AWN28" s="4"/>
      <c r="AWO28" s="4"/>
      <c r="AWP28" s="4"/>
      <c r="AWQ28" s="4"/>
      <c r="AWR28" s="4"/>
      <c r="AWS28" s="4"/>
      <c r="AWT28" s="4"/>
      <c r="AWU28" s="4"/>
      <c r="AWV28" s="4"/>
      <c r="AWW28" s="4"/>
      <c r="AWX28" s="4"/>
      <c r="AWY28" s="4"/>
      <c r="AWZ28" s="4"/>
      <c r="AXA28" s="4"/>
      <c r="AXB28" s="4"/>
      <c r="AXC28" s="4"/>
      <c r="AXD28" s="4"/>
      <c r="AXE28" s="4"/>
      <c r="AXF28" s="4"/>
      <c r="AXG28" s="4"/>
      <c r="AXH28" s="4"/>
      <c r="AXI28" s="4"/>
      <c r="AXJ28" s="4"/>
      <c r="AXK28" s="4"/>
      <c r="AXL28" s="4"/>
      <c r="AXM28" s="4"/>
      <c r="AXN28" s="4"/>
      <c r="AXO28" s="4"/>
      <c r="AXP28" s="4"/>
      <c r="AXQ28" s="4"/>
      <c r="AXR28" s="4"/>
      <c r="AXS28" s="4"/>
      <c r="AXT28" s="4"/>
      <c r="AXU28" s="4"/>
      <c r="AXV28" s="4"/>
      <c r="AXW28" s="4"/>
      <c r="AXX28" s="4"/>
      <c r="AXY28" s="4"/>
      <c r="AXZ28" s="4"/>
      <c r="AYA28" s="4"/>
      <c r="AYB28" s="4"/>
      <c r="AYC28" s="4"/>
      <c r="AYD28" s="4"/>
      <c r="AYE28" s="4"/>
      <c r="AYF28" s="4"/>
      <c r="AYG28" s="4"/>
      <c r="AYH28" s="4"/>
      <c r="AYI28" s="4"/>
      <c r="AYJ28" s="4"/>
      <c r="AYK28" s="4"/>
      <c r="AYL28" s="4"/>
      <c r="AYM28" s="4"/>
      <c r="AYN28" s="4"/>
      <c r="AYO28" s="4"/>
      <c r="AYP28" s="4"/>
      <c r="AYQ28" s="4"/>
      <c r="AYR28" s="4"/>
      <c r="AYS28" s="4"/>
      <c r="AYT28" s="4"/>
      <c r="AYU28" s="4"/>
      <c r="AYV28" s="4"/>
      <c r="AYW28" s="4"/>
      <c r="AYX28" s="4"/>
      <c r="AYY28" s="4"/>
      <c r="AYZ28" s="4"/>
      <c r="AZA28" s="4"/>
      <c r="AZB28" s="4"/>
      <c r="AZC28" s="4"/>
      <c r="AZD28" s="4"/>
      <c r="AZE28" s="4"/>
      <c r="AZF28" s="4"/>
      <c r="AZG28" s="4"/>
      <c r="AZH28" s="4"/>
      <c r="AZI28" s="4"/>
      <c r="AZJ28" s="4"/>
      <c r="AZK28" s="4"/>
      <c r="AZL28" s="4"/>
      <c r="AZM28" s="4"/>
      <c r="AZN28" s="4"/>
      <c r="AZO28" s="4"/>
      <c r="AZP28" s="4"/>
      <c r="AZQ28" s="4"/>
      <c r="AZR28" s="4"/>
      <c r="AZS28" s="4"/>
      <c r="AZT28" s="4"/>
      <c r="AZU28" s="4"/>
      <c r="AZV28" s="4"/>
      <c r="AZW28" s="4"/>
      <c r="AZX28" s="4"/>
      <c r="AZY28" s="4"/>
      <c r="AZZ28" s="4"/>
      <c r="BAA28" s="4"/>
      <c r="BAB28" s="4"/>
      <c r="BAC28" s="4"/>
      <c r="BAD28" s="4"/>
      <c r="BAE28" s="4"/>
      <c r="BAF28" s="4"/>
      <c r="BAG28" s="4"/>
      <c r="BAH28" s="4"/>
      <c r="BAI28" s="4"/>
      <c r="BAJ28" s="4"/>
      <c r="BAK28" s="4"/>
      <c r="BAL28" s="4"/>
      <c r="BAM28" s="4"/>
      <c r="BAN28" s="4"/>
      <c r="BAO28" s="4"/>
      <c r="BAP28" s="4"/>
      <c r="BAQ28" s="4"/>
      <c r="BAR28" s="4"/>
      <c r="BAS28" s="4"/>
      <c r="BAT28" s="4"/>
      <c r="BAU28" s="4"/>
      <c r="BAV28" s="4"/>
      <c r="BAW28" s="4"/>
      <c r="BAX28" s="4"/>
      <c r="BAY28" s="4"/>
      <c r="BAZ28" s="4"/>
      <c r="BBA28" s="4"/>
      <c r="BBB28" s="4"/>
      <c r="BBC28" s="4"/>
      <c r="BBD28" s="4"/>
      <c r="BBE28" s="4"/>
      <c r="BBF28" s="4"/>
      <c r="BBG28" s="4"/>
      <c r="BBH28" s="4"/>
      <c r="BBI28" s="4"/>
      <c r="BBJ28" s="4"/>
      <c r="BBK28" s="4"/>
      <c r="BBL28" s="4"/>
      <c r="BBM28" s="4"/>
      <c r="BBN28" s="4"/>
      <c r="BBO28" s="4"/>
      <c r="BBP28" s="4"/>
      <c r="BBQ28" s="4"/>
      <c r="BBR28" s="4"/>
      <c r="BBS28" s="4"/>
      <c r="BBT28" s="4"/>
      <c r="BBU28" s="4"/>
      <c r="BBV28" s="4"/>
      <c r="BBW28" s="4"/>
      <c r="BBX28" s="4"/>
      <c r="BBY28" s="4"/>
      <c r="BBZ28" s="4"/>
      <c r="BCA28" s="4"/>
      <c r="BCB28" s="4"/>
      <c r="BCC28" s="4"/>
      <c r="BCD28" s="4"/>
      <c r="BCE28" s="4"/>
      <c r="BCF28" s="4"/>
      <c r="BCG28" s="4"/>
      <c r="BCH28" s="4"/>
      <c r="BCI28" s="4"/>
      <c r="BCJ28" s="4"/>
      <c r="BCK28" s="4"/>
      <c r="BCL28" s="4"/>
      <c r="BCM28" s="4"/>
      <c r="BCN28" s="4"/>
      <c r="BCO28" s="4"/>
      <c r="BCP28" s="4"/>
      <c r="BCQ28" s="4"/>
      <c r="BCR28" s="4"/>
      <c r="BCS28" s="4"/>
      <c r="BCT28" s="4"/>
      <c r="BCU28" s="4"/>
      <c r="BCV28" s="4"/>
      <c r="BCW28" s="4"/>
      <c r="BCX28" s="4"/>
      <c r="BCY28" s="4"/>
      <c r="BCZ28" s="4"/>
      <c r="BDA28" s="4"/>
      <c r="BDB28" s="4"/>
      <c r="BDC28" s="4"/>
      <c r="BDD28" s="4"/>
      <c r="BDE28" s="4"/>
      <c r="BDF28" s="4"/>
      <c r="BDG28" s="4"/>
      <c r="BDH28" s="4"/>
      <c r="BDI28" s="4"/>
      <c r="BDJ28" s="4"/>
      <c r="BDK28" s="4"/>
      <c r="BDL28" s="4"/>
      <c r="BDM28" s="4"/>
      <c r="BDN28" s="4"/>
      <c r="BDO28" s="4"/>
      <c r="BDP28" s="4"/>
      <c r="BDQ28" s="4"/>
      <c r="BDR28" s="4"/>
      <c r="BDS28" s="4"/>
      <c r="BDT28" s="4"/>
      <c r="BDU28" s="4"/>
      <c r="BDV28" s="4"/>
      <c r="BDW28" s="4"/>
      <c r="BDX28" s="4"/>
      <c r="BDY28" s="4"/>
      <c r="BDZ28" s="4"/>
      <c r="BEA28" s="4"/>
      <c r="BEB28" s="4"/>
      <c r="BEC28" s="4"/>
      <c r="BED28" s="4"/>
      <c r="BEE28" s="4"/>
      <c r="BEF28" s="4"/>
      <c r="BEG28" s="4"/>
      <c r="BEH28" s="4"/>
      <c r="BEI28" s="4"/>
      <c r="BEJ28" s="4"/>
      <c r="BEK28" s="4"/>
      <c r="BEL28" s="4"/>
      <c r="BEM28" s="4"/>
      <c r="BEN28" s="4"/>
      <c r="BEO28" s="4"/>
      <c r="BEP28" s="4"/>
      <c r="BEQ28" s="4"/>
      <c r="BER28" s="4"/>
      <c r="BES28" s="4"/>
      <c r="BET28" s="4"/>
      <c r="BEU28" s="4"/>
      <c r="BEV28" s="4"/>
      <c r="BEW28" s="4"/>
      <c r="BEX28" s="4"/>
      <c r="BEY28" s="4"/>
      <c r="BEZ28" s="4"/>
      <c r="BFA28" s="4"/>
      <c r="BFB28" s="4"/>
      <c r="BFC28" s="4"/>
      <c r="BFD28" s="4"/>
      <c r="BFE28" s="4"/>
      <c r="BFF28" s="4"/>
      <c r="BFG28" s="4"/>
      <c r="BFH28" s="4"/>
      <c r="BFI28" s="4"/>
      <c r="BFJ28" s="4"/>
      <c r="BFK28" s="4"/>
      <c r="BFL28" s="4"/>
      <c r="BFM28" s="4"/>
      <c r="BFN28" s="4"/>
      <c r="BFO28" s="4"/>
      <c r="BFP28" s="4"/>
      <c r="BFQ28" s="4"/>
      <c r="BFR28" s="4"/>
      <c r="BFS28" s="4"/>
      <c r="BFT28" s="4"/>
      <c r="BFU28" s="4"/>
      <c r="BFV28" s="4"/>
      <c r="BFW28" s="4"/>
      <c r="BFX28" s="4"/>
      <c r="BFY28" s="4"/>
      <c r="BFZ28" s="4"/>
      <c r="BGA28" s="4"/>
      <c r="BGB28" s="4"/>
      <c r="BGC28" s="4"/>
      <c r="BGD28" s="4"/>
      <c r="BGE28" s="4"/>
      <c r="BGF28" s="4"/>
      <c r="BGG28" s="4"/>
      <c r="BGH28" s="4"/>
      <c r="BGI28" s="4"/>
      <c r="BGJ28" s="4"/>
      <c r="BGK28" s="4"/>
      <c r="BGL28" s="4"/>
      <c r="BGM28" s="4"/>
      <c r="BGN28" s="4"/>
      <c r="BGO28" s="4"/>
      <c r="BGP28" s="4"/>
      <c r="BGQ28" s="4"/>
      <c r="BGR28" s="4"/>
      <c r="BGS28" s="4"/>
      <c r="BGT28" s="4"/>
      <c r="BGU28" s="4"/>
      <c r="BGV28" s="4"/>
      <c r="BGW28" s="4"/>
      <c r="BGX28" s="4"/>
      <c r="BGY28" s="4"/>
      <c r="BGZ28" s="4"/>
      <c r="BHA28" s="4"/>
      <c r="BHB28" s="4"/>
      <c r="BHC28" s="4"/>
      <c r="BHD28" s="4"/>
      <c r="BHE28" s="4"/>
      <c r="BHF28" s="4"/>
      <c r="BHG28" s="4"/>
      <c r="BHH28" s="4"/>
      <c r="BHI28" s="4"/>
      <c r="BHJ28" s="4"/>
      <c r="BHK28" s="4"/>
      <c r="BHL28" s="4"/>
      <c r="BHM28" s="4"/>
      <c r="BHN28" s="4"/>
      <c r="BHO28" s="4"/>
      <c r="BHP28" s="4"/>
      <c r="BHQ28" s="4"/>
      <c r="BHR28" s="4"/>
      <c r="BHS28" s="4"/>
      <c r="BHT28" s="4"/>
      <c r="BHU28" s="4"/>
      <c r="BHV28" s="4"/>
      <c r="BHW28" s="4"/>
      <c r="BHX28" s="4"/>
      <c r="BHY28" s="4"/>
      <c r="BHZ28" s="4"/>
      <c r="BIA28" s="4"/>
      <c r="BIB28" s="4"/>
      <c r="BIC28" s="4"/>
      <c r="BID28" s="4"/>
      <c r="BIE28" s="4"/>
      <c r="BIF28" s="4"/>
      <c r="BIG28" s="4"/>
      <c r="BIH28" s="4"/>
      <c r="BII28" s="4"/>
      <c r="BIJ28" s="4"/>
      <c r="BIK28" s="4"/>
      <c r="BIL28" s="4"/>
      <c r="BIM28" s="4"/>
      <c r="BIN28" s="4"/>
      <c r="BIO28" s="4"/>
      <c r="BIP28" s="4"/>
      <c r="BIQ28" s="4"/>
      <c r="BIR28" s="4"/>
      <c r="BIS28" s="4"/>
      <c r="BIT28" s="4"/>
      <c r="BIU28" s="4"/>
      <c r="BIV28" s="4"/>
      <c r="BIW28" s="4"/>
      <c r="BIX28" s="4"/>
      <c r="BIY28" s="4"/>
      <c r="BIZ28" s="4"/>
      <c r="BJA28" s="4"/>
      <c r="BJB28" s="4"/>
      <c r="BJC28" s="4"/>
      <c r="BJD28" s="4"/>
      <c r="BJE28" s="4"/>
      <c r="BJF28" s="4"/>
      <c r="BJG28" s="4"/>
      <c r="BJH28" s="4"/>
      <c r="BJI28" s="4"/>
      <c r="BJJ28" s="4"/>
      <c r="BJK28" s="4"/>
      <c r="BJL28" s="4"/>
      <c r="BJM28" s="4"/>
      <c r="BJN28" s="4"/>
      <c r="BJO28" s="4"/>
      <c r="BJP28" s="4"/>
      <c r="BJQ28" s="4"/>
      <c r="BJR28" s="4"/>
      <c r="BJS28" s="4"/>
      <c r="BJT28" s="4"/>
      <c r="BJU28" s="4"/>
      <c r="BJV28" s="4"/>
      <c r="BJW28" s="4"/>
      <c r="BJX28" s="4"/>
      <c r="BJY28" s="4"/>
      <c r="BJZ28" s="4"/>
      <c r="BKA28" s="4"/>
      <c r="BKB28" s="4"/>
      <c r="BKC28" s="4"/>
      <c r="BKD28" s="4"/>
      <c r="BKE28" s="4"/>
      <c r="BKF28" s="4"/>
      <c r="BKG28" s="4"/>
      <c r="BKH28" s="4"/>
      <c r="BKI28" s="4"/>
      <c r="BKJ28" s="4"/>
      <c r="BKK28" s="4"/>
      <c r="BKL28" s="4"/>
      <c r="BKM28" s="4"/>
      <c r="BKN28" s="4"/>
      <c r="BKO28" s="4"/>
      <c r="BKP28" s="4"/>
      <c r="BKQ28" s="4"/>
      <c r="BKR28" s="4"/>
      <c r="BKS28" s="4"/>
      <c r="BKT28" s="4"/>
      <c r="BKU28" s="4"/>
      <c r="BKV28" s="4"/>
      <c r="BKW28" s="4"/>
      <c r="BKX28" s="4"/>
      <c r="BKY28" s="4"/>
      <c r="BKZ28" s="4"/>
      <c r="BLA28" s="4"/>
      <c r="BLB28" s="4"/>
      <c r="BLC28" s="4"/>
      <c r="BLD28" s="4"/>
      <c r="BLE28" s="4"/>
      <c r="BLF28" s="4"/>
      <c r="BLG28" s="4"/>
      <c r="BLH28" s="4"/>
      <c r="BLI28" s="4"/>
      <c r="BLJ28" s="4"/>
      <c r="BLK28" s="4"/>
      <c r="BLL28" s="4"/>
      <c r="BLM28" s="4"/>
      <c r="BLN28" s="4"/>
      <c r="BLO28" s="4"/>
      <c r="BLP28" s="4"/>
      <c r="BLQ28" s="4"/>
      <c r="BLR28" s="4"/>
      <c r="BLS28" s="4"/>
      <c r="BLT28" s="4"/>
      <c r="BLU28" s="4"/>
      <c r="BLV28" s="4"/>
      <c r="BLW28" s="4"/>
      <c r="BLX28" s="4"/>
      <c r="BLY28" s="4"/>
      <c r="BLZ28" s="4"/>
      <c r="BMA28" s="4"/>
      <c r="BMB28" s="4"/>
      <c r="BMC28" s="4"/>
      <c r="BMD28" s="4"/>
      <c r="BME28" s="4"/>
      <c r="BMF28" s="4"/>
      <c r="BMG28" s="4"/>
      <c r="BMH28" s="4"/>
      <c r="BMI28" s="4"/>
      <c r="BMJ28" s="4"/>
      <c r="BMK28" s="4"/>
      <c r="BML28" s="4"/>
      <c r="BMM28" s="4"/>
      <c r="BMN28" s="4"/>
      <c r="BMO28" s="4"/>
      <c r="BMP28" s="4"/>
      <c r="BMQ28" s="4"/>
      <c r="BMR28" s="4"/>
      <c r="BMS28" s="4"/>
      <c r="BMT28" s="4"/>
      <c r="BMU28" s="4"/>
      <c r="BMV28" s="4"/>
      <c r="BMW28" s="4"/>
      <c r="BMX28" s="4"/>
      <c r="BMY28" s="4"/>
      <c r="BMZ28" s="4"/>
      <c r="BNA28" s="4"/>
      <c r="BNB28" s="4"/>
      <c r="BNC28" s="4"/>
      <c r="BND28" s="4"/>
      <c r="BNE28" s="4"/>
      <c r="BNF28" s="4"/>
      <c r="BNG28" s="4"/>
      <c r="BNH28" s="4"/>
      <c r="BNI28" s="4"/>
      <c r="BNJ28" s="4"/>
      <c r="BNK28" s="4"/>
      <c r="BNL28" s="4"/>
      <c r="BNM28" s="4"/>
      <c r="BNN28" s="4"/>
      <c r="BNO28" s="4"/>
      <c r="BNP28" s="4"/>
      <c r="BNQ28" s="4"/>
      <c r="BNR28" s="4"/>
      <c r="BNS28" s="4"/>
      <c r="BNT28" s="4"/>
      <c r="BNU28" s="4"/>
      <c r="BNV28" s="4"/>
      <c r="BNW28" s="4"/>
      <c r="BNX28" s="4"/>
      <c r="BNY28" s="4"/>
      <c r="BNZ28" s="4"/>
      <c r="BOA28" s="4"/>
      <c r="BOB28" s="4"/>
      <c r="BOC28" s="4"/>
      <c r="BOD28" s="4"/>
      <c r="BOE28" s="4"/>
      <c r="BOF28" s="4"/>
      <c r="BOG28" s="4"/>
      <c r="BOH28" s="4"/>
      <c r="BOI28" s="4"/>
      <c r="BOJ28" s="4"/>
      <c r="BOK28" s="4"/>
      <c r="BOL28" s="4"/>
      <c r="BOM28" s="4"/>
      <c r="BON28" s="4"/>
      <c r="BOO28" s="4"/>
      <c r="BOP28" s="4"/>
      <c r="BOQ28" s="4"/>
      <c r="BOR28" s="4"/>
      <c r="BOS28" s="4"/>
      <c r="BOT28" s="4"/>
      <c r="BOU28" s="4"/>
      <c r="BOV28" s="4"/>
      <c r="BOW28" s="4"/>
      <c r="BOX28" s="4"/>
      <c r="BOY28" s="4"/>
      <c r="BOZ28" s="4"/>
      <c r="BPA28" s="4"/>
      <c r="BPB28" s="4"/>
      <c r="BPC28" s="66"/>
    </row>
    <row r="29" s="6" customFormat="1" ht="60" customHeight="1" spans="1:1024 1025:1771">
      <c r="A29" s="359" t="s">
        <v>107</v>
      </c>
      <c r="B29" s="356" t="s">
        <v>108</v>
      </c>
      <c r="C29" s="356" t="s">
        <v>109</v>
      </c>
      <c r="D29" s="356" t="s">
        <v>110</v>
      </c>
      <c r="E29" s="356"/>
      <c r="F29" s="356"/>
      <c r="G29" s="360"/>
      <c r="H29" s="357">
        <f t="shared" ref="H29:H42" si="1">DATEVALUE("05/19/2026")</f>
        <v>46161</v>
      </c>
      <c r="I29" s="364" t="s">
        <v>8</v>
      </c>
      <c r="J29" s="336" t="s">
        <v>105</v>
      </c>
      <c r="K29" s="5" t="s">
        <v>111</v>
      </c>
      <c r="L29" s="5" t="s">
        <v>43</v>
      </c>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c r="AGJ29" s="4"/>
      <c r="AGK29" s="4"/>
      <c r="AGL29" s="4"/>
      <c r="AGM29" s="4"/>
      <c r="AGN29" s="4"/>
      <c r="AGO29" s="4"/>
      <c r="AGP29" s="4"/>
      <c r="AGQ29" s="4"/>
      <c r="AGR29" s="4"/>
      <c r="AGS29" s="4"/>
      <c r="AGT29" s="4"/>
      <c r="AGU29" s="4"/>
      <c r="AGV29" s="4"/>
      <c r="AGW29" s="4"/>
      <c r="AGX29" s="4"/>
      <c r="AGY29" s="4"/>
      <c r="AGZ29" s="4"/>
      <c r="AHA29" s="4"/>
      <c r="AHB29" s="4"/>
      <c r="AHC29" s="4"/>
      <c r="AHD29" s="4"/>
      <c r="AHE29" s="4"/>
      <c r="AHF29" s="4"/>
      <c r="AHG29" s="4"/>
      <c r="AHH29" s="4"/>
      <c r="AHI29" s="4"/>
      <c r="AHJ29" s="4"/>
      <c r="AHK29" s="4"/>
      <c r="AHL29" s="4"/>
      <c r="AHM29" s="4"/>
      <c r="AHN29" s="4"/>
      <c r="AHO29" s="4"/>
      <c r="AHP29" s="4"/>
      <c r="AHQ29" s="4"/>
      <c r="AHR29" s="4"/>
      <c r="AHS29" s="4"/>
      <c r="AHT29" s="4"/>
      <c r="AHU29" s="4"/>
      <c r="AHV29" s="4"/>
      <c r="AHW29" s="4"/>
      <c r="AHX29" s="4"/>
      <c r="AHY29" s="4"/>
      <c r="AHZ29" s="4"/>
      <c r="AIA29" s="4"/>
      <c r="AIB29" s="4"/>
      <c r="AIC29" s="4"/>
      <c r="AID29" s="4"/>
      <c r="AIE29" s="4"/>
      <c r="AIF29" s="4"/>
      <c r="AIG29" s="4"/>
      <c r="AIH29" s="4"/>
      <c r="AII29" s="4"/>
      <c r="AIJ29" s="4"/>
      <c r="AIK29" s="4"/>
      <c r="AIL29" s="4"/>
      <c r="AIM29" s="4"/>
      <c r="AIN29" s="4"/>
      <c r="AIO29" s="4"/>
      <c r="AIP29" s="4"/>
      <c r="AIQ29" s="4"/>
      <c r="AIR29" s="4"/>
      <c r="AIS29" s="4"/>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c r="AJW29" s="4"/>
      <c r="AJX29" s="4"/>
      <c r="AJY29" s="4"/>
      <c r="AJZ29" s="4"/>
      <c r="AKA29" s="4"/>
      <c r="AKB29" s="4"/>
      <c r="AKC29" s="4"/>
      <c r="AKD29" s="4"/>
      <c r="AKE29" s="4"/>
      <c r="AKF29" s="4"/>
      <c r="AKG29" s="4"/>
      <c r="AKH29" s="4"/>
      <c r="AKI29" s="4"/>
      <c r="AKJ29" s="4"/>
      <c r="AKK29" s="4"/>
      <c r="AKL29" s="4"/>
      <c r="AKM29" s="4"/>
      <c r="AKN29" s="4"/>
      <c r="AKO29" s="4"/>
      <c r="AKP29" s="4"/>
      <c r="AKQ29" s="4"/>
      <c r="AKR29" s="4"/>
      <c r="AKS29" s="4"/>
      <c r="AKT29" s="4"/>
      <c r="AKU29" s="4"/>
      <c r="AKV29" s="4"/>
      <c r="AKW29" s="4"/>
      <c r="AKX29" s="4"/>
      <c r="AKY29" s="4"/>
      <c r="AKZ29" s="4"/>
      <c r="ALA29" s="4"/>
      <c r="ALB29" s="4"/>
      <c r="ALC29" s="4"/>
      <c r="ALD29" s="4"/>
      <c r="ALE29" s="4"/>
      <c r="ALF29" s="4"/>
      <c r="ALG29" s="4"/>
      <c r="ALH29" s="4"/>
      <c r="ALI29" s="4"/>
      <c r="ALJ29" s="4"/>
      <c r="ALK29" s="4"/>
      <c r="ALL29" s="4"/>
      <c r="ALM29" s="4"/>
      <c r="ALN29" s="4"/>
      <c r="ALO29" s="4"/>
      <c r="ALP29" s="4"/>
      <c r="ALQ29" s="4"/>
      <c r="ALR29" s="4"/>
      <c r="ALS29" s="4"/>
      <c r="ALT29" s="4"/>
      <c r="ALU29" s="4"/>
      <c r="ALV29" s="4"/>
      <c r="ALW29" s="4"/>
      <c r="ALX29" s="4"/>
      <c r="ALY29" s="4"/>
      <c r="ALZ29" s="4"/>
      <c r="AMA29" s="4"/>
      <c r="AMB29" s="4"/>
      <c r="AMC29" s="4"/>
      <c r="AMD29" s="4"/>
      <c r="AME29" s="4"/>
      <c r="AMF29" s="4"/>
      <c r="AMG29" s="4"/>
      <c r="AMH29" s="4"/>
      <c r="AMI29" s="4"/>
      <c r="AMJ29" s="4"/>
      <c r="AMK29" s="4"/>
      <c r="AML29" s="4"/>
      <c r="AMM29" s="4"/>
      <c r="AMN29" s="4"/>
      <c r="AMO29" s="4"/>
      <c r="AMP29" s="4"/>
      <c r="AMQ29" s="4"/>
      <c r="AMR29" s="4"/>
      <c r="AMS29" s="4"/>
      <c r="AMT29" s="4"/>
      <c r="AMU29" s="4"/>
      <c r="AMV29" s="4"/>
      <c r="AMW29" s="4"/>
      <c r="AMX29" s="4"/>
      <c r="AMY29" s="4"/>
      <c r="AMZ29" s="4"/>
      <c r="ANA29" s="4"/>
      <c r="ANB29" s="4"/>
      <c r="ANC29" s="4"/>
      <c r="AND29" s="4"/>
      <c r="ANE29" s="4"/>
      <c r="ANF29" s="4"/>
      <c r="ANG29" s="4"/>
      <c r="ANH29" s="4"/>
      <c r="ANI29" s="4"/>
      <c r="ANJ29" s="4"/>
      <c r="ANK29" s="4"/>
      <c r="ANL29" s="4"/>
      <c r="ANM29" s="4"/>
      <c r="ANN29" s="4"/>
      <c r="ANO29" s="4"/>
      <c r="ANP29" s="4"/>
      <c r="ANQ29" s="4"/>
      <c r="ANR29" s="4"/>
      <c r="ANS29" s="4"/>
      <c r="ANT29" s="4"/>
      <c r="ANU29" s="4"/>
      <c r="ANV29" s="4"/>
      <c r="ANW29" s="4"/>
      <c r="ANX29" s="4"/>
      <c r="ANY29" s="4"/>
      <c r="ANZ29" s="4"/>
      <c r="AOA29" s="4"/>
      <c r="AOB29" s="4"/>
      <c r="AOC29" s="4"/>
      <c r="AOD29" s="4"/>
      <c r="AOE29" s="4"/>
      <c r="AOF29" s="4"/>
      <c r="AOG29" s="4"/>
      <c r="AOH29" s="4"/>
      <c r="AOI29" s="4"/>
      <c r="AOJ29" s="4"/>
      <c r="AOK29" s="4"/>
      <c r="AOL29" s="4"/>
      <c r="AOM29" s="4"/>
      <c r="AON29" s="4"/>
      <c r="AOO29" s="4"/>
      <c r="AOP29" s="4"/>
      <c r="AOQ29" s="4"/>
      <c r="AOR29" s="4"/>
      <c r="AOS29" s="4"/>
      <c r="AOT29" s="4"/>
      <c r="AOU29" s="4"/>
      <c r="AOV29" s="4"/>
      <c r="AOW29" s="4"/>
      <c r="AOX29" s="4"/>
      <c r="AOY29" s="4"/>
      <c r="AOZ29" s="4"/>
      <c r="APA29" s="4"/>
      <c r="APB29" s="4"/>
      <c r="APC29" s="4"/>
      <c r="APD29" s="4"/>
      <c r="APE29" s="4"/>
      <c r="APF29" s="4"/>
      <c r="APG29" s="4"/>
      <c r="APH29" s="4"/>
      <c r="API29" s="4"/>
      <c r="APJ29" s="4"/>
      <c r="APK29" s="4"/>
      <c r="APL29" s="4"/>
      <c r="APM29" s="4"/>
      <c r="APN29" s="4"/>
      <c r="APO29" s="4"/>
      <c r="APP29" s="4"/>
      <c r="APQ29" s="4"/>
      <c r="APR29" s="4"/>
      <c r="APS29" s="4"/>
      <c r="APT29" s="4"/>
      <c r="APU29" s="4"/>
      <c r="APV29" s="4"/>
      <c r="APW29" s="4"/>
      <c r="APX29" s="4"/>
      <c r="APY29" s="4"/>
      <c r="APZ29" s="4"/>
      <c r="AQA29" s="4"/>
      <c r="AQB29" s="4"/>
      <c r="AQC29" s="4"/>
      <c r="AQD29" s="4"/>
      <c r="AQE29" s="4"/>
      <c r="AQF29" s="4"/>
      <c r="AQG29" s="4"/>
      <c r="AQH29" s="4"/>
      <c r="AQI29" s="4"/>
      <c r="AQJ29" s="4"/>
      <c r="AQK29" s="4"/>
      <c r="AQL29" s="4"/>
      <c r="AQM29" s="4"/>
      <c r="AQN29" s="4"/>
      <c r="AQO29" s="4"/>
      <c r="AQP29" s="4"/>
      <c r="AQQ29" s="4"/>
      <c r="AQR29" s="4"/>
      <c r="AQS29" s="4"/>
      <c r="AQT29" s="4"/>
      <c r="AQU29" s="4"/>
      <c r="AQV29" s="4"/>
      <c r="AQW29" s="4"/>
      <c r="AQX29" s="4"/>
      <c r="AQY29" s="4"/>
      <c r="AQZ29" s="4"/>
      <c r="ARA29" s="4"/>
      <c r="ARB29" s="4"/>
      <c r="ARC29" s="4"/>
      <c r="ARD29" s="4"/>
      <c r="ARE29" s="4"/>
      <c r="ARF29" s="4"/>
      <c r="ARG29" s="4"/>
      <c r="ARH29" s="4"/>
      <c r="ARI29" s="4"/>
      <c r="ARJ29" s="4"/>
      <c r="ARK29" s="4"/>
      <c r="ARL29" s="4"/>
      <c r="ARM29" s="4"/>
      <c r="ARN29" s="4"/>
      <c r="ARO29" s="4"/>
      <c r="ARP29" s="4"/>
      <c r="ARQ29" s="4"/>
      <c r="ARR29" s="4"/>
      <c r="ARS29" s="4"/>
      <c r="ART29" s="4"/>
      <c r="ARU29" s="4"/>
      <c r="ARV29" s="4"/>
      <c r="ARW29" s="4"/>
      <c r="ARX29" s="4"/>
      <c r="ARY29" s="4"/>
      <c r="ARZ29" s="4"/>
      <c r="ASA29" s="4"/>
      <c r="ASB29" s="4"/>
      <c r="ASC29" s="4"/>
      <c r="ASD29" s="4"/>
      <c r="ASE29" s="4"/>
      <c r="ASF29" s="4"/>
      <c r="ASG29" s="4"/>
      <c r="ASH29" s="4"/>
      <c r="ASI29" s="4"/>
      <c r="ASJ29" s="4"/>
      <c r="ASK29" s="4"/>
      <c r="ASL29" s="4"/>
      <c r="ASM29" s="4"/>
      <c r="ASN29" s="4"/>
      <c r="ASO29" s="4"/>
      <c r="ASP29" s="4"/>
      <c r="ASQ29" s="4"/>
      <c r="ASR29" s="4"/>
      <c r="ASS29" s="4"/>
      <c r="AST29" s="4"/>
      <c r="ASU29" s="4"/>
      <c r="ASV29" s="4"/>
      <c r="ASW29" s="4"/>
      <c r="ASX29" s="4"/>
      <c r="ASY29" s="4"/>
      <c r="ASZ29" s="4"/>
      <c r="ATA29" s="4"/>
      <c r="ATB29" s="4"/>
      <c r="ATC29" s="4"/>
      <c r="ATD29" s="4"/>
      <c r="ATE29" s="4"/>
      <c r="ATF29" s="4"/>
      <c r="ATG29" s="4"/>
      <c r="ATH29" s="4"/>
      <c r="ATI29" s="4"/>
      <c r="ATJ29" s="4"/>
      <c r="ATK29" s="4"/>
      <c r="ATL29" s="4"/>
      <c r="ATM29" s="4"/>
      <c r="ATN29" s="4"/>
      <c r="ATO29" s="4"/>
      <c r="ATP29" s="4"/>
      <c r="ATQ29" s="4"/>
      <c r="ATR29" s="4"/>
      <c r="ATS29" s="4"/>
      <c r="ATT29" s="4"/>
      <c r="ATU29" s="4"/>
      <c r="ATV29" s="4"/>
      <c r="ATW29" s="4"/>
      <c r="ATX29" s="4"/>
      <c r="ATY29" s="4"/>
      <c r="ATZ29" s="4"/>
      <c r="AUA29" s="4"/>
      <c r="AUB29" s="4"/>
      <c r="AUC29" s="4"/>
      <c r="AUD29" s="4"/>
      <c r="AUE29" s="4"/>
      <c r="AUF29" s="4"/>
      <c r="AUG29" s="4"/>
      <c r="AUH29" s="4"/>
      <c r="AUI29" s="4"/>
      <c r="AUJ29" s="4"/>
      <c r="AUK29" s="4"/>
      <c r="AUL29" s="4"/>
      <c r="AUM29" s="4"/>
      <c r="AUN29" s="4"/>
      <c r="AUO29" s="4"/>
      <c r="AUP29" s="4"/>
      <c r="AUQ29" s="4"/>
      <c r="AUR29" s="4"/>
      <c r="AUS29" s="4"/>
      <c r="AUT29" s="4"/>
      <c r="AUU29" s="4"/>
      <c r="AUV29" s="4"/>
      <c r="AUW29" s="4"/>
      <c r="AUX29" s="4"/>
      <c r="AUY29" s="4"/>
      <c r="AUZ29" s="4"/>
      <c r="AVA29" s="4"/>
      <c r="AVB29" s="4"/>
      <c r="AVC29" s="4"/>
      <c r="AVD29" s="4"/>
      <c r="AVE29" s="4"/>
      <c r="AVF29" s="4"/>
      <c r="AVG29" s="4"/>
      <c r="AVH29" s="4"/>
      <c r="AVI29" s="4"/>
      <c r="AVJ29" s="4"/>
      <c r="AVK29" s="4"/>
      <c r="AVL29" s="4"/>
      <c r="AVM29" s="4"/>
      <c r="AVN29" s="4"/>
      <c r="AVO29" s="4"/>
      <c r="AVP29" s="4"/>
      <c r="AVQ29" s="4"/>
      <c r="AVR29" s="4"/>
      <c r="AVS29" s="4"/>
      <c r="AVT29" s="4"/>
      <c r="AVU29" s="4"/>
      <c r="AVV29" s="4"/>
      <c r="AVW29" s="4"/>
      <c r="AVX29" s="4"/>
      <c r="AVY29" s="4"/>
      <c r="AVZ29" s="4"/>
      <c r="AWA29" s="4"/>
      <c r="AWB29" s="4"/>
      <c r="AWC29" s="4"/>
      <c r="AWD29" s="4"/>
      <c r="AWE29" s="4"/>
      <c r="AWF29" s="4"/>
      <c r="AWG29" s="4"/>
      <c r="AWH29" s="4"/>
      <c r="AWI29" s="4"/>
      <c r="AWJ29" s="4"/>
      <c r="AWK29" s="4"/>
      <c r="AWL29" s="4"/>
      <c r="AWM29" s="4"/>
      <c r="AWN29" s="4"/>
      <c r="AWO29" s="4"/>
      <c r="AWP29" s="4"/>
      <c r="AWQ29" s="4"/>
      <c r="AWR29" s="4"/>
      <c r="AWS29" s="4"/>
      <c r="AWT29" s="4"/>
      <c r="AWU29" s="4"/>
      <c r="AWV29" s="4"/>
      <c r="AWW29" s="4"/>
      <c r="AWX29" s="4"/>
      <c r="AWY29" s="4"/>
      <c r="AWZ29" s="4"/>
      <c r="AXA29" s="4"/>
      <c r="AXB29" s="4"/>
      <c r="AXC29" s="4"/>
      <c r="AXD29" s="4"/>
      <c r="AXE29" s="4"/>
      <c r="AXF29" s="4"/>
      <c r="AXG29" s="4"/>
      <c r="AXH29" s="4"/>
      <c r="AXI29" s="4"/>
      <c r="AXJ29" s="4"/>
      <c r="AXK29" s="4"/>
      <c r="AXL29" s="4"/>
      <c r="AXM29" s="4"/>
      <c r="AXN29" s="4"/>
      <c r="AXO29" s="4"/>
      <c r="AXP29" s="4"/>
      <c r="AXQ29" s="4"/>
      <c r="AXR29" s="4"/>
      <c r="AXS29" s="4"/>
      <c r="AXT29" s="4"/>
      <c r="AXU29" s="4"/>
      <c r="AXV29" s="4"/>
      <c r="AXW29" s="4"/>
      <c r="AXX29" s="4"/>
      <c r="AXY29" s="4"/>
      <c r="AXZ29" s="4"/>
      <c r="AYA29" s="4"/>
      <c r="AYB29" s="4"/>
      <c r="AYC29" s="4"/>
      <c r="AYD29" s="4"/>
      <c r="AYE29" s="4"/>
      <c r="AYF29" s="4"/>
      <c r="AYG29" s="4"/>
      <c r="AYH29" s="4"/>
      <c r="AYI29" s="4"/>
      <c r="AYJ29" s="4"/>
      <c r="AYK29" s="4"/>
      <c r="AYL29" s="4"/>
      <c r="AYM29" s="4"/>
      <c r="AYN29" s="4"/>
      <c r="AYO29" s="4"/>
      <c r="AYP29" s="4"/>
      <c r="AYQ29" s="4"/>
      <c r="AYR29" s="4"/>
      <c r="AYS29" s="4"/>
      <c r="AYT29" s="4"/>
      <c r="AYU29" s="4"/>
      <c r="AYV29" s="4"/>
      <c r="AYW29" s="4"/>
      <c r="AYX29" s="4"/>
      <c r="AYY29" s="4"/>
      <c r="AYZ29" s="4"/>
      <c r="AZA29" s="4"/>
      <c r="AZB29" s="4"/>
      <c r="AZC29" s="4"/>
      <c r="AZD29" s="4"/>
      <c r="AZE29" s="4"/>
      <c r="AZF29" s="4"/>
      <c r="AZG29" s="4"/>
      <c r="AZH29" s="4"/>
      <c r="AZI29" s="4"/>
      <c r="AZJ29" s="4"/>
      <c r="AZK29" s="4"/>
      <c r="AZL29" s="4"/>
      <c r="AZM29" s="4"/>
      <c r="AZN29" s="4"/>
      <c r="AZO29" s="4"/>
      <c r="AZP29" s="4"/>
      <c r="AZQ29" s="4"/>
      <c r="AZR29" s="4"/>
      <c r="AZS29" s="4"/>
      <c r="AZT29" s="4"/>
      <c r="AZU29" s="4"/>
      <c r="AZV29" s="4"/>
      <c r="AZW29" s="4"/>
      <c r="AZX29" s="4"/>
      <c r="AZY29" s="4"/>
      <c r="AZZ29" s="4"/>
      <c r="BAA29" s="4"/>
      <c r="BAB29" s="4"/>
      <c r="BAC29" s="4"/>
      <c r="BAD29" s="4"/>
      <c r="BAE29" s="4"/>
      <c r="BAF29" s="4"/>
      <c r="BAG29" s="4"/>
      <c r="BAH29" s="4"/>
      <c r="BAI29" s="4"/>
      <c r="BAJ29" s="4"/>
      <c r="BAK29" s="4"/>
      <c r="BAL29" s="4"/>
      <c r="BAM29" s="4"/>
      <c r="BAN29" s="4"/>
      <c r="BAO29" s="4"/>
      <c r="BAP29" s="4"/>
      <c r="BAQ29" s="4"/>
      <c r="BAR29" s="4"/>
      <c r="BAS29" s="4"/>
      <c r="BAT29" s="4"/>
      <c r="BAU29" s="4"/>
      <c r="BAV29" s="4"/>
      <c r="BAW29" s="4"/>
      <c r="BAX29" s="4"/>
      <c r="BAY29" s="4"/>
      <c r="BAZ29" s="4"/>
      <c r="BBA29" s="4"/>
      <c r="BBB29" s="4"/>
      <c r="BBC29" s="4"/>
      <c r="BBD29" s="4"/>
      <c r="BBE29" s="4"/>
      <c r="BBF29" s="4"/>
      <c r="BBG29" s="4"/>
      <c r="BBH29" s="4"/>
      <c r="BBI29" s="4"/>
      <c r="BBJ29" s="4"/>
      <c r="BBK29" s="4"/>
      <c r="BBL29" s="4"/>
      <c r="BBM29" s="4"/>
      <c r="BBN29" s="4"/>
      <c r="BBO29" s="4"/>
      <c r="BBP29" s="4"/>
      <c r="BBQ29" s="4"/>
      <c r="BBR29" s="4"/>
      <c r="BBS29" s="4"/>
      <c r="BBT29" s="4"/>
      <c r="BBU29" s="4"/>
      <c r="BBV29" s="4"/>
      <c r="BBW29" s="4"/>
      <c r="BBX29" s="4"/>
      <c r="BBY29" s="4"/>
      <c r="BBZ29" s="4"/>
      <c r="BCA29" s="4"/>
      <c r="BCB29" s="4"/>
      <c r="BCC29" s="4"/>
      <c r="BCD29" s="4"/>
      <c r="BCE29" s="4"/>
      <c r="BCF29" s="4"/>
      <c r="BCG29" s="4"/>
      <c r="BCH29" s="4"/>
      <c r="BCI29" s="4"/>
      <c r="BCJ29" s="4"/>
      <c r="BCK29" s="4"/>
      <c r="BCL29" s="4"/>
      <c r="BCM29" s="4"/>
      <c r="BCN29" s="4"/>
      <c r="BCO29" s="4"/>
      <c r="BCP29" s="4"/>
      <c r="BCQ29" s="4"/>
      <c r="BCR29" s="4"/>
      <c r="BCS29" s="4"/>
      <c r="BCT29" s="4"/>
      <c r="BCU29" s="4"/>
      <c r="BCV29" s="4"/>
      <c r="BCW29" s="4"/>
      <c r="BCX29" s="4"/>
      <c r="BCY29" s="4"/>
      <c r="BCZ29" s="4"/>
      <c r="BDA29" s="4"/>
      <c r="BDB29" s="4"/>
      <c r="BDC29" s="4"/>
      <c r="BDD29" s="4"/>
      <c r="BDE29" s="4"/>
      <c r="BDF29" s="4"/>
      <c r="BDG29" s="4"/>
      <c r="BDH29" s="4"/>
      <c r="BDI29" s="4"/>
      <c r="BDJ29" s="4"/>
      <c r="BDK29" s="4"/>
      <c r="BDL29" s="4"/>
      <c r="BDM29" s="4"/>
      <c r="BDN29" s="4"/>
      <c r="BDO29" s="4"/>
      <c r="BDP29" s="4"/>
      <c r="BDQ29" s="4"/>
      <c r="BDR29" s="4"/>
      <c r="BDS29" s="4"/>
      <c r="BDT29" s="4"/>
      <c r="BDU29" s="4"/>
      <c r="BDV29" s="4"/>
      <c r="BDW29" s="4"/>
      <c r="BDX29" s="4"/>
      <c r="BDY29" s="4"/>
      <c r="BDZ29" s="4"/>
      <c r="BEA29" s="4"/>
      <c r="BEB29" s="4"/>
      <c r="BEC29" s="4"/>
      <c r="BED29" s="4"/>
      <c r="BEE29" s="4"/>
      <c r="BEF29" s="4"/>
      <c r="BEG29" s="4"/>
      <c r="BEH29" s="4"/>
      <c r="BEI29" s="4"/>
      <c r="BEJ29" s="4"/>
      <c r="BEK29" s="4"/>
      <c r="BEL29" s="4"/>
      <c r="BEM29" s="4"/>
      <c r="BEN29" s="4"/>
      <c r="BEO29" s="4"/>
      <c r="BEP29" s="4"/>
      <c r="BEQ29" s="4"/>
      <c r="BER29" s="4"/>
      <c r="BES29" s="4"/>
      <c r="BET29" s="4"/>
      <c r="BEU29" s="4"/>
      <c r="BEV29" s="4"/>
      <c r="BEW29" s="4"/>
      <c r="BEX29" s="4"/>
      <c r="BEY29" s="4"/>
      <c r="BEZ29" s="4"/>
      <c r="BFA29" s="4"/>
      <c r="BFB29" s="4"/>
      <c r="BFC29" s="4"/>
      <c r="BFD29" s="4"/>
      <c r="BFE29" s="4"/>
      <c r="BFF29" s="4"/>
      <c r="BFG29" s="4"/>
      <c r="BFH29" s="4"/>
      <c r="BFI29" s="4"/>
      <c r="BFJ29" s="4"/>
      <c r="BFK29" s="4"/>
      <c r="BFL29" s="4"/>
      <c r="BFM29" s="4"/>
      <c r="BFN29" s="4"/>
      <c r="BFO29" s="4"/>
      <c r="BFP29" s="4"/>
      <c r="BFQ29" s="4"/>
      <c r="BFR29" s="4"/>
      <c r="BFS29" s="4"/>
      <c r="BFT29" s="4"/>
      <c r="BFU29" s="4"/>
      <c r="BFV29" s="4"/>
      <c r="BFW29" s="4"/>
      <c r="BFX29" s="4"/>
      <c r="BFY29" s="4"/>
      <c r="BFZ29" s="4"/>
      <c r="BGA29" s="4"/>
      <c r="BGB29" s="4"/>
      <c r="BGC29" s="4"/>
      <c r="BGD29" s="4"/>
      <c r="BGE29" s="4"/>
      <c r="BGF29" s="4"/>
      <c r="BGG29" s="4"/>
      <c r="BGH29" s="4"/>
      <c r="BGI29" s="4"/>
      <c r="BGJ29" s="4"/>
      <c r="BGK29" s="4"/>
      <c r="BGL29" s="4"/>
      <c r="BGM29" s="4"/>
      <c r="BGN29" s="4"/>
      <c r="BGO29" s="4"/>
      <c r="BGP29" s="4"/>
      <c r="BGQ29" s="4"/>
      <c r="BGR29" s="4"/>
      <c r="BGS29" s="4"/>
      <c r="BGT29" s="4"/>
      <c r="BGU29" s="4"/>
      <c r="BGV29" s="4"/>
      <c r="BGW29" s="4"/>
      <c r="BGX29" s="4"/>
      <c r="BGY29" s="4"/>
      <c r="BGZ29" s="4"/>
      <c r="BHA29" s="4"/>
      <c r="BHB29" s="4"/>
      <c r="BHC29" s="4"/>
      <c r="BHD29" s="4"/>
      <c r="BHE29" s="4"/>
      <c r="BHF29" s="4"/>
      <c r="BHG29" s="4"/>
      <c r="BHH29" s="4"/>
      <c r="BHI29" s="4"/>
      <c r="BHJ29" s="4"/>
      <c r="BHK29" s="4"/>
      <c r="BHL29" s="4"/>
      <c r="BHM29" s="4"/>
      <c r="BHN29" s="4"/>
      <c r="BHO29" s="4"/>
      <c r="BHP29" s="4"/>
      <c r="BHQ29" s="4"/>
      <c r="BHR29" s="4"/>
      <c r="BHS29" s="4"/>
      <c r="BHT29" s="4"/>
      <c r="BHU29" s="4"/>
      <c r="BHV29" s="4"/>
      <c r="BHW29" s="4"/>
      <c r="BHX29" s="4"/>
      <c r="BHY29" s="4"/>
      <c r="BHZ29" s="4"/>
      <c r="BIA29" s="4"/>
      <c r="BIB29" s="4"/>
      <c r="BIC29" s="4"/>
      <c r="BID29" s="4"/>
      <c r="BIE29" s="4"/>
      <c r="BIF29" s="4"/>
      <c r="BIG29" s="4"/>
      <c r="BIH29" s="4"/>
      <c r="BII29" s="4"/>
      <c r="BIJ29" s="4"/>
      <c r="BIK29" s="4"/>
      <c r="BIL29" s="4"/>
      <c r="BIM29" s="4"/>
      <c r="BIN29" s="4"/>
      <c r="BIO29" s="4"/>
      <c r="BIP29" s="4"/>
      <c r="BIQ29" s="4"/>
      <c r="BIR29" s="4"/>
      <c r="BIS29" s="4"/>
      <c r="BIT29" s="4"/>
      <c r="BIU29" s="4"/>
      <c r="BIV29" s="4"/>
      <c r="BIW29" s="4"/>
      <c r="BIX29" s="4"/>
      <c r="BIY29" s="4"/>
      <c r="BIZ29" s="4"/>
      <c r="BJA29" s="4"/>
      <c r="BJB29" s="4"/>
      <c r="BJC29" s="4"/>
      <c r="BJD29" s="4"/>
      <c r="BJE29" s="4"/>
      <c r="BJF29" s="4"/>
      <c r="BJG29" s="4"/>
      <c r="BJH29" s="4"/>
      <c r="BJI29" s="4"/>
      <c r="BJJ29" s="4"/>
      <c r="BJK29" s="4"/>
      <c r="BJL29" s="4"/>
      <c r="BJM29" s="4"/>
      <c r="BJN29" s="4"/>
      <c r="BJO29" s="4"/>
      <c r="BJP29" s="4"/>
      <c r="BJQ29" s="4"/>
      <c r="BJR29" s="4"/>
      <c r="BJS29" s="4"/>
      <c r="BJT29" s="4"/>
      <c r="BJU29" s="4"/>
      <c r="BJV29" s="4"/>
      <c r="BJW29" s="4"/>
      <c r="BJX29" s="4"/>
      <c r="BJY29" s="4"/>
      <c r="BJZ29" s="4"/>
      <c r="BKA29" s="4"/>
      <c r="BKB29" s="4"/>
      <c r="BKC29" s="4"/>
      <c r="BKD29" s="4"/>
      <c r="BKE29" s="4"/>
      <c r="BKF29" s="4"/>
      <c r="BKG29" s="4"/>
      <c r="BKH29" s="4"/>
      <c r="BKI29" s="4"/>
      <c r="BKJ29" s="4"/>
      <c r="BKK29" s="4"/>
      <c r="BKL29" s="4"/>
      <c r="BKM29" s="4"/>
      <c r="BKN29" s="4"/>
      <c r="BKO29" s="4"/>
      <c r="BKP29" s="4"/>
      <c r="BKQ29" s="4"/>
      <c r="BKR29" s="4"/>
      <c r="BKS29" s="4"/>
      <c r="BKT29" s="4"/>
      <c r="BKU29" s="4"/>
      <c r="BKV29" s="4"/>
      <c r="BKW29" s="4"/>
      <c r="BKX29" s="4"/>
      <c r="BKY29" s="4"/>
      <c r="BKZ29" s="4"/>
      <c r="BLA29" s="4"/>
      <c r="BLB29" s="4"/>
      <c r="BLC29" s="4"/>
      <c r="BLD29" s="4"/>
      <c r="BLE29" s="4"/>
      <c r="BLF29" s="4"/>
      <c r="BLG29" s="4"/>
      <c r="BLH29" s="4"/>
      <c r="BLI29" s="4"/>
      <c r="BLJ29" s="4"/>
      <c r="BLK29" s="4"/>
      <c r="BLL29" s="4"/>
      <c r="BLM29" s="4"/>
      <c r="BLN29" s="4"/>
      <c r="BLO29" s="4"/>
      <c r="BLP29" s="4"/>
      <c r="BLQ29" s="4"/>
      <c r="BLR29" s="4"/>
      <c r="BLS29" s="4"/>
      <c r="BLT29" s="4"/>
      <c r="BLU29" s="4"/>
      <c r="BLV29" s="4"/>
      <c r="BLW29" s="4"/>
      <c r="BLX29" s="4"/>
      <c r="BLY29" s="4"/>
      <c r="BLZ29" s="4"/>
      <c r="BMA29" s="4"/>
      <c r="BMB29" s="4"/>
      <c r="BMC29" s="4"/>
      <c r="BMD29" s="4"/>
      <c r="BME29" s="4"/>
      <c r="BMF29" s="4"/>
      <c r="BMG29" s="4"/>
      <c r="BMH29" s="4"/>
      <c r="BMI29" s="4"/>
      <c r="BMJ29" s="4"/>
      <c r="BMK29" s="4"/>
      <c r="BML29" s="4"/>
      <c r="BMM29" s="4"/>
      <c r="BMN29" s="4"/>
      <c r="BMO29" s="4"/>
      <c r="BMP29" s="4"/>
      <c r="BMQ29" s="4"/>
      <c r="BMR29" s="4"/>
      <c r="BMS29" s="4"/>
      <c r="BMT29" s="4"/>
      <c r="BMU29" s="4"/>
      <c r="BMV29" s="4"/>
      <c r="BMW29" s="4"/>
      <c r="BMX29" s="4"/>
      <c r="BMY29" s="4"/>
      <c r="BMZ29" s="4"/>
      <c r="BNA29" s="4"/>
      <c r="BNB29" s="4"/>
      <c r="BNC29" s="4"/>
      <c r="BND29" s="4"/>
      <c r="BNE29" s="4"/>
      <c r="BNF29" s="4"/>
      <c r="BNG29" s="4"/>
      <c r="BNH29" s="4"/>
      <c r="BNI29" s="4"/>
      <c r="BNJ29" s="4"/>
      <c r="BNK29" s="4"/>
      <c r="BNL29" s="4"/>
      <c r="BNM29" s="4"/>
      <c r="BNN29" s="4"/>
      <c r="BNO29" s="4"/>
      <c r="BNP29" s="4"/>
      <c r="BNQ29" s="4"/>
      <c r="BNR29" s="4"/>
      <c r="BNS29" s="4"/>
      <c r="BNT29" s="4"/>
      <c r="BNU29" s="4"/>
      <c r="BNV29" s="4"/>
      <c r="BNW29" s="4"/>
      <c r="BNX29" s="4"/>
      <c r="BNY29" s="4"/>
      <c r="BNZ29" s="4"/>
      <c r="BOA29" s="4"/>
      <c r="BOB29" s="4"/>
      <c r="BOC29" s="4"/>
      <c r="BOD29" s="4"/>
      <c r="BOE29" s="4"/>
      <c r="BOF29" s="4"/>
      <c r="BOG29" s="4"/>
      <c r="BOH29" s="4"/>
      <c r="BOI29" s="4"/>
      <c r="BOJ29" s="4"/>
      <c r="BOK29" s="4"/>
      <c r="BOL29" s="4"/>
      <c r="BOM29" s="4"/>
      <c r="BON29" s="4"/>
      <c r="BOO29" s="4"/>
      <c r="BOP29" s="4"/>
      <c r="BOQ29" s="4"/>
      <c r="BOR29" s="4"/>
      <c r="BOS29" s="4"/>
      <c r="BOT29" s="4"/>
      <c r="BOU29" s="4"/>
      <c r="BOV29" s="4"/>
      <c r="BOW29" s="4"/>
      <c r="BOX29" s="4"/>
      <c r="BOY29" s="4"/>
      <c r="BOZ29" s="4"/>
      <c r="BPA29" s="4"/>
      <c r="BPB29" s="4"/>
      <c r="BPC29" s="66"/>
    </row>
    <row r="30" s="6" customFormat="1" ht="60" customHeight="1" spans="1:1024 1025:1771">
      <c r="A30" s="359" t="s">
        <v>112</v>
      </c>
      <c r="B30" s="356" t="s">
        <v>113</v>
      </c>
      <c r="C30" s="356" t="s">
        <v>114</v>
      </c>
      <c r="D30" s="356" t="s">
        <v>115</v>
      </c>
      <c r="E30" s="356"/>
      <c r="F30" s="356"/>
      <c r="G30" s="360"/>
      <c r="H30" s="357">
        <f t="shared" si="1"/>
        <v>46161</v>
      </c>
      <c r="I30" s="364" t="s">
        <v>8</v>
      </c>
      <c r="J30" s="336" t="s">
        <v>116</v>
      </c>
      <c r="K30" s="5" t="s">
        <v>117</v>
      </c>
      <c r="L30" s="5" t="s">
        <v>43</v>
      </c>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c r="AMG30" s="4"/>
      <c r="AMH30" s="4"/>
      <c r="AMI30" s="4"/>
      <c r="AMJ30" s="4"/>
      <c r="AMK30" s="4"/>
      <c r="AML30" s="4"/>
      <c r="AMM30" s="4"/>
      <c r="AMN30" s="4"/>
      <c r="AMO30" s="4"/>
      <c r="AMP30" s="4"/>
      <c r="AMQ30" s="4"/>
      <c r="AMR30" s="4"/>
      <c r="AMS30" s="4"/>
      <c r="AMT30" s="4"/>
      <c r="AMU30" s="4"/>
      <c r="AMV30" s="4"/>
      <c r="AMW30" s="4"/>
      <c r="AMX30" s="4"/>
      <c r="AMY30" s="4"/>
      <c r="AMZ30" s="4"/>
      <c r="ANA30" s="4"/>
      <c r="ANB30" s="4"/>
      <c r="ANC30" s="4"/>
      <c r="AND30" s="4"/>
      <c r="ANE30" s="4"/>
      <c r="ANF30" s="4"/>
      <c r="ANG30" s="4"/>
      <c r="ANH30" s="4"/>
      <c r="ANI30" s="4"/>
      <c r="ANJ30" s="4"/>
      <c r="ANK30" s="4"/>
      <c r="ANL30" s="4"/>
      <c r="ANM30" s="4"/>
      <c r="ANN30" s="4"/>
      <c r="ANO30" s="4"/>
      <c r="ANP30" s="4"/>
      <c r="ANQ30" s="4"/>
      <c r="ANR30" s="4"/>
      <c r="ANS30" s="4"/>
      <c r="ANT30" s="4"/>
      <c r="ANU30" s="4"/>
      <c r="ANV30" s="4"/>
      <c r="ANW30" s="4"/>
      <c r="ANX30" s="4"/>
      <c r="ANY30" s="4"/>
      <c r="ANZ30" s="4"/>
      <c r="AOA30" s="4"/>
      <c r="AOB30" s="4"/>
      <c r="AOC30" s="4"/>
      <c r="AOD30" s="4"/>
      <c r="AOE30" s="4"/>
      <c r="AOF30" s="4"/>
      <c r="AOG30" s="4"/>
      <c r="AOH30" s="4"/>
      <c r="AOI30" s="4"/>
      <c r="AOJ30" s="4"/>
      <c r="AOK30" s="4"/>
      <c r="AOL30" s="4"/>
      <c r="AOM30" s="4"/>
      <c r="AON30" s="4"/>
      <c r="AOO30" s="4"/>
      <c r="AOP30" s="4"/>
      <c r="AOQ30" s="4"/>
      <c r="AOR30" s="4"/>
      <c r="AOS30" s="4"/>
      <c r="AOT30" s="4"/>
      <c r="AOU30" s="4"/>
      <c r="AOV30" s="4"/>
      <c r="AOW30" s="4"/>
      <c r="AOX30" s="4"/>
      <c r="AOY30" s="4"/>
      <c r="AOZ30" s="4"/>
      <c r="APA30" s="4"/>
      <c r="APB30" s="4"/>
      <c r="APC30" s="4"/>
      <c r="APD30" s="4"/>
      <c r="APE30" s="4"/>
      <c r="APF30" s="4"/>
      <c r="APG30" s="4"/>
      <c r="APH30" s="4"/>
      <c r="API30" s="4"/>
      <c r="APJ30" s="4"/>
      <c r="APK30" s="4"/>
      <c r="APL30" s="4"/>
      <c r="APM30" s="4"/>
      <c r="APN30" s="4"/>
      <c r="APO30" s="4"/>
      <c r="APP30" s="4"/>
      <c r="APQ30" s="4"/>
      <c r="APR30" s="4"/>
      <c r="APS30" s="4"/>
      <c r="APT30" s="4"/>
      <c r="APU30" s="4"/>
      <c r="APV30" s="4"/>
      <c r="APW30" s="4"/>
      <c r="APX30" s="4"/>
      <c r="APY30" s="4"/>
      <c r="APZ30" s="4"/>
      <c r="AQA30" s="4"/>
      <c r="AQB30" s="4"/>
      <c r="AQC30" s="4"/>
      <c r="AQD30" s="4"/>
      <c r="AQE30" s="4"/>
      <c r="AQF30" s="4"/>
      <c r="AQG30" s="4"/>
      <c r="AQH30" s="4"/>
      <c r="AQI30" s="4"/>
      <c r="AQJ30" s="4"/>
      <c r="AQK30" s="4"/>
      <c r="AQL30" s="4"/>
      <c r="AQM30" s="4"/>
      <c r="AQN30" s="4"/>
      <c r="AQO30" s="4"/>
      <c r="AQP30" s="4"/>
      <c r="AQQ30" s="4"/>
      <c r="AQR30" s="4"/>
      <c r="AQS30" s="4"/>
      <c r="AQT30" s="4"/>
      <c r="AQU30" s="4"/>
      <c r="AQV30" s="4"/>
      <c r="AQW30" s="4"/>
      <c r="AQX30" s="4"/>
      <c r="AQY30" s="4"/>
      <c r="AQZ30" s="4"/>
      <c r="ARA30" s="4"/>
      <c r="ARB30" s="4"/>
      <c r="ARC30" s="4"/>
      <c r="ARD30" s="4"/>
      <c r="ARE30" s="4"/>
      <c r="ARF30" s="4"/>
      <c r="ARG30" s="4"/>
      <c r="ARH30" s="4"/>
      <c r="ARI30" s="4"/>
      <c r="ARJ30" s="4"/>
      <c r="ARK30" s="4"/>
      <c r="ARL30" s="4"/>
      <c r="ARM30" s="4"/>
      <c r="ARN30" s="4"/>
      <c r="ARO30" s="4"/>
      <c r="ARP30" s="4"/>
      <c r="ARQ30" s="4"/>
      <c r="ARR30" s="4"/>
      <c r="ARS30" s="4"/>
      <c r="ART30" s="4"/>
      <c r="ARU30" s="4"/>
      <c r="ARV30" s="4"/>
      <c r="ARW30" s="4"/>
      <c r="ARX30" s="4"/>
      <c r="ARY30" s="4"/>
      <c r="ARZ30" s="4"/>
      <c r="ASA30" s="4"/>
      <c r="ASB30" s="4"/>
      <c r="ASC30" s="4"/>
      <c r="ASD30" s="4"/>
      <c r="ASE30" s="4"/>
      <c r="ASF30" s="4"/>
      <c r="ASG30" s="4"/>
      <c r="ASH30" s="4"/>
      <c r="ASI30" s="4"/>
      <c r="ASJ30" s="4"/>
      <c r="ASK30" s="4"/>
      <c r="ASL30" s="4"/>
      <c r="ASM30" s="4"/>
      <c r="ASN30" s="4"/>
      <c r="ASO30" s="4"/>
      <c r="ASP30" s="4"/>
      <c r="ASQ30" s="4"/>
      <c r="ASR30" s="4"/>
      <c r="ASS30" s="4"/>
      <c r="AST30" s="4"/>
      <c r="ASU30" s="4"/>
      <c r="ASV30" s="4"/>
      <c r="ASW30" s="4"/>
      <c r="ASX30" s="4"/>
      <c r="ASY30" s="4"/>
      <c r="ASZ30" s="4"/>
      <c r="ATA30" s="4"/>
      <c r="ATB30" s="4"/>
      <c r="ATC30" s="4"/>
      <c r="ATD30" s="4"/>
      <c r="ATE30" s="4"/>
      <c r="ATF30" s="4"/>
      <c r="ATG30" s="4"/>
      <c r="ATH30" s="4"/>
      <c r="ATI30" s="4"/>
      <c r="ATJ30" s="4"/>
      <c r="ATK30" s="4"/>
      <c r="ATL30" s="4"/>
      <c r="ATM30" s="4"/>
      <c r="ATN30" s="4"/>
      <c r="ATO30" s="4"/>
      <c r="ATP30" s="4"/>
      <c r="ATQ30" s="4"/>
      <c r="ATR30" s="4"/>
      <c r="ATS30" s="4"/>
      <c r="ATT30" s="4"/>
      <c r="ATU30" s="4"/>
      <c r="ATV30" s="4"/>
      <c r="ATW30" s="4"/>
      <c r="ATX30" s="4"/>
      <c r="ATY30" s="4"/>
      <c r="ATZ30" s="4"/>
      <c r="AUA30" s="4"/>
      <c r="AUB30" s="4"/>
      <c r="AUC30" s="4"/>
      <c r="AUD30" s="4"/>
      <c r="AUE30" s="4"/>
      <c r="AUF30" s="4"/>
      <c r="AUG30" s="4"/>
      <c r="AUH30" s="4"/>
      <c r="AUI30" s="4"/>
      <c r="AUJ30" s="4"/>
      <c r="AUK30" s="4"/>
      <c r="AUL30" s="4"/>
      <c r="AUM30" s="4"/>
      <c r="AUN30" s="4"/>
      <c r="AUO30" s="4"/>
      <c r="AUP30" s="4"/>
      <c r="AUQ30" s="4"/>
      <c r="AUR30" s="4"/>
      <c r="AUS30" s="4"/>
      <c r="AUT30" s="4"/>
      <c r="AUU30" s="4"/>
      <c r="AUV30" s="4"/>
      <c r="AUW30" s="4"/>
      <c r="AUX30" s="4"/>
      <c r="AUY30" s="4"/>
      <c r="AUZ30" s="4"/>
      <c r="AVA30" s="4"/>
      <c r="AVB30" s="4"/>
      <c r="AVC30" s="4"/>
      <c r="AVD30" s="4"/>
      <c r="AVE30" s="4"/>
      <c r="AVF30" s="4"/>
      <c r="AVG30" s="4"/>
      <c r="AVH30" s="4"/>
      <c r="AVI30" s="4"/>
      <c r="AVJ30" s="4"/>
      <c r="AVK30" s="4"/>
      <c r="AVL30" s="4"/>
      <c r="AVM30" s="4"/>
      <c r="AVN30" s="4"/>
      <c r="AVO30" s="4"/>
      <c r="AVP30" s="4"/>
      <c r="AVQ30" s="4"/>
      <c r="AVR30" s="4"/>
      <c r="AVS30" s="4"/>
      <c r="AVT30" s="4"/>
      <c r="AVU30" s="4"/>
      <c r="AVV30" s="4"/>
      <c r="AVW30" s="4"/>
      <c r="AVX30" s="4"/>
      <c r="AVY30" s="4"/>
      <c r="AVZ30" s="4"/>
      <c r="AWA30" s="4"/>
      <c r="AWB30" s="4"/>
      <c r="AWC30" s="4"/>
      <c r="AWD30" s="4"/>
      <c r="AWE30" s="4"/>
      <c r="AWF30" s="4"/>
      <c r="AWG30" s="4"/>
      <c r="AWH30" s="4"/>
      <c r="AWI30" s="4"/>
      <c r="AWJ30" s="4"/>
      <c r="AWK30" s="4"/>
      <c r="AWL30" s="4"/>
      <c r="AWM30" s="4"/>
      <c r="AWN30" s="4"/>
      <c r="AWO30" s="4"/>
      <c r="AWP30" s="4"/>
      <c r="AWQ30" s="4"/>
      <c r="AWR30" s="4"/>
      <c r="AWS30" s="4"/>
      <c r="AWT30" s="4"/>
      <c r="AWU30" s="4"/>
      <c r="AWV30" s="4"/>
      <c r="AWW30" s="4"/>
      <c r="AWX30" s="4"/>
      <c r="AWY30" s="4"/>
      <c r="AWZ30" s="4"/>
      <c r="AXA30" s="4"/>
      <c r="AXB30" s="4"/>
      <c r="AXC30" s="4"/>
      <c r="AXD30" s="4"/>
      <c r="AXE30" s="4"/>
      <c r="AXF30" s="4"/>
      <c r="AXG30" s="4"/>
      <c r="AXH30" s="4"/>
      <c r="AXI30" s="4"/>
      <c r="AXJ30" s="4"/>
      <c r="AXK30" s="4"/>
      <c r="AXL30" s="4"/>
      <c r="AXM30" s="4"/>
      <c r="AXN30" s="4"/>
      <c r="AXO30" s="4"/>
      <c r="AXP30" s="4"/>
      <c r="AXQ30" s="4"/>
      <c r="AXR30" s="4"/>
      <c r="AXS30" s="4"/>
      <c r="AXT30" s="4"/>
      <c r="AXU30" s="4"/>
      <c r="AXV30" s="4"/>
      <c r="AXW30" s="4"/>
      <c r="AXX30" s="4"/>
      <c r="AXY30" s="4"/>
      <c r="AXZ30" s="4"/>
      <c r="AYA30" s="4"/>
      <c r="AYB30" s="4"/>
      <c r="AYC30" s="4"/>
      <c r="AYD30" s="4"/>
      <c r="AYE30" s="4"/>
      <c r="AYF30" s="4"/>
      <c r="AYG30" s="4"/>
      <c r="AYH30" s="4"/>
      <c r="AYI30" s="4"/>
      <c r="AYJ30" s="4"/>
      <c r="AYK30" s="4"/>
      <c r="AYL30" s="4"/>
      <c r="AYM30" s="4"/>
      <c r="AYN30" s="4"/>
      <c r="AYO30" s="4"/>
      <c r="AYP30" s="4"/>
      <c r="AYQ30" s="4"/>
      <c r="AYR30" s="4"/>
      <c r="AYS30" s="4"/>
      <c r="AYT30" s="4"/>
      <c r="AYU30" s="4"/>
      <c r="AYV30" s="4"/>
      <c r="AYW30" s="4"/>
      <c r="AYX30" s="4"/>
      <c r="AYY30" s="4"/>
      <c r="AYZ30" s="4"/>
      <c r="AZA30" s="4"/>
      <c r="AZB30" s="4"/>
      <c r="AZC30" s="4"/>
      <c r="AZD30" s="4"/>
      <c r="AZE30" s="4"/>
      <c r="AZF30" s="4"/>
      <c r="AZG30" s="4"/>
      <c r="AZH30" s="4"/>
      <c r="AZI30" s="4"/>
      <c r="AZJ30" s="4"/>
      <c r="AZK30" s="4"/>
      <c r="AZL30" s="4"/>
      <c r="AZM30" s="4"/>
      <c r="AZN30" s="4"/>
      <c r="AZO30" s="4"/>
      <c r="AZP30" s="4"/>
      <c r="AZQ30" s="4"/>
      <c r="AZR30" s="4"/>
      <c r="AZS30" s="4"/>
      <c r="AZT30" s="4"/>
      <c r="AZU30" s="4"/>
      <c r="AZV30" s="4"/>
      <c r="AZW30" s="4"/>
      <c r="AZX30" s="4"/>
      <c r="AZY30" s="4"/>
      <c r="AZZ30" s="4"/>
      <c r="BAA30" s="4"/>
      <c r="BAB30" s="4"/>
      <c r="BAC30" s="4"/>
      <c r="BAD30" s="4"/>
      <c r="BAE30" s="4"/>
      <c r="BAF30" s="4"/>
      <c r="BAG30" s="4"/>
      <c r="BAH30" s="4"/>
      <c r="BAI30" s="4"/>
      <c r="BAJ30" s="4"/>
      <c r="BAK30" s="4"/>
      <c r="BAL30" s="4"/>
      <c r="BAM30" s="4"/>
      <c r="BAN30" s="4"/>
      <c r="BAO30" s="4"/>
      <c r="BAP30" s="4"/>
      <c r="BAQ30" s="4"/>
      <c r="BAR30" s="4"/>
      <c r="BAS30" s="4"/>
      <c r="BAT30" s="4"/>
      <c r="BAU30" s="4"/>
      <c r="BAV30" s="4"/>
      <c r="BAW30" s="4"/>
      <c r="BAX30" s="4"/>
      <c r="BAY30" s="4"/>
      <c r="BAZ30" s="4"/>
      <c r="BBA30" s="4"/>
      <c r="BBB30" s="4"/>
      <c r="BBC30" s="4"/>
      <c r="BBD30" s="4"/>
      <c r="BBE30" s="4"/>
      <c r="BBF30" s="4"/>
      <c r="BBG30" s="4"/>
      <c r="BBH30" s="4"/>
      <c r="BBI30" s="4"/>
      <c r="BBJ30" s="4"/>
      <c r="BBK30" s="4"/>
      <c r="BBL30" s="4"/>
      <c r="BBM30" s="4"/>
      <c r="BBN30" s="4"/>
      <c r="BBO30" s="4"/>
      <c r="BBP30" s="4"/>
      <c r="BBQ30" s="4"/>
      <c r="BBR30" s="4"/>
      <c r="BBS30" s="4"/>
      <c r="BBT30" s="4"/>
      <c r="BBU30" s="4"/>
      <c r="BBV30" s="4"/>
      <c r="BBW30" s="4"/>
      <c r="BBX30" s="4"/>
      <c r="BBY30" s="4"/>
      <c r="BBZ30" s="4"/>
      <c r="BCA30" s="4"/>
      <c r="BCB30" s="4"/>
      <c r="BCC30" s="4"/>
      <c r="BCD30" s="4"/>
      <c r="BCE30" s="4"/>
      <c r="BCF30" s="4"/>
      <c r="BCG30" s="4"/>
      <c r="BCH30" s="4"/>
      <c r="BCI30" s="4"/>
      <c r="BCJ30" s="4"/>
      <c r="BCK30" s="4"/>
      <c r="BCL30" s="4"/>
      <c r="BCM30" s="4"/>
      <c r="BCN30" s="4"/>
      <c r="BCO30" s="4"/>
      <c r="BCP30" s="4"/>
      <c r="BCQ30" s="4"/>
      <c r="BCR30" s="4"/>
      <c r="BCS30" s="4"/>
      <c r="BCT30" s="4"/>
      <c r="BCU30" s="4"/>
      <c r="BCV30" s="4"/>
      <c r="BCW30" s="4"/>
      <c r="BCX30" s="4"/>
      <c r="BCY30" s="4"/>
      <c r="BCZ30" s="4"/>
      <c r="BDA30" s="4"/>
      <c r="BDB30" s="4"/>
      <c r="BDC30" s="4"/>
      <c r="BDD30" s="4"/>
      <c r="BDE30" s="4"/>
      <c r="BDF30" s="4"/>
      <c r="BDG30" s="4"/>
      <c r="BDH30" s="4"/>
      <c r="BDI30" s="4"/>
      <c r="BDJ30" s="4"/>
      <c r="BDK30" s="4"/>
      <c r="BDL30" s="4"/>
      <c r="BDM30" s="4"/>
      <c r="BDN30" s="4"/>
      <c r="BDO30" s="4"/>
      <c r="BDP30" s="4"/>
      <c r="BDQ30" s="4"/>
      <c r="BDR30" s="4"/>
      <c r="BDS30" s="4"/>
      <c r="BDT30" s="4"/>
      <c r="BDU30" s="4"/>
      <c r="BDV30" s="4"/>
      <c r="BDW30" s="4"/>
      <c r="BDX30" s="4"/>
      <c r="BDY30" s="4"/>
      <c r="BDZ30" s="4"/>
      <c r="BEA30" s="4"/>
      <c r="BEB30" s="4"/>
      <c r="BEC30" s="4"/>
      <c r="BED30" s="4"/>
      <c r="BEE30" s="4"/>
      <c r="BEF30" s="4"/>
      <c r="BEG30" s="4"/>
      <c r="BEH30" s="4"/>
      <c r="BEI30" s="4"/>
      <c r="BEJ30" s="4"/>
      <c r="BEK30" s="4"/>
      <c r="BEL30" s="4"/>
      <c r="BEM30" s="4"/>
      <c r="BEN30" s="4"/>
      <c r="BEO30" s="4"/>
      <c r="BEP30" s="4"/>
      <c r="BEQ30" s="4"/>
      <c r="BER30" s="4"/>
      <c r="BES30" s="4"/>
      <c r="BET30" s="4"/>
      <c r="BEU30" s="4"/>
      <c r="BEV30" s="4"/>
      <c r="BEW30" s="4"/>
      <c r="BEX30" s="4"/>
      <c r="BEY30" s="4"/>
      <c r="BEZ30" s="4"/>
      <c r="BFA30" s="4"/>
      <c r="BFB30" s="4"/>
      <c r="BFC30" s="4"/>
      <c r="BFD30" s="4"/>
      <c r="BFE30" s="4"/>
      <c r="BFF30" s="4"/>
      <c r="BFG30" s="4"/>
      <c r="BFH30" s="4"/>
      <c r="BFI30" s="4"/>
      <c r="BFJ30" s="4"/>
      <c r="BFK30" s="4"/>
      <c r="BFL30" s="4"/>
      <c r="BFM30" s="4"/>
      <c r="BFN30" s="4"/>
      <c r="BFO30" s="4"/>
      <c r="BFP30" s="4"/>
      <c r="BFQ30" s="4"/>
      <c r="BFR30" s="4"/>
      <c r="BFS30" s="4"/>
      <c r="BFT30" s="4"/>
      <c r="BFU30" s="4"/>
      <c r="BFV30" s="4"/>
      <c r="BFW30" s="4"/>
      <c r="BFX30" s="4"/>
      <c r="BFY30" s="4"/>
      <c r="BFZ30" s="4"/>
      <c r="BGA30" s="4"/>
      <c r="BGB30" s="4"/>
      <c r="BGC30" s="4"/>
      <c r="BGD30" s="4"/>
      <c r="BGE30" s="4"/>
      <c r="BGF30" s="4"/>
      <c r="BGG30" s="4"/>
      <c r="BGH30" s="4"/>
      <c r="BGI30" s="4"/>
      <c r="BGJ30" s="4"/>
      <c r="BGK30" s="4"/>
      <c r="BGL30" s="4"/>
      <c r="BGM30" s="4"/>
      <c r="BGN30" s="4"/>
      <c r="BGO30" s="4"/>
      <c r="BGP30" s="4"/>
      <c r="BGQ30" s="4"/>
      <c r="BGR30" s="4"/>
      <c r="BGS30" s="4"/>
      <c r="BGT30" s="4"/>
      <c r="BGU30" s="4"/>
      <c r="BGV30" s="4"/>
      <c r="BGW30" s="4"/>
      <c r="BGX30" s="4"/>
      <c r="BGY30" s="4"/>
      <c r="BGZ30" s="4"/>
      <c r="BHA30" s="4"/>
      <c r="BHB30" s="4"/>
      <c r="BHC30" s="4"/>
      <c r="BHD30" s="4"/>
      <c r="BHE30" s="4"/>
      <c r="BHF30" s="4"/>
      <c r="BHG30" s="4"/>
      <c r="BHH30" s="4"/>
      <c r="BHI30" s="4"/>
      <c r="BHJ30" s="4"/>
      <c r="BHK30" s="4"/>
      <c r="BHL30" s="4"/>
      <c r="BHM30" s="4"/>
      <c r="BHN30" s="4"/>
      <c r="BHO30" s="4"/>
      <c r="BHP30" s="4"/>
      <c r="BHQ30" s="4"/>
      <c r="BHR30" s="4"/>
      <c r="BHS30" s="4"/>
      <c r="BHT30" s="4"/>
      <c r="BHU30" s="4"/>
      <c r="BHV30" s="4"/>
      <c r="BHW30" s="4"/>
      <c r="BHX30" s="4"/>
      <c r="BHY30" s="4"/>
      <c r="BHZ30" s="4"/>
      <c r="BIA30" s="4"/>
      <c r="BIB30" s="4"/>
      <c r="BIC30" s="4"/>
      <c r="BID30" s="4"/>
      <c r="BIE30" s="4"/>
      <c r="BIF30" s="4"/>
      <c r="BIG30" s="4"/>
      <c r="BIH30" s="4"/>
      <c r="BII30" s="4"/>
      <c r="BIJ30" s="4"/>
      <c r="BIK30" s="4"/>
      <c r="BIL30" s="4"/>
      <c r="BIM30" s="4"/>
      <c r="BIN30" s="4"/>
      <c r="BIO30" s="4"/>
      <c r="BIP30" s="4"/>
      <c r="BIQ30" s="4"/>
      <c r="BIR30" s="4"/>
      <c r="BIS30" s="4"/>
      <c r="BIT30" s="4"/>
      <c r="BIU30" s="4"/>
      <c r="BIV30" s="4"/>
      <c r="BIW30" s="4"/>
      <c r="BIX30" s="4"/>
      <c r="BIY30" s="4"/>
      <c r="BIZ30" s="4"/>
      <c r="BJA30" s="4"/>
      <c r="BJB30" s="4"/>
      <c r="BJC30" s="4"/>
      <c r="BJD30" s="4"/>
      <c r="BJE30" s="4"/>
      <c r="BJF30" s="4"/>
      <c r="BJG30" s="4"/>
      <c r="BJH30" s="4"/>
      <c r="BJI30" s="4"/>
      <c r="BJJ30" s="4"/>
      <c r="BJK30" s="4"/>
      <c r="BJL30" s="4"/>
      <c r="BJM30" s="4"/>
      <c r="BJN30" s="4"/>
      <c r="BJO30" s="4"/>
      <c r="BJP30" s="4"/>
      <c r="BJQ30" s="4"/>
      <c r="BJR30" s="4"/>
      <c r="BJS30" s="4"/>
      <c r="BJT30" s="4"/>
      <c r="BJU30" s="4"/>
      <c r="BJV30" s="4"/>
      <c r="BJW30" s="4"/>
      <c r="BJX30" s="4"/>
      <c r="BJY30" s="4"/>
      <c r="BJZ30" s="4"/>
      <c r="BKA30" s="4"/>
      <c r="BKB30" s="4"/>
      <c r="BKC30" s="4"/>
      <c r="BKD30" s="4"/>
      <c r="BKE30" s="4"/>
      <c r="BKF30" s="4"/>
      <c r="BKG30" s="4"/>
      <c r="BKH30" s="4"/>
      <c r="BKI30" s="4"/>
      <c r="BKJ30" s="4"/>
      <c r="BKK30" s="4"/>
      <c r="BKL30" s="4"/>
      <c r="BKM30" s="4"/>
      <c r="BKN30" s="4"/>
      <c r="BKO30" s="4"/>
      <c r="BKP30" s="4"/>
      <c r="BKQ30" s="4"/>
      <c r="BKR30" s="4"/>
      <c r="BKS30" s="4"/>
      <c r="BKT30" s="4"/>
      <c r="BKU30" s="4"/>
      <c r="BKV30" s="4"/>
      <c r="BKW30" s="4"/>
      <c r="BKX30" s="4"/>
      <c r="BKY30" s="4"/>
      <c r="BKZ30" s="4"/>
      <c r="BLA30" s="4"/>
      <c r="BLB30" s="4"/>
      <c r="BLC30" s="4"/>
      <c r="BLD30" s="4"/>
      <c r="BLE30" s="4"/>
      <c r="BLF30" s="4"/>
      <c r="BLG30" s="4"/>
      <c r="BLH30" s="4"/>
      <c r="BLI30" s="4"/>
      <c r="BLJ30" s="4"/>
      <c r="BLK30" s="4"/>
      <c r="BLL30" s="4"/>
      <c r="BLM30" s="4"/>
      <c r="BLN30" s="4"/>
      <c r="BLO30" s="4"/>
      <c r="BLP30" s="4"/>
      <c r="BLQ30" s="4"/>
      <c r="BLR30" s="4"/>
      <c r="BLS30" s="4"/>
      <c r="BLT30" s="4"/>
      <c r="BLU30" s="4"/>
      <c r="BLV30" s="4"/>
      <c r="BLW30" s="4"/>
      <c r="BLX30" s="4"/>
      <c r="BLY30" s="4"/>
      <c r="BLZ30" s="4"/>
      <c r="BMA30" s="4"/>
      <c r="BMB30" s="4"/>
      <c r="BMC30" s="4"/>
      <c r="BMD30" s="4"/>
      <c r="BME30" s="4"/>
      <c r="BMF30" s="4"/>
      <c r="BMG30" s="4"/>
      <c r="BMH30" s="4"/>
      <c r="BMI30" s="4"/>
      <c r="BMJ30" s="4"/>
      <c r="BMK30" s="4"/>
      <c r="BML30" s="4"/>
      <c r="BMM30" s="4"/>
      <c r="BMN30" s="4"/>
      <c r="BMO30" s="4"/>
      <c r="BMP30" s="4"/>
      <c r="BMQ30" s="4"/>
      <c r="BMR30" s="4"/>
      <c r="BMS30" s="4"/>
      <c r="BMT30" s="4"/>
      <c r="BMU30" s="4"/>
      <c r="BMV30" s="4"/>
      <c r="BMW30" s="4"/>
      <c r="BMX30" s="4"/>
      <c r="BMY30" s="4"/>
      <c r="BMZ30" s="4"/>
      <c r="BNA30" s="4"/>
      <c r="BNB30" s="4"/>
      <c r="BNC30" s="4"/>
      <c r="BND30" s="4"/>
      <c r="BNE30" s="4"/>
      <c r="BNF30" s="4"/>
      <c r="BNG30" s="4"/>
      <c r="BNH30" s="4"/>
      <c r="BNI30" s="4"/>
      <c r="BNJ30" s="4"/>
      <c r="BNK30" s="4"/>
      <c r="BNL30" s="4"/>
      <c r="BNM30" s="4"/>
      <c r="BNN30" s="4"/>
      <c r="BNO30" s="4"/>
      <c r="BNP30" s="4"/>
      <c r="BNQ30" s="4"/>
      <c r="BNR30" s="4"/>
      <c r="BNS30" s="4"/>
      <c r="BNT30" s="4"/>
      <c r="BNU30" s="4"/>
      <c r="BNV30" s="4"/>
      <c r="BNW30" s="4"/>
      <c r="BNX30" s="4"/>
      <c r="BNY30" s="4"/>
      <c r="BNZ30" s="4"/>
      <c r="BOA30" s="4"/>
      <c r="BOB30" s="4"/>
      <c r="BOC30" s="4"/>
      <c r="BOD30" s="4"/>
      <c r="BOE30" s="4"/>
      <c r="BOF30" s="4"/>
      <c r="BOG30" s="4"/>
      <c r="BOH30" s="4"/>
      <c r="BOI30" s="4"/>
      <c r="BOJ30" s="4"/>
      <c r="BOK30" s="4"/>
      <c r="BOL30" s="4"/>
      <c r="BOM30" s="4"/>
      <c r="BON30" s="4"/>
      <c r="BOO30" s="4"/>
      <c r="BOP30" s="4"/>
      <c r="BOQ30" s="4"/>
      <c r="BOR30" s="4"/>
      <c r="BOS30" s="4"/>
      <c r="BOT30" s="4"/>
      <c r="BOU30" s="4"/>
      <c r="BOV30" s="4"/>
      <c r="BOW30" s="4"/>
      <c r="BOX30" s="4"/>
      <c r="BOY30" s="4"/>
      <c r="BOZ30" s="4"/>
      <c r="BPA30" s="4"/>
      <c r="BPB30" s="4"/>
      <c r="BPC30" s="66"/>
    </row>
    <row r="31" s="4" customFormat="1" ht="60" customHeight="1" spans="1:1024 1025:1771">
      <c r="A31" s="355" t="s">
        <v>118</v>
      </c>
      <c r="B31" s="356" t="s">
        <v>119</v>
      </c>
      <c r="C31" s="356" t="s">
        <v>120</v>
      </c>
      <c r="D31" s="356" t="s">
        <v>121</v>
      </c>
      <c r="E31" s="356"/>
      <c r="F31" s="356"/>
      <c r="G31" s="356"/>
      <c r="H31" s="357">
        <f t="shared" si="1"/>
        <v>46161</v>
      </c>
      <c r="I31" s="365" t="s">
        <v>8</v>
      </c>
      <c r="J31" s="336" t="s">
        <v>122</v>
      </c>
      <c r="K31" s="5" t="s">
        <v>123</v>
      </c>
      <c r="L31" s="5" t="s">
        <v>43</v>
      </c>
    </row>
    <row r="32" s="4" customFormat="1" ht="60" customHeight="1" spans="1:1024 1025:1771">
      <c r="A32" s="359" t="s">
        <v>124</v>
      </c>
      <c r="B32" s="366" t="s">
        <v>125</v>
      </c>
      <c r="C32" s="366" t="s">
        <v>126</v>
      </c>
      <c r="D32" s="356" t="s">
        <v>127</v>
      </c>
      <c r="E32" s="356"/>
      <c r="F32" s="356"/>
      <c r="G32" s="360"/>
      <c r="H32" s="357">
        <f t="shared" si="1"/>
        <v>46161</v>
      </c>
      <c r="I32" s="364" t="s">
        <v>8</v>
      </c>
      <c r="J32" s="336" t="s">
        <v>128</v>
      </c>
      <c r="K32" s="5" t="s">
        <v>129</v>
      </c>
      <c r="L32" s="5" t="s">
        <v>43</v>
      </c>
    </row>
    <row r="33" s="4" customFormat="1" ht="60" customHeight="1" spans="1:12">
      <c r="A33" s="359" t="s">
        <v>130</v>
      </c>
      <c r="B33" s="366" t="s">
        <v>131</v>
      </c>
      <c r="C33" s="366" t="s">
        <v>132</v>
      </c>
      <c r="D33" s="356" t="s">
        <v>133</v>
      </c>
      <c r="E33" s="356"/>
      <c r="F33" s="356"/>
      <c r="G33" s="360"/>
      <c r="H33" s="357">
        <f t="shared" si="1"/>
        <v>46161</v>
      </c>
      <c r="I33" s="364" t="s">
        <v>8</v>
      </c>
      <c r="J33" s="336" t="s">
        <v>134</v>
      </c>
      <c r="K33" s="5" t="s">
        <v>135</v>
      </c>
      <c r="L33" s="5" t="s">
        <v>43</v>
      </c>
    </row>
    <row r="34" s="4" customFormat="1" ht="60" customHeight="1" spans="1:12">
      <c r="A34" s="359" t="s">
        <v>136</v>
      </c>
      <c r="B34" s="366" t="s">
        <v>137</v>
      </c>
      <c r="C34" s="366" t="s">
        <v>138</v>
      </c>
      <c r="D34" s="356" t="s">
        <v>139</v>
      </c>
      <c r="E34" s="356"/>
      <c r="F34" s="356"/>
      <c r="G34" s="360"/>
      <c r="H34" s="357">
        <f t="shared" si="1"/>
        <v>46161</v>
      </c>
      <c r="I34" s="367" t="s">
        <v>8</v>
      </c>
      <c r="J34" s="360" t="s">
        <v>140</v>
      </c>
      <c r="K34" s="5" t="s">
        <v>141</v>
      </c>
      <c r="L34" s="5" t="s">
        <v>43</v>
      </c>
    </row>
    <row r="35" s="4" customFormat="1" ht="60" customHeight="1" spans="1:12">
      <c r="A35" s="359" t="s">
        <v>142</v>
      </c>
      <c r="B35" s="366" t="s">
        <v>143</v>
      </c>
      <c r="C35" s="366" t="s">
        <v>144</v>
      </c>
      <c r="D35" s="356" t="s">
        <v>145</v>
      </c>
      <c r="E35" s="356"/>
      <c r="F35" s="356"/>
      <c r="G35" s="368"/>
      <c r="H35" s="357">
        <f t="shared" si="1"/>
        <v>46161</v>
      </c>
      <c r="I35" s="367" t="s">
        <v>8</v>
      </c>
      <c r="J35" s="369" t="s">
        <v>146</v>
      </c>
      <c r="K35" s="5" t="s">
        <v>147</v>
      </c>
      <c r="L35" s="5" t="s">
        <v>43</v>
      </c>
    </row>
    <row r="36" s="4" customFormat="1" ht="60" customHeight="1" spans="1:12">
      <c r="A36" s="359" t="s">
        <v>148</v>
      </c>
      <c r="B36" s="366" t="s">
        <v>149</v>
      </c>
      <c r="C36" s="366" t="s">
        <v>150</v>
      </c>
      <c r="D36" s="356" t="s">
        <v>151</v>
      </c>
      <c r="E36" s="356"/>
      <c r="F36" s="356"/>
      <c r="G36" s="368"/>
      <c r="H36" s="357">
        <f t="shared" si="1"/>
        <v>46161</v>
      </c>
      <c r="I36" s="367" t="s">
        <v>8</v>
      </c>
      <c r="J36" s="360" t="s">
        <v>140</v>
      </c>
      <c r="K36" s="5" t="s">
        <v>152</v>
      </c>
      <c r="L36" s="5" t="s">
        <v>43</v>
      </c>
    </row>
    <row r="37" s="4" customFormat="1" ht="60" customHeight="1" spans="1:12">
      <c r="A37" s="359" t="s">
        <v>153</v>
      </c>
      <c r="B37" s="366" t="s">
        <v>154</v>
      </c>
      <c r="C37" s="366" t="s">
        <v>155</v>
      </c>
      <c r="D37" s="356" t="s">
        <v>156</v>
      </c>
      <c r="E37" s="356"/>
      <c r="F37" s="356"/>
      <c r="G37" s="370"/>
      <c r="H37" s="357">
        <f t="shared" si="1"/>
        <v>46161</v>
      </c>
      <c r="I37" s="367" t="s">
        <v>8</v>
      </c>
      <c r="J37" s="336" t="s">
        <v>157</v>
      </c>
      <c r="K37" s="5" t="s">
        <v>158</v>
      </c>
      <c r="L37" s="5" t="s">
        <v>43</v>
      </c>
    </row>
    <row r="38" s="4" customFormat="1" ht="60" customHeight="1" spans="1:12">
      <c r="A38" s="359" t="s">
        <v>159</v>
      </c>
      <c r="B38" s="366" t="s">
        <v>160</v>
      </c>
      <c r="C38" s="366" t="s">
        <v>161</v>
      </c>
      <c r="D38" s="356" t="s">
        <v>162</v>
      </c>
      <c r="E38" s="356"/>
      <c r="F38" s="356"/>
      <c r="G38" s="368"/>
      <c r="H38" s="357">
        <f t="shared" si="1"/>
        <v>46161</v>
      </c>
      <c r="I38" s="367" t="s">
        <v>8</v>
      </c>
      <c r="J38" s="360" t="s">
        <v>163</v>
      </c>
      <c r="K38" s="5" t="s">
        <v>164</v>
      </c>
      <c r="L38" s="5" t="s">
        <v>43</v>
      </c>
    </row>
    <row r="39" s="4" customFormat="1" ht="60" customHeight="1" spans="1:12">
      <c r="A39" s="359" t="s">
        <v>165</v>
      </c>
      <c r="B39" s="366" t="s">
        <v>166</v>
      </c>
      <c r="C39" s="366" t="s">
        <v>167</v>
      </c>
      <c r="D39" s="356" t="s">
        <v>168</v>
      </c>
      <c r="E39" s="356"/>
      <c r="F39" s="356"/>
      <c r="G39" s="368"/>
      <c r="H39" s="357">
        <f t="shared" si="1"/>
        <v>46161</v>
      </c>
      <c r="I39" s="367" t="s">
        <v>8</v>
      </c>
      <c r="J39" s="360" t="s">
        <v>105</v>
      </c>
      <c r="K39" s="5" t="s">
        <v>169</v>
      </c>
      <c r="L39" s="5" t="s">
        <v>43</v>
      </c>
    </row>
    <row r="40" s="4" customFormat="1" ht="60" customHeight="1" spans="1:12">
      <c r="A40" s="359" t="s">
        <v>170</v>
      </c>
      <c r="B40" s="366" t="s">
        <v>171</v>
      </c>
      <c r="C40" s="366" t="s">
        <v>172</v>
      </c>
      <c r="D40" s="356" t="s">
        <v>173</v>
      </c>
      <c r="E40" s="356"/>
      <c r="F40" s="356"/>
      <c r="G40" s="368"/>
      <c r="H40" s="357">
        <f t="shared" si="1"/>
        <v>46161</v>
      </c>
      <c r="I40" s="367" t="s">
        <v>8</v>
      </c>
      <c r="J40" s="360" t="s">
        <v>105</v>
      </c>
      <c r="K40" s="5" t="s">
        <v>174</v>
      </c>
      <c r="L40" s="5" t="s">
        <v>43</v>
      </c>
    </row>
    <row r="41" s="4" customFormat="1" ht="60" customHeight="1" spans="1:12">
      <c r="A41" s="359" t="s">
        <v>175</v>
      </c>
      <c r="B41" s="366" t="s">
        <v>176</v>
      </c>
      <c r="C41" s="366" t="s">
        <v>177</v>
      </c>
      <c r="D41" s="356" t="s">
        <v>178</v>
      </c>
      <c r="E41" s="356"/>
      <c r="F41" s="356"/>
      <c r="G41" s="368"/>
      <c r="H41" s="357">
        <f t="shared" si="1"/>
        <v>46161</v>
      </c>
      <c r="I41" s="367" t="s">
        <v>8</v>
      </c>
      <c r="J41" s="371" t="s">
        <v>179</v>
      </c>
      <c r="K41" s="5" t="s">
        <v>180</v>
      </c>
      <c r="L41" s="5" t="s">
        <v>43</v>
      </c>
    </row>
    <row r="42" s="4" customFormat="1" ht="60" customHeight="1" spans="1:12">
      <c r="A42" s="359" t="s">
        <v>181</v>
      </c>
      <c r="B42" s="366" t="s">
        <v>182</v>
      </c>
      <c r="C42" s="366" t="s">
        <v>183</v>
      </c>
      <c r="D42" s="356" t="s">
        <v>184</v>
      </c>
      <c r="E42" s="356"/>
      <c r="F42" s="356"/>
      <c r="G42" s="368"/>
      <c r="H42" s="357">
        <f t="shared" si="1"/>
        <v>46161</v>
      </c>
      <c r="I42" s="367" t="s">
        <v>8</v>
      </c>
      <c r="J42" s="371" t="s">
        <v>185</v>
      </c>
      <c r="K42" s="5" t="s">
        <v>186</v>
      </c>
      <c r="L42" s="5" t="s">
        <v>43</v>
      </c>
    </row>
    <row r="43" s="4" customFormat="1" ht="24" customHeight="1" spans="1:12">
      <c r="A43" s="362" t="s">
        <v>187</v>
      </c>
      <c r="B43" s="363"/>
      <c r="C43" s="363"/>
      <c r="D43" s="363"/>
      <c r="E43" s="363"/>
      <c r="F43" s="363"/>
      <c r="G43" s="363"/>
      <c r="H43" s="363"/>
      <c r="I43" s="363"/>
      <c r="J43" s="363"/>
      <c r="K43" s="363"/>
      <c r="L43" s="257"/>
    </row>
    <row r="44" s="4" customFormat="1" ht="60" customHeight="1" spans="1:12">
      <c r="A44" s="359" t="s">
        <v>188</v>
      </c>
      <c r="B44" s="366" t="s">
        <v>189</v>
      </c>
      <c r="C44" s="366" t="s">
        <v>190</v>
      </c>
      <c r="D44" s="356" t="s">
        <v>191</v>
      </c>
      <c r="E44" s="356"/>
      <c r="F44" s="356"/>
      <c r="G44" s="368"/>
      <c r="H44" s="372">
        <f>DATEVALUE("05/31/2026")</f>
        <v>46173</v>
      </c>
      <c r="I44" s="367" t="s">
        <v>8</v>
      </c>
      <c r="J44" s="370"/>
      <c r="K44" s="5" t="s">
        <v>192</v>
      </c>
      <c r="L44" s="5" t="s">
        <v>43</v>
      </c>
    </row>
    <row r="45" s="4" customFormat="1" ht="60" customHeight="1" spans="1:12">
      <c r="A45" s="359" t="s">
        <v>193</v>
      </c>
      <c r="B45" s="366" t="s">
        <v>194</v>
      </c>
      <c r="C45" s="366" t="s">
        <v>195</v>
      </c>
      <c r="D45" s="356" t="s">
        <v>196</v>
      </c>
      <c r="E45" s="356"/>
      <c r="F45" s="356"/>
      <c r="G45" s="368"/>
      <c r="H45" s="372">
        <f t="shared" ref="H45:H58" si="2">DATEVALUE("05/31/2026")</f>
        <v>46173</v>
      </c>
      <c r="I45" s="367" t="s">
        <v>8</v>
      </c>
      <c r="J45" s="370"/>
      <c r="K45" s="5" t="s">
        <v>197</v>
      </c>
      <c r="L45" s="5" t="s">
        <v>43</v>
      </c>
    </row>
    <row r="46" s="4" customFormat="1" ht="60" customHeight="1" spans="1:12">
      <c r="A46" s="359" t="s">
        <v>198</v>
      </c>
      <c r="B46" s="366" t="s">
        <v>199</v>
      </c>
      <c r="C46" s="366" t="s">
        <v>200</v>
      </c>
      <c r="D46" s="356" t="s">
        <v>201</v>
      </c>
      <c r="E46" s="356"/>
      <c r="F46" s="356"/>
      <c r="G46" s="368"/>
      <c r="H46" s="372">
        <f t="shared" si="2"/>
        <v>46173</v>
      </c>
      <c r="I46" s="367" t="s">
        <v>8</v>
      </c>
      <c r="J46" s="370"/>
      <c r="K46" s="5" t="s">
        <v>202</v>
      </c>
      <c r="L46" s="5" t="s">
        <v>43</v>
      </c>
    </row>
    <row r="47" s="4" customFormat="1" ht="60" customHeight="1" spans="1:12">
      <c r="A47" s="355" t="s">
        <v>203</v>
      </c>
      <c r="B47" s="356" t="s">
        <v>204</v>
      </c>
      <c r="C47" s="356" t="s">
        <v>205</v>
      </c>
      <c r="D47" s="356" t="s">
        <v>206</v>
      </c>
      <c r="E47" s="356"/>
      <c r="F47" s="356"/>
      <c r="G47" s="356"/>
      <c r="H47" s="372">
        <f t="shared" si="2"/>
        <v>46173</v>
      </c>
      <c r="I47" s="367" t="s">
        <v>8</v>
      </c>
      <c r="J47" s="356"/>
      <c r="K47" s="5" t="s">
        <v>207</v>
      </c>
      <c r="L47" s="5" t="s">
        <v>43</v>
      </c>
    </row>
    <row r="48" s="4" customFormat="1" ht="60" customHeight="1" spans="1:12">
      <c r="A48" s="359" t="s">
        <v>208</v>
      </c>
      <c r="B48" s="366" t="s">
        <v>209</v>
      </c>
      <c r="C48" s="366" t="s">
        <v>210</v>
      </c>
      <c r="D48" s="356" t="s">
        <v>211</v>
      </c>
      <c r="E48" s="356"/>
      <c r="F48" s="356"/>
      <c r="G48" s="366"/>
      <c r="H48" s="372">
        <f t="shared" si="2"/>
        <v>46173</v>
      </c>
      <c r="I48" s="367" t="s">
        <v>8</v>
      </c>
      <c r="J48" s="373"/>
      <c r="K48" s="5" t="s">
        <v>212</v>
      </c>
      <c r="L48" s="5" t="s">
        <v>43</v>
      </c>
    </row>
    <row r="49" s="4" customFormat="1" ht="60" customHeight="1" spans="1:14">
      <c r="A49" s="359" t="s">
        <v>213</v>
      </c>
      <c r="B49" s="366" t="s">
        <v>214</v>
      </c>
      <c r="C49" s="366" t="s">
        <v>215</v>
      </c>
      <c r="D49" s="356" t="s">
        <v>216</v>
      </c>
      <c r="E49" s="356"/>
      <c r="F49" s="356"/>
      <c r="G49" s="366"/>
      <c r="H49" s="372">
        <f t="shared" si="2"/>
        <v>46173</v>
      </c>
      <c r="I49" s="82" t="s">
        <v>7</v>
      </c>
      <c r="J49" s="373"/>
      <c r="K49" s="5"/>
      <c r="L49" s="5" t="s">
        <v>43</v>
      </c>
    </row>
    <row r="50" s="4" customFormat="1" ht="60" customHeight="1" spans="1:14">
      <c r="A50" s="359" t="s">
        <v>217</v>
      </c>
      <c r="B50" s="366" t="s">
        <v>218</v>
      </c>
      <c r="C50" s="366" t="s">
        <v>219</v>
      </c>
      <c r="D50" s="356" t="s">
        <v>220</v>
      </c>
      <c r="E50" s="356"/>
      <c r="F50" s="356"/>
      <c r="G50" s="366"/>
      <c r="H50" s="372">
        <f t="shared" si="2"/>
        <v>46173</v>
      </c>
      <c r="I50" s="82" t="s">
        <v>7</v>
      </c>
      <c r="J50" s="373"/>
      <c r="K50" s="5"/>
      <c r="L50" s="5" t="s">
        <v>43</v>
      </c>
    </row>
    <row r="51" s="4" customFormat="1" ht="60" customHeight="1" spans="1:14">
      <c r="A51" s="359" t="s">
        <v>221</v>
      </c>
      <c r="B51" s="366" t="s">
        <v>222</v>
      </c>
      <c r="C51" s="366" t="s">
        <v>223</v>
      </c>
      <c r="D51" s="356" t="s">
        <v>224</v>
      </c>
      <c r="E51" s="356"/>
      <c r="F51" s="356"/>
      <c r="G51" s="368"/>
      <c r="H51" s="372">
        <f t="shared" si="2"/>
        <v>46173</v>
      </c>
      <c r="I51" s="367" t="s">
        <v>8</v>
      </c>
      <c r="J51" s="370"/>
      <c r="K51" s="5" t="s">
        <v>225</v>
      </c>
      <c r="L51" s="5" t="s">
        <v>43</v>
      </c>
    </row>
    <row r="52" s="335" customFormat="1" ht="60" customHeight="1" spans="1:14">
      <c r="A52" s="359" t="s">
        <v>226</v>
      </c>
      <c r="B52" s="366" t="s">
        <v>227</v>
      </c>
      <c r="C52" s="366" t="s">
        <v>228</v>
      </c>
      <c r="D52" s="356" t="s">
        <v>229</v>
      </c>
      <c r="E52" s="356"/>
      <c r="F52" s="356"/>
      <c r="G52" s="366"/>
      <c r="H52" s="372">
        <f t="shared" si="2"/>
        <v>46173</v>
      </c>
      <c r="I52" s="82" t="s">
        <v>7</v>
      </c>
      <c r="J52" s="373"/>
      <c r="K52" s="5"/>
      <c r="L52" s="5" t="s">
        <v>43</v>
      </c>
    </row>
    <row r="53" s="335" customFormat="1" ht="60" customHeight="1" spans="1:14">
      <c r="A53" s="359" t="s">
        <v>230</v>
      </c>
      <c r="B53" s="366" t="s">
        <v>231</v>
      </c>
      <c r="C53" s="366" t="s">
        <v>232</v>
      </c>
      <c r="D53" s="356" t="s">
        <v>233</v>
      </c>
      <c r="E53" s="356"/>
      <c r="F53" s="356"/>
      <c r="G53" s="366"/>
      <c r="H53" s="372">
        <f t="shared" si="2"/>
        <v>46173</v>
      </c>
      <c r="I53" s="374" t="s">
        <v>8</v>
      </c>
      <c r="J53" s="373"/>
      <c r="K53" s="5" t="s">
        <v>234</v>
      </c>
      <c r="L53" s="5" t="s">
        <v>43</v>
      </c>
    </row>
    <row r="54" s="335" customFormat="1" ht="60" customHeight="1" spans="1:14">
      <c r="A54" s="359" t="s">
        <v>235</v>
      </c>
      <c r="B54" s="366" t="s">
        <v>236</v>
      </c>
      <c r="C54" s="366" t="s">
        <v>237</v>
      </c>
      <c r="D54" s="356" t="s">
        <v>238</v>
      </c>
      <c r="E54" s="356"/>
      <c r="F54" s="356"/>
      <c r="G54" s="366"/>
      <c r="H54" s="372">
        <f t="shared" si="2"/>
        <v>46173</v>
      </c>
      <c r="I54" s="82" t="s">
        <v>7</v>
      </c>
      <c r="J54" s="373"/>
      <c r="K54" s="5"/>
      <c r="L54" s="5" t="s">
        <v>43</v>
      </c>
      <c r="M54" s="86"/>
      <c r="N54" s="86"/>
    </row>
    <row r="55" s="335" customFormat="1" ht="60" customHeight="1" spans="1:14">
      <c r="A55" s="359" t="s">
        <v>239</v>
      </c>
      <c r="B55" s="366" t="s">
        <v>240</v>
      </c>
      <c r="C55" s="366" t="s">
        <v>241</v>
      </c>
      <c r="D55" s="356" t="s">
        <v>242</v>
      </c>
      <c r="E55" s="356"/>
      <c r="F55" s="356"/>
      <c r="G55" s="366"/>
      <c r="H55" s="372">
        <f t="shared" si="2"/>
        <v>46173</v>
      </c>
      <c r="I55" s="82" t="s">
        <v>7</v>
      </c>
      <c r="J55" s="373"/>
      <c r="K55" s="5"/>
      <c r="L55" s="5" t="s">
        <v>43</v>
      </c>
    </row>
    <row r="56" s="4" customFormat="1" ht="60" customHeight="1" spans="1:14">
      <c r="A56" s="359" t="s">
        <v>243</v>
      </c>
      <c r="B56" s="366" t="s">
        <v>244</v>
      </c>
      <c r="C56" s="366" t="s">
        <v>245</v>
      </c>
      <c r="D56" s="356" t="s">
        <v>246</v>
      </c>
      <c r="E56" s="356"/>
      <c r="F56" s="356"/>
      <c r="G56" s="366"/>
      <c r="H56" s="372">
        <f t="shared" si="2"/>
        <v>46173</v>
      </c>
      <c r="I56" s="374" t="s">
        <v>8</v>
      </c>
      <c r="J56" s="373"/>
      <c r="K56" s="5" t="s">
        <v>247</v>
      </c>
      <c r="L56" s="5" t="s">
        <v>43</v>
      </c>
    </row>
    <row r="57" s="4" customFormat="1" ht="60" customHeight="1" spans="1:14">
      <c r="A57" s="359" t="s">
        <v>248</v>
      </c>
      <c r="B57" s="366" t="s">
        <v>249</v>
      </c>
      <c r="C57" s="366" t="s">
        <v>250</v>
      </c>
      <c r="D57" s="356" t="s">
        <v>251</v>
      </c>
      <c r="E57" s="356"/>
      <c r="F57" s="356"/>
      <c r="G57" s="366"/>
      <c r="H57" s="372">
        <f t="shared" si="2"/>
        <v>46173</v>
      </c>
      <c r="I57" s="374" t="s">
        <v>8</v>
      </c>
      <c r="J57" s="373"/>
      <c r="K57" s="5" t="s">
        <v>252</v>
      </c>
      <c r="L57" s="5" t="s">
        <v>43</v>
      </c>
    </row>
    <row r="58" s="335" customFormat="1" ht="60" customHeight="1" spans="1:14">
      <c r="A58" s="359" t="s">
        <v>253</v>
      </c>
      <c r="B58" s="366" t="s">
        <v>254</v>
      </c>
      <c r="C58" s="366" t="s">
        <v>255</v>
      </c>
      <c r="D58" s="356" t="s">
        <v>256</v>
      </c>
      <c r="E58" s="356"/>
      <c r="F58" s="356"/>
      <c r="G58" s="366"/>
      <c r="H58" s="372">
        <f t="shared" si="2"/>
        <v>46173</v>
      </c>
      <c r="I58" s="82" t="s">
        <v>7</v>
      </c>
      <c r="J58" s="373"/>
      <c r="K58" s="5" t="s">
        <v>252</v>
      </c>
      <c r="L58" s="5" t="s">
        <v>43</v>
      </c>
    </row>
    <row r="59" s="335" customFormat="1" ht="24" customHeight="1" spans="1:14">
      <c r="A59" s="362" t="s">
        <v>257</v>
      </c>
      <c r="B59" s="363"/>
      <c r="C59" s="363"/>
      <c r="D59" s="363"/>
      <c r="E59" s="363"/>
      <c r="F59" s="363"/>
      <c r="G59" s="363"/>
      <c r="H59" s="363"/>
      <c r="I59" s="363"/>
      <c r="J59" s="363"/>
      <c r="K59" s="363"/>
      <c r="L59" s="257"/>
    </row>
    <row r="60" s="335" customFormat="1" ht="60" customHeight="1" spans="1:14">
      <c r="A60" s="359" t="s">
        <v>258</v>
      </c>
      <c r="B60" s="366" t="s">
        <v>259</v>
      </c>
      <c r="C60" s="366" t="s">
        <v>260</v>
      </c>
      <c r="D60" s="356" t="s">
        <v>261</v>
      </c>
      <c r="E60" s="356"/>
      <c r="F60" s="356"/>
      <c r="G60" s="366"/>
      <c r="H60" s="375">
        <f>DATEVALUE("05/25/2026")</f>
        <v>46167</v>
      </c>
      <c r="I60" s="82" t="s">
        <v>7</v>
      </c>
      <c r="J60" s="373"/>
      <c r="K60" s="197"/>
      <c r="L60" s="5" t="s">
        <v>43</v>
      </c>
    </row>
    <row r="61" s="335" customFormat="1" ht="60" customHeight="1" spans="1:14">
      <c r="A61" s="359" t="s">
        <v>262</v>
      </c>
      <c r="B61" s="366" t="s">
        <v>263</v>
      </c>
      <c r="C61" s="366" t="s">
        <v>264</v>
      </c>
      <c r="D61" s="356" t="s">
        <v>265</v>
      </c>
      <c r="E61" s="356"/>
      <c r="F61" s="356"/>
      <c r="G61" s="366"/>
      <c r="H61" s="375">
        <f t="shared" ref="H61:H69" si="3">DATEVALUE("05/25/2026")</f>
        <v>46167</v>
      </c>
      <c r="I61" s="82" t="s">
        <v>7</v>
      </c>
      <c r="J61" s="373"/>
      <c r="K61" s="197"/>
      <c r="L61" s="5" t="s">
        <v>43</v>
      </c>
    </row>
    <row r="62" s="335" customFormat="1" ht="60" customHeight="1" spans="1:14">
      <c r="A62" s="359" t="s">
        <v>266</v>
      </c>
      <c r="B62" s="366" t="s">
        <v>267</v>
      </c>
      <c r="C62" s="366" t="s">
        <v>268</v>
      </c>
      <c r="D62" s="356" t="s">
        <v>269</v>
      </c>
      <c r="E62" s="356"/>
      <c r="F62" s="356"/>
      <c r="G62" s="366"/>
      <c r="H62" s="375">
        <f t="shared" si="3"/>
        <v>46167</v>
      </c>
      <c r="I62" s="82" t="s">
        <v>7</v>
      </c>
      <c r="J62" s="373"/>
      <c r="K62" s="197"/>
      <c r="L62" s="5" t="s">
        <v>43</v>
      </c>
    </row>
    <row r="63" s="335" customFormat="1" ht="60" customHeight="1" spans="1:14">
      <c r="A63" s="359" t="s">
        <v>270</v>
      </c>
      <c r="B63" s="366" t="s">
        <v>271</v>
      </c>
      <c r="C63" s="366" t="s">
        <v>272</v>
      </c>
      <c r="D63" s="356" t="s">
        <v>273</v>
      </c>
      <c r="E63" s="356"/>
      <c r="F63" s="356"/>
      <c r="G63" s="366"/>
      <c r="H63" s="375">
        <f t="shared" si="3"/>
        <v>46167</v>
      </c>
      <c r="I63" s="82" t="s">
        <v>7</v>
      </c>
      <c r="J63" s="366"/>
      <c r="K63" s="197"/>
      <c r="L63" s="5" t="s">
        <v>43</v>
      </c>
    </row>
    <row r="64" s="335" customFormat="1" ht="60" customHeight="1" spans="1:14">
      <c r="A64" s="359" t="s">
        <v>274</v>
      </c>
      <c r="B64" s="366" t="s">
        <v>275</v>
      </c>
      <c r="C64" s="366" t="s">
        <v>276</v>
      </c>
      <c r="D64" s="356" t="s">
        <v>277</v>
      </c>
      <c r="E64" s="356"/>
      <c r="F64" s="356"/>
      <c r="G64" s="366"/>
      <c r="H64" s="375">
        <f t="shared" si="3"/>
        <v>46167</v>
      </c>
      <c r="I64" s="82" t="s">
        <v>7</v>
      </c>
      <c r="J64" s="373"/>
      <c r="K64" s="197"/>
      <c r="L64" s="5" t="s">
        <v>43</v>
      </c>
    </row>
    <row r="65" s="4" customFormat="1" ht="60" customHeight="1" spans="1:12">
      <c r="A65" s="359" t="s">
        <v>278</v>
      </c>
      <c r="B65" s="366" t="s">
        <v>279</v>
      </c>
      <c r="C65" s="366" t="s">
        <v>280</v>
      </c>
      <c r="D65" s="356" t="s">
        <v>281</v>
      </c>
      <c r="E65" s="356"/>
      <c r="F65" s="356"/>
      <c r="G65" s="366"/>
      <c r="H65" s="375">
        <f t="shared" si="3"/>
        <v>46167</v>
      </c>
      <c r="I65" s="374" t="s">
        <v>8</v>
      </c>
      <c r="J65" s="373"/>
      <c r="K65" s="5" t="s">
        <v>282</v>
      </c>
      <c r="L65" s="5" t="s">
        <v>43</v>
      </c>
    </row>
    <row r="66" s="335" customFormat="1" ht="60" customHeight="1" spans="1:12">
      <c r="A66" s="359" t="s">
        <v>283</v>
      </c>
      <c r="B66" s="366" t="s">
        <v>284</v>
      </c>
      <c r="C66" s="366" t="s">
        <v>285</v>
      </c>
      <c r="D66" s="356" t="s">
        <v>286</v>
      </c>
      <c r="E66" s="356"/>
      <c r="F66" s="356"/>
      <c r="G66" s="366"/>
      <c r="H66" s="375">
        <f t="shared" si="3"/>
        <v>46167</v>
      </c>
      <c r="I66" s="374" t="s">
        <v>8</v>
      </c>
      <c r="J66" s="373"/>
      <c r="K66" s="5" t="s">
        <v>287</v>
      </c>
      <c r="L66" s="5" t="s">
        <v>43</v>
      </c>
    </row>
    <row r="67" s="4" customFormat="1" ht="60" customHeight="1" spans="1:12">
      <c r="A67" s="359" t="s">
        <v>288</v>
      </c>
      <c r="B67" s="366" t="s">
        <v>289</v>
      </c>
      <c r="C67" s="366" t="s">
        <v>290</v>
      </c>
      <c r="D67" s="356" t="s">
        <v>291</v>
      </c>
      <c r="E67" s="356"/>
      <c r="F67" s="356"/>
      <c r="G67" s="366"/>
      <c r="H67" s="375">
        <f t="shared" si="3"/>
        <v>46167</v>
      </c>
      <c r="I67" s="374" t="s">
        <v>8</v>
      </c>
      <c r="J67" s="373"/>
      <c r="K67" s="5" t="s">
        <v>292</v>
      </c>
      <c r="L67" s="5" t="s">
        <v>43</v>
      </c>
    </row>
    <row r="68" s="335" customFormat="1" ht="60" customHeight="1" spans="1:12">
      <c r="A68" s="359" t="s">
        <v>293</v>
      </c>
      <c r="B68" s="366" t="s">
        <v>294</v>
      </c>
      <c r="C68" s="366" t="s">
        <v>295</v>
      </c>
      <c r="D68" s="356" t="s">
        <v>296</v>
      </c>
      <c r="E68" s="356"/>
      <c r="F68" s="356"/>
      <c r="G68" s="366"/>
      <c r="H68" s="375">
        <f t="shared" si="3"/>
        <v>46167</v>
      </c>
      <c r="I68" s="374" t="s">
        <v>8</v>
      </c>
      <c r="J68" s="373"/>
      <c r="K68" s="5" t="s">
        <v>297</v>
      </c>
      <c r="L68" s="5" t="s">
        <v>43</v>
      </c>
    </row>
    <row r="69" s="335" customFormat="1" ht="60" customHeight="1" spans="1:12">
      <c r="A69" s="359" t="s">
        <v>298</v>
      </c>
      <c r="B69" s="366" t="s">
        <v>299</v>
      </c>
      <c r="C69" s="366" t="s">
        <v>300</v>
      </c>
      <c r="D69" s="356" t="s">
        <v>301</v>
      </c>
      <c r="E69" s="356"/>
      <c r="F69" s="356"/>
      <c r="G69" s="366"/>
      <c r="H69" s="375">
        <f t="shared" si="3"/>
        <v>46167</v>
      </c>
      <c r="I69" s="82" t="s">
        <v>7</v>
      </c>
      <c r="J69" s="373"/>
      <c r="K69" s="5" t="s">
        <v>302</v>
      </c>
      <c r="L69" s="5" t="s">
        <v>43</v>
      </c>
    </row>
    <row r="70" s="335" customFormat="1" ht="24" customHeight="1" spans="1:12">
      <c r="A70" s="362" t="s">
        <v>303</v>
      </c>
      <c r="B70" s="363"/>
      <c r="C70" s="363"/>
      <c r="D70" s="363"/>
      <c r="E70" s="363"/>
      <c r="F70" s="363"/>
      <c r="G70" s="363"/>
      <c r="H70" s="363"/>
      <c r="I70" s="363"/>
      <c r="J70" s="363"/>
      <c r="K70" s="363"/>
      <c r="L70" s="257"/>
    </row>
    <row r="71" s="4" customFormat="1" ht="60" customHeight="1" spans="1:12">
      <c r="A71" s="355" t="s">
        <v>304</v>
      </c>
      <c r="B71" s="356" t="s">
        <v>305</v>
      </c>
      <c r="C71" s="356" t="s">
        <v>306</v>
      </c>
      <c r="D71" s="356" t="s">
        <v>307</v>
      </c>
      <c r="E71" s="356"/>
      <c r="F71" s="356"/>
      <c r="G71" s="366"/>
      <c r="H71" s="375">
        <f>DATEVALUE("06/1/2026")</f>
        <v>46174</v>
      </c>
      <c r="I71" s="374" t="s">
        <v>8</v>
      </c>
      <c r="J71" s="373"/>
      <c r="K71" s="5" t="s">
        <v>308</v>
      </c>
      <c r="L71" s="5" t="s">
        <v>43</v>
      </c>
    </row>
    <row r="72" s="335" customFormat="1" ht="60" customHeight="1" spans="1:12">
      <c r="A72" s="355" t="s">
        <v>309</v>
      </c>
      <c r="B72" s="356" t="s">
        <v>310</v>
      </c>
      <c r="C72" s="356" t="s">
        <v>311</v>
      </c>
      <c r="D72" s="356" t="s">
        <v>312</v>
      </c>
      <c r="E72" s="356"/>
      <c r="F72" s="356"/>
      <c r="G72" s="366"/>
      <c r="H72" s="375">
        <f t="shared" ref="H72:H78" si="4">DATEVALUE("06/1/2026")</f>
        <v>46174</v>
      </c>
      <c r="I72" s="374" t="s">
        <v>8</v>
      </c>
      <c r="J72" s="373"/>
      <c r="K72" s="5" t="s">
        <v>313</v>
      </c>
      <c r="L72" s="5" t="s">
        <v>43</v>
      </c>
    </row>
    <row r="73" s="335" customFormat="1" ht="60" customHeight="1" spans="1:12">
      <c r="A73" s="355" t="s">
        <v>314</v>
      </c>
      <c r="B73" s="356" t="s">
        <v>315</v>
      </c>
      <c r="C73" s="356" t="s">
        <v>316</v>
      </c>
      <c r="D73" s="356" t="s">
        <v>317</v>
      </c>
      <c r="E73" s="356"/>
      <c r="F73" s="356"/>
      <c r="G73" s="366"/>
      <c r="H73" s="375">
        <f t="shared" si="4"/>
        <v>46174</v>
      </c>
      <c r="I73" s="82" t="s">
        <v>7</v>
      </c>
      <c r="J73" s="373"/>
      <c r="K73" s="197"/>
      <c r="L73" s="5" t="s">
        <v>43</v>
      </c>
    </row>
    <row r="74" s="335" customFormat="1" ht="60" customHeight="1" spans="1:12">
      <c r="A74" s="355" t="s">
        <v>318</v>
      </c>
      <c r="B74" s="356" t="s">
        <v>319</v>
      </c>
      <c r="C74" s="356" t="s">
        <v>320</v>
      </c>
      <c r="D74" s="356" t="s">
        <v>321</v>
      </c>
      <c r="E74" s="356"/>
      <c r="F74" s="356"/>
      <c r="G74" s="366"/>
      <c r="H74" s="375">
        <f t="shared" si="4"/>
        <v>46174</v>
      </c>
      <c r="I74" s="82" t="s">
        <v>7</v>
      </c>
      <c r="J74" s="373"/>
      <c r="K74" s="197"/>
      <c r="L74" s="5" t="s">
        <v>43</v>
      </c>
    </row>
    <row r="75" s="4" customFormat="1" ht="60" customHeight="1" spans="1:12">
      <c r="A75" s="355" t="s">
        <v>322</v>
      </c>
      <c r="B75" s="356" t="s">
        <v>323</v>
      </c>
      <c r="C75" s="356" t="s">
        <v>324</v>
      </c>
      <c r="D75" s="356" t="s">
        <v>325</v>
      </c>
      <c r="E75" s="356"/>
      <c r="F75" s="356"/>
      <c r="G75" s="355"/>
      <c r="H75" s="375">
        <f t="shared" si="4"/>
        <v>46174</v>
      </c>
      <c r="I75" s="374" t="s">
        <v>8</v>
      </c>
      <c r="J75" s="373"/>
      <c r="K75" s="5" t="s">
        <v>326</v>
      </c>
      <c r="L75" s="5" t="s">
        <v>43</v>
      </c>
    </row>
    <row r="76" s="4" customFormat="1" ht="60" customHeight="1" spans="1:12">
      <c r="A76" s="355" t="s">
        <v>327</v>
      </c>
      <c r="B76" s="356" t="s">
        <v>328</v>
      </c>
      <c r="C76" s="356" t="s">
        <v>329</v>
      </c>
      <c r="D76" s="356" t="s">
        <v>330</v>
      </c>
      <c r="E76" s="356"/>
      <c r="F76" s="356"/>
      <c r="G76" s="356"/>
      <c r="H76" s="375">
        <f t="shared" si="4"/>
        <v>46174</v>
      </c>
      <c r="I76" s="365" t="s">
        <v>8</v>
      </c>
      <c r="J76" s="356"/>
      <c r="K76" s="5" t="s">
        <v>331</v>
      </c>
      <c r="L76" s="5" t="s">
        <v>43</v>
      </c>
    </row>
    <row r="77" s="335" customFormat="1" ht="60" customHeight="1" spans="1:12">
      <c r="A77" s="355" t="s">
        <v>332</v>
      </c>
      <c r="B77" s="356" t="s">
        <v>333</v>
      </c>
      <c r="C77" s="356" t="s">
        <v>334</v>
      </c>
      <c r="D77" s="356" t="s">
        <v>335</v>
      </c>
      <c r="E77" s="356"/>
      <c r="F77" s="356"/>
      <c r="G77" s="356"/>
      <c r="H77" s="375">
        <f t="shared" si="4"/>
        <v>46174</v>
      </c>
      <c r="I77" s="365" t="s">
        <v>8</v>
      </c>
      <c r="J77" s="356"/>
      <c r="K77" s="5" t="s">
        <v>336</v>
      </c>
      <c r="L77" s="5" t="s">
        <v>43</v>
      </c>
    </row>
    <row r="78" s="335" customFormat="1" ht="60" customHeight="1" spans="1:12">
      <c r="A78" s="355" t="s">
        <v>337</v>
      </c>
      <c r="B78" s="356" t="s">
        <v>338</v>
      </c>
      <c r="C78" s="356" t="s">
        <v>339</v>
      </c>
      <c r="D78" s="356" t="s">
        <v>340</v>
      </c>
      <c r="E78" s="356"/>
      <c r="F78" s="356"/>
      <c r="G78" s="356"/>
      <c r="H78" s="375">
        <f t="shared" si="4"/>
        <v>46174</v>
      </c>
      <c r="I78" s="358" t="s">
        <v>7</v>
      </c>
      <c r="J78" s="356"/>
      <c r="K78" s="197"/>
      <c r="L78" s="5" t="s">
        <v>43</v>
      </c>
    </row>
    <row r="79" s="4" customFormat="1" ht="24" customHeight="1" spans="1:12">
      <c r="A79" s="376" t="s">
        <v>341</v>
      </c>
      <c r="B79" s="377"/>
      <c r="C79" s="377"/>
      <c r="D79" s="377"/>
      <c r="E79" s="377"/>
      <c r="F79" s="377"/>
      <c r="G79" s="377"/>
      <c r="H79" s="377"/>
      <c r="I79" s="377"/>
      <c r="J79" s="377"/>
      <c r="K79" s="377"/>
      <c r="L79" s="378"/>
    </row>
    <row r="80" s="335" customFormat="1" ht="60" customHeight="1" spans="1:12">
      <c r="A80" s="355" t="s">
        <v>342</v>
      </c>
      <c r="B80" s="356" t="s">
        <v>343</v>
      </c>
      <c r="C80" s="356" t="s">
        <v>344</v>
      </c>
      <c r="D80" s="356" t="s">
        <v>345</v>
      </c>
      <c r="E80" s="356"/>
      <c r="F80" s="356"/>
      <c r="G80" s="356"/>
      <c r="H80" s="375">
        <f>DATEVALUE("06/1/2026")</f>
        <v>46174</v>
      </c>
      <c r="I80" s="358" t="s">
        <v>7</v>
      </c>
      <c r="J80" s="356"/>
      <c r="K80" s="197"/>
      <c r="L80" s="5" t="s">
        <v>43</v>
      </c>
    </row>
    <row r="81" s="335" customFormat="1" ht="87.75" customHeight="1" spans="1:12">
      <c r="A81" s="355" t="s">
        <v>346</v>
      </c>
      <c r="B81" s="356" t="s">
        <v>347</v>
      </c>
      <c r="C81" s="356" t="s">
        <v>348</v>
      </c>
      <c r="D81" s="356" t="s">
        <v>349</v>
      </c>
      <c r="E81" s="356"/>
      <c r="F81" s="356"/>
      <c r="G81" s="356"/>
      <c r="H81" s="375">
        <f>DATEVALUE("06/1/2026")</f>
        <v>46174</v>
      </c>
      <c r="I81" s="358" t="s">
        <v>7</v>
      </c>
      <c r="J81" s="356"/>
      <c r="K81" s="197"/>
      <c r="L81" s="5" t="s">
        <v>43</v>
      </c>
    </row>
    <row r="82" s="4" customFormat="1" ht="60" customHeight="1" spans="1:12">
      <c r="A82" s="355" t="s">
        <v>350</v>
      </c>
      <c r="B82" s="356" t="s">
        <v>351</v>
      </c>
      <c r="C82" s="356" t="s">
        <v>352</v>
      </c>
      <c r="D82" s="356" t="s">
        <v>353</v>
      </c>
      <c r="E82" s="356"/>
      <c r="F82" s="356"/>
      <c r="G82" s="356"/>
      <c r="H82" s="375">
        <f>DATEVALUE("06/1/2026")</f>
        <v>46174</v>
      </c>
      <c r="I82" s="358" t="s">
        <v>8</v>
      </c>
      <c r="J82" s="356"/>
      <c r="K82" s="5"/>
      <c r="L82" s="5" t="s">
        <v>43</v>
      </c>
    </row>
    <row r="83" s="335" customFormat="1" ht="24" customHeight="1" spans="1:12">
      <c r="A83" s="376" t="s">
        <v>354</v>
      </c>
      <c r="B83" s="377"/>
      <c r="C83" s="377"/>
      <c r="D83" s="377"/>
      <c r="E83" s="377"/>
      <c r="F83" s="377"/>
      <c r="G83" s="377"/>
      <c r="H83" s="377"/>
      <c r="I83" s="377"/>
      <c r="J83" s="377"/>
      <c r="K83" s="377"/>
      <c r="L83" s="378"/>
    </row>
    <row r="84" s="335" customFormat="1" ht="65" customHeight="1" spans="1:12">
      <c r="A84" s="355" t="s">
        <v>355</v>
      </c>
      <c r="B84" s="356" t="s">
        <v>356</v>
      </c>
      <c r="C84" s="356" t="s">
        <v>357</v>
      </c>
      <c r="D84" s="356" t="s">
        <v>358</v>
      </c>
      <c r="E84" s="356"/>
      <c r="F84" s="356"/>
      <c r="G84" s="356"/>
      <c r="H84" s="375">
        <f>DATEVALUE("06/1/2026")</f>
        <v>46174</v>
      </c>
      <c r="I84" s="365" t="s">
        <v>8</v>
      </c>
      <c r="J84" s="356"/>
      <c r="K84" s="197" t="s">
        <v>359</v>
      </c>
      <c r="L84" s="5" t="s">
        <v>43</v>
      </c>
    </row>
    <row r="85" s="4" customFormat="1" ht="60" customHeight="1" spans="1:12">
      <c r="A85" s="355" t="s">
        <v>360</v>
      </c>
      <c r="B85" s="356" t="s">
        <v>361</v>
      </c>
      <c r="C85" s="356" t="s">
        <v>362</v>
      </c>
      <c r="D85" s="356" t="s">
        <v>363</v>
      </c>
      <c r="E85" s="356"/>
      <c r="F85" s="356"/>
      <c r="G85" s="356"/>
      <c r="H85" s="375">
        <f>DATEVALUE("06/1/2026")</f>
        <v>46174</v>
      </c>
      <c r="I85" s="365" t="s">
        <v>8</v>
      </c>
      <c r="J85" s="356"/>
      <c r="K85" s="197" t="s">
        <v>364</v>
      </c>
      <c r="L85" s="5" t="s">
        <v>43</v>
      </c>
    </row>
    <row r="86" s="335" customFormat="1" ht="60" customHeight="1" spans="1:12">
      <c r="A86" s="379" t="s">
        <v>365</v>
      </c>
      <c r="B86" s="356" t="s">
        <v>366</v>
      </c>
      <c r="C86" s="356" t="s">
        <v>367</v>
      </c>
      <c r="D86" s="380" t="s">
        <v>368</v>
      </c>
      <c r="E86" s="380"/>
      <c r="F86" s="380"/>
      <c r="G86" s="356"/>
      <c r="H86" s="375">
        <f>DATEVALUE("06/1/2026")</f>
        <v>46174</v>
      </c>
      <c r="I86" s="365" t="s">
        <v>8</v>
      </c>
      <c r="J86" s="356"/>
      <c r="K86" s="197" t="s">
        <v>369</v>
      </c>
      <c r="L86" s="5" t="s">
        <v>43</v>
      </c>
    </row>
    <row r="87" s="335" customFormat="1" ht="25" customHeight="1" spans="1:12">
      <c r="A87" s="381" t="s">
        <v>370</v>
      </c>
      <c r="B87" s="382"/>
      <c r="C87" s="382"/>
      <c r="D87" s="382"/>
      <c r="E87" s="382"/>
      <c r="F87" s="382"/>
      <c r="G87" s="382"/>
      <c r="H87" s="382"/>
      <c r="I87" s="382"/>
      <c r="J87" s="382"/>
      <c r="K87" s="382"/>
      <c r="L87" s="383"/>
    </row>
    <row r="88" s="335" customFormat="1" ht="85" customHeight="1" spans="1:12">
      <c r="A88" s="379" t="s">
        <v>371</v>
      </c>
      <c r="B88" s="384" t="s">
        <v>372</v>
      </c>
      <c r="C88" s="384" t="s">
        <v>373</v>
      </c>
      <c r="D88" s="384" t="s">
        <v>374</v>
      </c>
      <c r="E88" s="384"/>
      <c r="F88" s="384"/>
      <c r="G88" s="384"/>
      <c r="H88" s="385">
        <f>DATEVALUE("05/15/2026")</f>
        <v>46157</v>
      </c>
      <c r="I88" s="358" t="s">
        <v>7</v>
      </c>
      <c r="J88" s="384"/>
      <c r="K88" s="197"/>
      <c r="L88" s="5" t="s">
        <v>43</v>
      </c>
    </row>
    <row r="89" s="335" customFormat="1" ht="41" customHeight="1" spans="1:12">
      <c r="A89" s="379" t="s">
        <v>375</v>
      </c>
      <c r="B89" s="384" t="s">
        <v>376</v>
      </c>
      <c r="C89" s="384" t="s">
        <v>377</v>
      </c>
      <c r="D89" s="384" t="s">
        <v>378</v>
      </c>
      <c r="E89" s="384"/>
      <c r="F89" s="384"/>
      <c r="G89" s="384"/>
      <c r="H89" s="385">
        <f t="shared" ref="H89:H98" si="5">DATEVALUE("05/15/2026")</f>
        <v>46157</v>
      </c>
      <c r="I89" s="358" t="s">
        <v>7</v>
      </c>
      <c r="J89" s="384"/>
      <c r="K89" s="197"/>
      <c r="L89" s="5" t="s">
        <v>43</v>
      </c>
    </row>
    <row r="90" ht="53" customHeight="1" spans="1:12">
      <c r="A90" s="379" t="s">
        <v>379</v>
      </c>
      <c r="B90" s="384" t="s">
        <v>380</v>
      </c>
      <c r="C90" s="384" t="s">
        <v>381</v>
      </c>
      <c r="D90" s="384" t="s">
        <v>382</v>
      </c>
      <c r="E90" s="384"/>
      <c r="F90" s="384"/>
      <c r="G90" s="384"/>
      <c r="H90" s="385">
        <f t="shared" si="5"/>
        <v>46157</v>
      </c>
      <c r="I90" s="358" t="s">
        <v>7</v>
      </c>
      <c r="J90" s="384"/>
      <c r="K90" s="336"/>
      <c r="L90" s="5" t="s">
        <v>43</v>
      </c>
    </row>
    <row r="91" ht="54" customHeight="1" spans="1:12">
      <c r="A91" s="379" t="s">
        <v>383</v>
      </c>
      <c r="B91" s="384" t="s">
        <v>384</v>
      </c>
      <c r="C91" s="384" t="s">
        <v>385</v>
      </c>
      <c r="D91" s="384" t="s">
        <v>386</v>
      </c>
      <c r="E91" s="384"/>
      <c r="F91" s="384"/>
      <c r="G91" s="384"/>
      <c r="H91" s="385">
        <f t="shared" si="5"/>
        <v>46157</v>
      </c>
      <c r="I91" s="358" t="s">
        <v>7</v>
      </c>
      <c r="J91" s="384"/>
      <c r="K91" s="336"/>
      <c r="L91" s="5" t="s">
        <v>43</v>
      </c>
    </row>
    <row r="92" ht="55" customHeight="1" spans="1:12">
      <c r="A92" s="379" t="s">
        <v>387</v>
      </c>
      <c r="B92" s="384" t="s">
        <v>388</v>
      </c>
      <c r="C92" s="384" t="s">
        <v>389</v>
      </c>
      <c r="D92" s="384" t="s">
        <v>390</v>
      </c>
      <c r="E92" s="384"/>
      <c r="F92" s="384"/>
      <c r="G92" s="384"/>
      <c r="H92" s="385">
        <f t="shared" si="5"/>
        <v>46157</v>
      </c>
      <c r="I92" s="358" t="s">
        <v>7</v>
      </c>
      <c r="J92" s="384"/>
      <c r="K92" s="336"/>
      <c r="L92" s="5" t="s">
        <v>43</v>
      </c>
    </row>
    <row r="93" ht="49" customHeight="1" spans="1:12">
      <c r="A93" s="379" t="s">
        <v>391</v>
      </c>
      <c r="B93" s="384" t="s">
        <v>392</v>
      </c>
      <c r="C93" s="384" t="s">
        <v>393</v>
      </c>
      <c r="D93" s="384" t="s">
        <v>394</v>
      </c>
      <c r="E93" s="384"/>
      <c r="F93" s="384"/>
      <c r="G93" s="384"/>
      <c r="H93" s="385">
        <f t="shared" si="5"/>
        <v>46157</v>
      </c>
      <c r="I93" s="358" t="s">
        <v>7</v>
      </c>
      <c r="J93" s="384"/>
      <c r="K93" s="336"/>
      <c r="L93" s="5" t="s">
        <v>43</v>
      </c>
    </row>
    <row r="94" ht="47" customHeight="1" spans="1:12">
      <c r="A94" s="379" t="s">
        <v>395</v>
      </c>
      <c r="B94" s="384" t="s">
        <v>396</v>
      </c>
      <c r="C94" s="384" t="s">
        <v>397</v>
      </c>
      <c r="D94" s="384" t="s">
        <v>398</v>
      </c>
      <c r="E94" s="384"/>
      <c r="F94" s="384"/>
      <c r="G94" s="384"/>
      <c r="H94" s="385">
        <f t="shared" si="5"/>
        <v>46157</v>
      </c>
      <c r="I94" s="358" t="s">
        <v>7</v>
      </c>
      <c r="J94" s="384"/>
      <c r="K94" s="336"/>
      <c r="L94" s="5" t="s">
        <v>43</v>
      </c>
    </row>
    <row r="95" ht="47" customHeight="1" spans="1:12">
      <c r="A95" s="379" t="s">
        <v>399</v>
      </c>
      <c r="B95" s="384" t="s">
        <v>400</v>
      </c>
      <c r="C95" s="384" t="s">
        <v>401</v>
      </c>
      <c r="D95" s="384" t="s">
        <v>402</v>
      </c>
      <c r="E95" s="384"/>
      <c r="F95" s="384"/>
      <c r="G95" s="384"/>
      <c r="H95" s="385">
        <f t="shared" si="5"/>
        <v>46157</v>
      </c>
      <c r="I95" s="358" t="s">
        <v>7</v>
      </c>
      <c r="J95" s="384"/>
      <c r="K95" s="336"/>
      <c r="L95" s="5" t="s">
        <v>43</v>
      </c>
    </row>
    <row r="96" ht="53" customHeight="1" spans="1:12">
      <c r="A96" s="379" t="s">
        <v>403</v>
      </c>
      <c r="B96" s="384" t="s">
        <v>404</v>
      </c>
      <c r="C96" s="384" t="s">
        <v>405</v>
      </c>
      <c r="D96" s="384" t="s">
        <v>406</v>
      </c>
      <c r="E96" s="384"/>
      <c r="F96" s="384"/>
      <c r="G96" s="384"/>
      <c r="H96" s="385">
        <f t="shared" si="5"/>
        <v>46157</v>
      </c>
      <c r="I96" s="358" t="s">
        <v>7</v>
      </c>
      <c r="J96" s="384"/>
      <c r="K96" s="336"/>
      <c r="L96" s="5" t="s">
        <v>43</v>
      </c>
    </row>
    <row r="97" ht="58" customHeight="1" spans="1:12">
      <c r="A97" s="379" t="s">
        <v>407</v>
      </c>
      <c r="B97" s="384" t="s">
        <v>408</v>
      </c>
      <c r="C97" s="384" t="s">
        <v>409</v>
      </c>
      <c r="D97" s="384" t="s">
        <v>410</v>
      </c>
      <c r="E97" s="384"/>
      <c r="F97" s="384"/>
      <c r="G97" s="384"/>
      <c r="H97" s="385">
        <f t="shared" si="5"/>
        <v>46157</v>
      </c>
      <c r="I97" s="358" t="s">
        <v>7</v>
      </c>
      <c r="J97" s="384"/>
      <c r="K97" s="336"/>
      <c r="L97" s="5" t="s">
        <v>43</v>
      </c>
    </row>
    <row r="98" ht="70" customHeight="1" spans="1:12">
      <c r="A98" s="379" t="s">
        <v>411</v>
      </c>
      <c r="B98" s="384" t="s">
        <v>412</v>
      </c>
      <c r="C98" s="384" t="s">
        <v>413</v>
      </c>
      <c r="D98" s="384" t="s">
        <v>414</v>
      </c>
      <c r="E98" s="384"/>
      <c r="F98" s="384"/>
      <c r="G98" s="384"/>
      <c r="H98" s="385">
        <f t="shared" si="5"/>
        <v>46157</v>
      </c>
      <c r="I98" s="358" t="s">
        <v>7</v>
      </c>
      <c r="J98" s="384"/>
      <c r="K98" s="336"/>
      <c r="L98" s="5" t="s">
        <v>43</v>
      </c>
    </row>
    <row r="99" ht="12" customHeight="1" spans="1:12">
      <c r="I99" s="9"/>
      <c r="J99" s="350"/>
    </row>
    <row r="100" ht="12" customHeight="1" spans="1:12">
      <c r="I100" s="9"/>
      <c r="J100" s="350"/>
    </row>
    <row r="101" ht="12" customHeight="1" spans="1:12">
      <c r="I101" s="9"/>
      <c r="J101" s="350"/>
    </row>
    <row r="102" ht="12" customHeight="1" spans="1:12">
      <c r="I102" s="9"/>
      <c r="J102" s="350"/>
    </row>
    <row r="103" ht="12" customHeight="1" spans="1:12">
      <c r="I103" s="9"/>
      <c r="J103" s="350"/>
    </row>
    <row r="104" ht="12" customHeight="1" spans="1:12">
      <c r="I104" s="9"/>
      <c r="J104" s="350"/>
    </row>
    <row r="105" ht="12" customHeight="1" spans="1:12">
      <c r="I105" s="9"/>
      <c r="J105" s="350"/>
    </row>
    <row r="106" ht="12" customHeight="1" spans="1:12">
      <c r="I106" s="9"/>
      <c r="J106" s="350"/>
    </row>
    <row r="107" ht="12" customHeight="1" spans="1:12">
      <c r="I107" s="9"/>
      <c r="J107" s="350"/>
    </row>
    <row r="108" ht="12" customHeight="1" spans="1:12">
      <c r="I108" s="9"/>
      <c r="J108" s="350"/>
    </row>
    <row r="109" ht="12" customHeight="1" spans="1:12">
      <c r="I109" s="9"/>
      <c r="J109" s="350"/>
    </row>
    <row r="110" ht="12" customHeight="1" spans="1:12">
      <c r="I110" s="9"/>
      <c r="J110" s="350"/>
    </row>
    <row r="111" ht="12" customHeight="1" spans="1:12">
      <c r="I111" s="9"/>
      <c r="J111" s="350"/>
    </row>
    <row r="112" ht="12" customHeight="1" spans="1:12">
      <c r="I112" s="9"/>
      <c r="J112" s="350"/>
    </row>
    <row r="113" ht="12" customHeight="1" spans="9:10">
      <c r="I113" s="9"/>
      <c r="J113" s="350"/>
    </row>
    <row r="114" ht="12" customHeight="1" spans="9:10">
      <c r="I114" s="9"/>
      <c r="J114" s="350"/>
    </row>
    <row r="115" ht="12" customHeight="1" spans="9:10">
      <c r="I115" s="9"/>
      <c r="J115" s="350"/>
    </row>
    <row r="116" ht="12" customHeight="1" spans="9:10">
      <c r="I116" s="9"/>
      <c r="J116" s="350"/>
    </row>
    <row r="117" ht="12" customHeight="1" spans="9:10">
      <c r="I117" s="9"/>
      <c r="J117" s="350"/>
    </row>
    <row r="118" ht="12" customHeight="1" spans="9:10">
      <c r="I118" s="9"/>
      <c r="J118" s="350"/>
    </row>
    <row r="119" ht="12" customHeight="1" spans="9:10">
      <c r="I119" s="9"/>
      <c r="J119" s="350"/>
    </row>
    <row r="120" ht="12" customHeight="1" spans="9:10">
      <c r="I120" s="9"/>
      <c r="J120" s="350"/>
    </row>
    <row r="121" ht="12" customHeight="1" spans="9:10">
      <c r="I121" s="9"/>
      <c r="J121" s="350"/>
    </row>
    <row r="122" ht="12" customHeight="1" spans="9:10">
      <c r="I122" s="9"/>
      <c r="J122" s="350"/>
    </row>
    <row r="123" ht="12" customHeight="1" spans="9:10">
      <c r="I123" s="9"/>
      <c r="J123" s="350"/>
    </row>
    <row r="124" ht="12" customHeight="1" spans="9:10">
      <c r="I124" s="9"/>
      <c r="J124" s="350"/>
    </row>
    <row r="125" ht="12" customHeight="1" spans="9:10">
      <c r="I125" s="9"/>
      <c r="J125" s="350"/>
    </row>
    <row r="126" ht="12" customHeight="1" spans="9:10">
      <c r="I126" s="9"/>
      <c r="J126" s="350"/>
    </row>
    <row r="127" ht="12" customHeight="1" spans="9:10">
      <c r="I127" s="9"/>
      <c r="J127" s="350"/>
    </row>
    <row r="128" spans="9:10">
      <c r="I128" s="9"/>
      <c r="J128" s="350"/>
    </row>
    <row r="129" spans="9:10">
      <c r="I129" s="9"/>
      <c r="J129" s="350"/>
    </row>
    <row r="130" spans="9:10">
      <c r="I130" s="9"/>
      <c r="J130" s="350"/>
    </row>
    <row r="131" spans="9:10">
      <c r="I131" s="9"/>
      <c r="J131" s="350"/>
    </row>
    <row r="132" spans="9:10">
      <c r="I132" s="9"/>
      <c r="J132" s="350"/>
    </row>
    <row r="133" spans="9:10">
      <c r="I133" s="9"/>
      <c r="J133" s="350"/>
    </row>
    <row r="134" spans="9:10">
      <c r="I134" s="9"/>
      <c r="J134" s="350"/>
    </row>
    <row r="135" spans="9:10">
      <c r="I135" s="9"/>
      <c r="J135" s="350"/>
    </row>
    <row r="136" spans="9:10">
      <c r="I136" s="9"/>
      <c r="J136" s="350"/>
    </row>
    <row r="137" spans="9:10">
      <c r="I137" s="9"/>
      <c r="J137" s="350"/>
    </row>
    <row r="138" spans="9:10">
      <c r="I138" s="9"/>
      <c r="J138" s="350"/>
    </row>
    <row r="139" spans="9:10">
      <c r="I139" s="9"/>
      <c r="J139" s="350"/>
    </row>
    <row r="140" spans="9:10">
      <c r="I140" s="9"/>
      <c r="J140" s="350"/>
    </row>
    <row r="141" spans="9:10">
      <c r="I141" s="9"/>
      <c r="J141" s="350"/>
    </row>
    <row r="142" spans="9:10">
      <c r="I142" s="9"/>
      <c r="J142" s="350"/>
    </row>
    <row r="143" spans="9:10">
      <c r="I143" s="9"/>
      <c r="J143" s="350"/>
    </row>
    <row r="144" spans="9:10">
      <c r="I144" s="9"/>
      <c r="J144" s="350"/>
    </row>
    <row r="145" spans="9:10">
      <c r="I145" s="9"/>
      <c r="J145" s="350"/>
    </row>
    <row r="146" spans="9:10">
      <c r="I146" s="9"/>
      <c r="J146" s="350"/>
    </row>
    <row r="147" spans="9:10">
      <c r="I147" s="9"/>
      <c r="J147" s="350"/>
    </row>
    <row r="148" spans="9:10">
      <c r="I148" s="9"/>
      <c r="J148" s="350"/>
    </row>
    <row r="149" spans="9:10">
      <c r="I149" s="9"/>
      <c r="J149" s="350"/>
    </row>
    <row r="150" spans="9:10">
      <c r="I150" s="9"/>
      <c r="J150" s="350"/>
    </row>
    <row r="151" spans="9:10">
      <c r="I151" s="9"/>
      <c r="J151" s="350"/>
    </row>
    <row r="152" spans="9:10">
      <c r="I152" s="9"/>
      <c r="J152" s="350"/>
    </row>
    <row r="153" spans="9:10">
      <c r="I153" s="9"/>
      <c r="J153" s="350"/>
    </row>
    <row r="154" spans="9:10">
      <c r="I154" s="9"/>
      <c r="J154" s="350"/>
    </row>
    <row r="155" spans="9:10">
      <c r="I155" s="9"/>
      <c r="J155" s="350"/>
    </row>
    <row r="156" spans="9:10">
      <c r="I156" s="9"/>
      <c r="J156" s="350"/>
    </row>
    <row r="157" spans="9:10">
      <c r="I157" s="9"/>
      <c r="J157" s="350"/>
    </row>
    <row r="158" spans="9:10">
      <c r="I158" s="9"/>
      <c r="J158" s="350"/>
    </row>
    <row r="159" spans="9:10">
      <c r="I159" s="9"/>
      <c r="J159" s="350"/>
    </row>
    <row r="160" spans="9:10">
      <c r="I160" s="9"/>
      <c r="J160" s="350"/>
    </row>
    <row r="161" spans="9:10">
      <c r="I161" s="350"/>
      <c r="J161" s="350"/>
    </row>
    <row r="162" spans="9:10">
      <c r="I162" s="350"/>
      <c r="J162" s="350"/>
    </row>
    <row r="163" spans="9:10">
      <c r="I163" s="350"/>
      <c r="J163" s="350"/>
    </row>
    <row r="164" spans="9:10">
      <c r="I164" s="350"/>
      <c r="J164" s="350"/>
    </row>
    <row r="165" spans="9:10">
      <c r="I165" s="350"/>
      <c r="J165" s="350"/>
    </row>
    <row r="166" spans="9:10">
      <c r="I166" s="350"/>
      <c r="J166" s="350"/>
    </row>
    <row r="167" spans="9:10">
      <c r="I167" s="350"/>
      <c r="J167" s="350"/>
    </row>
    <row r="168" spans="9:10">
      <c r="I168" s="350"/>
      <c r="J168" s="350"/>
    </row>
    <row r="169" spans="9:10">
      <c r="I169" s="350"/>
      <c r="J169" s="350"/>
    </row>
    <row r="170" spans="9:10">
      <c r="I170" s="350"/>
      <c r="J170" s="350"/>
    </row>
    <row r="171" spans="9:10">
      <c r="I171" s="350"/>
      <c r="J171" s="350"/>
    </row>
    <row r="172" spans="9:10">
      <c r="I172" s="350"/>
      <c r="J172" s="350"/>
    </row>
    <row r="173" spans="9:10">
      <c r="I173" s="350"/>
      <c r="J173" s="350"/>
    </row>
    <row r="174" spans="9:10">
      <c r="I174" s="350"/>
      <c r="J174" s="350"/>
    </row>
    <row r="175" spans="9:10">
      <c r="I175" s="350"/>
      <c r="J175" s="350"/>
    </row>
    <row r="176" spans="9:10">
      <c r="I176" s="350"/>
      <c r="J176" s="350"/>
    </row>
    <row r="177" spans="9:10">
      <c r="I177" s="350"/>
      <c r="J177" s="350"/>
    </row>
    <row r="178" spans="9:10">
      <c r="I178" s="350"/>
      <c r="J178" s="350"/>
    </row>
    <row r="179" spans="9:10">
      <c r="I179" s="350"/>
      <c r="J179" s="350"/>
    </row>
    <row r="180" spans="9:10">
      <c r="I180" s="350"/>
      <c r="J180" s="350"/>
    </row>
    <row r="181" spans="9:10">
      <c r="I181" s="350"/>
      <c r="J181" s="350"/>
    </row>
    <row r="182" spans="9:10">
      <c r="I182" s="350"/>
      <c r="J182" s="350"/>
    </row>
    <row r="183" spans="9:10">
      <c r="I183" s="350"/>
      <c r="J183" s="350"/>
    </row>
    <row r="184" spans="9:10">
      <c r="I184" s="350"/>
      <c r="J184" s="350"/>
    </row>
    <row r="185" spans="9:10">
      <c r="I185" s="350"/>
      <c r="J185" s="350"/>
    </row>
    <row r="186" spans="9:10">
      <c r="I186" s="350"/>
      <c r="J186" s="350"/>
    </row>
    <row r="187" spans="9:10">
      <c r="I187" s="350"/>
      <c r="J187" s="350"/>
    </row>
    <row r="188" spans="9:10">
      <c r="I188" s="350"/>
      <c r="J188" s="350"/>
    </row>
    <row r="189" spans="9:10">
      <c r="I189" s="350"/>
      <c r="J189" s="350"/>
    </row>
    <row r="190" spans="9:10">
      <c r="I190" s="350"/>
      <c r="J190" s="350"/>
    </row>
    <row r="191" spans="9:10">
      <c r="I191" s="350"/>
      <c r="J191" s="350"/>
    </row>
    <row r="192" spans="9:10">
      <c r="I192" s="350"/>
      <c r="J192" s="350"/>
    </row>
    <row r="193" spans="9:10">
      <c r="I193" s="350"/>
      <c r="J193" s="350"/>
    </row>
    <row r="194" spans="9:10">
      <c r="I194" s="350"/>
      <c r="J194" s="350"/>
    </row>
    <row r="195" spans="9:10">
      <c r="I195" s="350"/>
      <c r="J195" s="350"/>
    </row>
    <row r="196" spans="9:10">
      <c r="I196" s="350"/>
      <c r="J196" s="350"/>
    </row>
    <row r="197" spans="9:10">
      <c r="I197" s="350"/>
      <c r="J197" s="350"/>
    </row>
    <row r="198" spans="9:10">
      <c r="I198" s="350"/>
      <c r="J198" s="350"/>
    </row>
    <row r="199" spans="9:10">
      <c r="I199" s="350"/>
      <c r="J199" s="350"/>
    </row>
    <row r="200" spans="9:10">
      <c r="I200" s="350"/>
      <c r="J200" s="350"/>
    </row>
    <row r="201" spans="9:10">
      <c r="I201" s="350"/>
      <c r="J201" s="350"/>
    </row>
    <row r="202" spans="9:10">
      <c r="I202" s="350"/>
      <c r="J202" s="350"/>
    </row>
    <row r="203" spans="9:10">
      <c r="I203" s="350"/>
      <c r="J203" s="350"/>
    </row>
    <row r="204" spans="9:10">
      <c r="I204" s="350"/>
      <c r="J204" s="350"/>
    </row>
    <row r="205" spans="9:10">
      <c r="I205" s="350"/>
      <c r="J205" s="350"/>
    </row>
    <row r="206" spans="9:10">
      <c r="I206" s="350"/>
      <c r="J206" s="350"/>
    </row>
    <row r="207" spans="9:10">
      <c r="I207" s="350"/>
      <c r="J207" s="350"/>
    </row>
    <row r="208" spans="9:10">
      <c r="I208" s="350"/>
      <c r="J208" s="350"/>
    </row>
    <row r="209" spans="9:10">
      <c r="I209" s="350"/>
      <c r="J209" s="350"/>
    </row>
    <row r="210" spans="9:10">
      <c r="I210" s="350"/>
      <c r="J210" s="350"/>
    </row>
    <row r="211" spans="9:10">
      <c r="I211" s="350"/>
      <c r="J211" s="350"/>
    </row>
    <row r="212" spans="9:10">
      <c r="I212" s="350"/>
      <c r="J212" s="350"/>
    </row>
    <row r="213" spans="9:10">
      <c r="I213" s="350"/>
      <c r="J213" s="350"/>
    </row>
    <row r="214" spans="9:10">
      <c r="I214" s="350"/>
      <c r="J214" s="350"/>
    </row>
    <row r="215" spans="9:10">
      <c r="I215" s="350"/>
      <c r="J215" s="350"/>
    </row>
    <row r="216" spans="9:10">
      <c r="I216" s="350"/>
      <c r="J216" s="350"/>
    </row>
    <row r="217" spans="9:10">
      <c r="I217" s="350"/>
      <c r="J217" s="350"/>
    </row>
    <row r="218" spans="9:10">
      <c r="I218" s="350"/>
      <c r="J218" s="350"/>
    </row>
    <row r="219" spans="9:10">
      <c r="I219" s="350"/>
      <c r="J219" s="350"/>
    </row>
    <row r="220" spans="9:10">
      <c r="I220" s="350"/>
      <c r="J220" s="350"/>
    </row>
    <row r="221" spans="9:10">
      <c r="I221" s="350"/>
      <c r="J221" s="350"/>
    </row>
    <row r="222" spans="9:10">
      <c r="I222" s="350"/>
      <c r="J222" s="350"/>
    </row>
    <row r="223" spans="9:10">
      <c r="I223" s="350"/>
      <c r="J223" s="350"/>
    </row>
    <row r="224" spans="9:10">
      <c r="I224" s="350"/>
      <c r="J224" s="350"/>
    </row>
    <row r="225" spans="9:10">
      <c r="I225" s="350"/>
      <c r="J225" s="350"/>
    </row>
    <row r="226" spans="9:10">
      <c r="I226" s="350"/>
      <c r="J226" s="350"/>
    </row>
    <row r="227" spans="9:10">
      <c r="I227" s="350"/>
      <c r="J227" s="350"/>
    </row>
    <row r="228" spans="9:10">
      <c r="I228" s="350"/>
      <c r="J228" s="350"/>
    </row>
    <row r="229" spans="9:10">
      <c r="I229" s="350"/>
      <c r="J229" s="350"/>
    </row>
    <row r="230" spans="9:10">
      <c r="I230" s="350"/>
      <c r="J230" s="350"/>
    </row>
    <row r="231" spans="9:10">
      <c r="I231" s="350"/>
      <c r="J231" s="350"/>
    </row>
    <row r="232" spans="9:10">
      <c r="I232" s="350"/>
      <c r="J232" s="350"/>
    </row>
    <row r="233" spans="9:10">
      <c r="I233" s="350"/>
      <c r="J233" s="350"/>
    </row>
    <row r="234" spans="9:10">
      <c r="I234" s="350"/>
      <c r="J234" s="350"/>
    </row>
    <row r="235" spans="9:10">
      <c r="I235" s="350"/>
      <c r="J235" s="350"/>
    </row>
    <row r="236" spans="9:10">
      <c r="I236" s="350"/>
      <c r="J236" s="350"/>
    </row>
    <row r="237" spans="9:10">
      <c r="I237" s="350"/>
      <c r="J237" s="350"/>
    </row>
    <row r="238" spans="9:10">
      <c r="I238" s="350"/>
      <c r="J238" s="350"/>
    </row>
    <row r="239" spans="9:10">
      <c r="I239" s="350"/>
      <c r="J239" s="350"/>
    </row>
    <row r="240" spans="9:10">
      <c r="I240" s="350"/>
      <c r="J240" s="350"/>
    </row>
    <row r="241" spans="9:10">
      <c r="I241" s="350"/>
      <c r="J241" s="350"/>
    </row>
    <row r="242" spans="9:10">
      <c r="I242" s="350"/>
      <c r="J242" s="350"/>
    </row>
    <row r="243" spans="9:10">
      <c r="I243" s="350"/>
      <c r="J243" s="350"/>
    </row>
    <row r="244" spans="9:10">
      <c r="I244" s="350"/>
      <c r="J244" s="350"/>
    </row>
    <row r="245" spans="9:10">
      <c r="I245" s="350"/>
      <c r="J245" s="350"/>
    </row>
    <row r="246" spans="9:10">
      <c r="I246" s="350"/>
      <c r="J246" s="350"/>
    </row>
    <row r="247" spans="9:10">
      <c r="I247" s="350"/>
      <c r="J247" s="350"/>
    </row>
    <row r="248" spans="9:10">
      <c r="I248" s="350"/>
      <c r="J248" s="350"/>
    </row>
    <row r="249" spans="9:10">
      <c r="I249" s="350"/>
      <c r="J249" s="350"/>
    </row>
    <row r="250" spans="9:10">
      <c r="I250" s="350"/>
      <c r="J250" s="350"/>
    </row>
    <row r="251" spans="9:10">
      <c r="I251" s="350"/>
      <c r="J251" s="350"/>
    </row>
    <row r="252" spans="9:10">
      <c r="I252" s="350"/>
      <c r="J252" s="350"/>
    </row>
    <row r="253" spans="9:10">
      <c r="I253" s="350"/>
      <c r="J253" s="350"/>
    </row>
    <row r="254" spans="9:10">
      <c r="I254" s="350"/>
      <c r="J254" s="350"/>
    </row>
    <row r="255" spans="9:10">
      <c r="I255" s="350"/>
      <c r="J255" s="350"/>
    </row>
    <row r="256" spans="9:10">
      <c r="I256" s="350"/>
      <c r="J256" s="350"/>
    </row>
    <row r="257" spans="9:10">
      <c r="I257" s="350"/>
      <c r="J257" s="350"/>
    </row>
    <row r="258" spans="9:10">
      <c r="I258" s="350"/>
      <c r="J258" s="350"/>
    </row>
    <row r="259" spans="9:10">
      <c r="I259" s="350"/>
      <c r="J259" s="350"/>
    </row>
    <row r="260" spans="9:10">
      <c r="I260" s="350"/>
      <c r="J260" s="350"/>
    </row>
    <row r="261" spans="9:10">
      <c r="I261" s="350"/>
      <c r="J261" s="350"/>
    </row>
    <row r="262" spans="9:10">
      <c r="I262" s="350"/>
      <c r="J262" s="350"/>
    </row>
    <row r="263" spans="9:10">
      <c r="I263" s="350"/>
      <c r="J263" s="350"/>
    </row>
    <row r="264" spans="9:10">
      <c r="I264" s="350"/>
      <c r="J264" s="350"/>
    </row>
    <row r="265" spans="9:10">
      <c r="I265" s="350"/>
      <c r="J265" s="350"/>
    </row>
    <row r="266" spans="9:10">
      <c r="I266" s="350"/>
      <c r="J266" s="350"/>
    </row>
    <row r="267" spans="9:10">
      <c r="I267" s="350"/>
      <c r="J267" s="350"/>
    </row>
    <row r="268" spans="9:10">
      <c r="I268" s="350"/>
      <c r="J268" s="350"/>
    </row>
    <row r="269" spans="9:10">
      <c r="I269" s="350"/>
      <c r="J269" s="350"/>
    </row>
    <row r="270" spans="9:10">
      <c r="I270" s="350"/>
      <c r="J270" s="350"/>
    </row>
    <row r="271" spans="9:10">
      <c r="I271" s="350"/>
      <c r="J271" s="350"/>
    </row>
    <row r="272" spans="9:10">
      <c r="I272" s="350"/>
      <c r="J272" s="350"/>
    </row>
    <row r="273" spans="9:10">
      <c r="I273" s="350"/>
      <c r="J273" s="350"/>
    </row>
    <row r="274" spans="9:10">
      <c r="I274" s="350"/>
      <c r="J274" s="350"/>
    </row>
    <row r="275" spans="9:10">
      <c r="I275" s="350"/>
      <c r="J275" s="350"/>
    </row>
    <row r="276" spans="9:10">
      <c r="I276" s="350"/>
      <c r="J276" s="350"/>
    </row>
    <row r="277" spans="9:10">
      <c r="I277" s="350"/>
      <c r="J277" s="350"/>
    </row>
    <row r="278" spans="9:10">
      <c r="I278" s="350"/>
      <c r="J278" s="350"/>
    </row>
    <row r="279" spans="9:10">
      <c r="I279" s="350"/>
      <c r="J279" s="350"/>
    </row>
    <row r="280" spans="9:10">
      <c r="I280" s="350"/>
      <c r="J280" s="350"/>
    </row>
    <row r="281" spans="9:10">
      <c r="I281" s="350"/>
      <c r="J281" s="350"/>
    </row>
    <row r="282" spans="9:10">
      <c r="I282" s="386"/>
      <c r="J282" s="386"/>
    </row>
  </sheetData>
  <mergeCells count="107">
    <mergeCell ref="B3:D3"/>
    <mergeCell ref="H3:J3"/>
    <mergeCell ref="B4:D4"/>
    <mergeCell ref="H4:J4"/>
    <mergeCell ref="B5:D5"/>
    <mergeCell ref="H5:J5"/>
    <mergeCell ref="H6:J6"/>
    <mergeCell ref="H7:J7"/>
    <mergeCell ref="A8:D8"/>
    <mergeCell ref="A11:L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A27:L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A43:L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A59:L59"/>
    <mergeCell ref="D60:F60"/>
    <mergeCell ref="D61:F61"/>
    <mergeCell ref="D62:F62"/>
    <mergeCell ref="D63:F63"/>
    <mergeCell ref="D64:F64"/>
    <mergeCell ref="D65:F65"/>
    <mergeCell ref="D66:F66"/>
    <mergeCell ref="D67:F67"/>
    <mergeCell ref="D68:F68"/>
    <mergeCell ref="D69:F69"/>
    <mergeCell ref="A70:L70"/>
    <mergeCell ref="D71:F71"/>
    <mergeCell ref="D72:F72"/>
    <mergeCell ref="D73:F73"/>
    <mergeCell ref="D74:F74"/>
    <mergeCell ref="D75:F75"/>
    <mergeCell ref="D76:F76"/>
    <mergeCell ref="D77:F77"/>
    <mergeCell ref="D78:F78"/>
    <mergeCell ref="A79:L79"/>
    <mergeCell ref="D80:F80"/>
    <mergeCell ref="D81:F81"/>
    <mergeCell ref="D82:F82"/>
    <mergeCell ref="A83:L83"/>
    <mergeCell ref="D84:F84"/>
    <mergeCell ref="D85:F85"/>
    <mergeCell ref="D86:F86"/>
    <mergeCell ref="A87:L87"/>
    <mergeCell ref="D88:F88"/>
    <mergeCell ref="D89:F89"/>
    <mergeCell ref="D90:F90"/>
    <mergeCell ref="D91:F91"/>
    <mergeCell ref="D92:F92"/>
    <mergeCell ref="D93:F93"/>
    <mergeCell ref="D94:F94"/>
    <mergeCell ref="D95:F95"/>
    <mergeCell ref="D96:F96"/>
    <mergeCell ref="D97:F97"/>
    <mergeCell ref="D98:F98"/>
    <mergeCell ref="A9:A10"/>
    <mergeCell ref="B9:B10"/>
    <mergeCell ref="C9:C10"/>
    <mergeCell ref="H9:H10"/>
    <mergeCell ref="I9:I10"/>
    <mergeCell ref="J9:J10"/>
    <mergeCell ref="K9:K10"/>
    <mergeCell ref="L9:L10"/>
    <mergeCell ref="D9:G10"/>
    <mergeCell ref="B1:D2"/>
  </mergeCells>
  <dataValidations count="1">
    <dataValidation type="list" sqref="I12:I98">
      <formula1>"Pass,Fail,Pending,Blocked,N/A"</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0"/>
  <sheetViews>
    <sheetView zoomScale="76" zoomScaleNormal="76" topLeftCell="A142" workbookViewId="0">
      <selection activeCell="C150" sqref="C150"/>
    </sheetView>
  </sheetViews>
  <sheetFormatPr defaultColWidth="9" defaultRowHeight="16.8"/>
  <cols>
    <col min="1" max="1" width="20.6666666666667" style="227" customWidth="1"/>
    <col min="2" max="2" width="36.6666666666667" style="227" customWidth="1"/>
    <col min="3" max="3" width="81.2222222222222" style="227" customWidth="1"/>
    <col min="4" max="4" width="42.3333333333333" style="227" customWidth="1"/>
    <col min="5" max="5" width="8" style="227" customWidth="1"/>
    <col min="6" max="6" width="10.7777777777778" style="227" customWidth="1"/>
    <col min="7" max="7" width="18" style="227" hidden="1" customWidth="1"/>
    <col min="8" max="8" width="19.3333333333333" style="227" customWidth="1"/>
    <col min="9" max="9" width="15.3333333333333" style="227" customWidth="1"/>
    <col min="10" max="10" width="42.3333333333333" style="227" customWidth="1"/>
    <col min="11" max="11" width="28" style="227" customWidth="1"/>
    <col min="12" max="12" width="29.1666666666667" style="9" customWidth="1"/>
    <col min="13" max="16384" width="9" style="227"/>
  </cols>
  <sheetData>
    <row r="1" s="271" customFormat="1" spans="1:12">
      <c r="A1" s="276" t="s">
        <v>20</v>
      </c>
      <c r="B1" s="276"/>
      <c r="C1" s="276"/>
      <c r="D1" s="276"/>
      <c r="E1" s="277"/>
      <c r="F1" s="277"/>
      <c r="G1" s="277"/>
      <c r="H1" s="277"/>
      <c r="I1" s="277"/>
      <c r="J1" s="277"/>
      <c r="K1" s="277"/>
      <c r="L1" s="14"/>
    </row>
    <row r="2" s="271" customFormat="1" spans="1:12">
      <c r="A2" s="276"/>
      <c r="B2" s="276"/>
      <c r="C2" s="276"/>
      <c r="D2" s="276"/>
      <c r="E2" s="277"/>
      <c r="F2" s="277"/>
      <c r="G2" s="277"/>
      <c r="H2" s="277"/>
      <c r="I2" s="277"/>
      <c r="J2" s="277"/>
      <c r="K2" s="277"/>
      <c r="L2" s="14"/>
    </row>
    <row r="3" s="271" customFormat="1" ht="33.6" customHeight="1" spans="1:12">
      <c r="A3" s="278" t="s">
        <v>415</v>
      </c>
      <c r="B3" s="279" t="s">
        <v>22</v>
      </c>
      <c r="C3" s="280"/>
      <c r="D3" s="281"/>
      <c r="E3" s="282"/>
      <c r="F3" s="282"/>
      <c r="G3" s="282"/>
      <c r="H3" s="277"/>
      <c r="J3" s="277"/>
      <c r="K3" s="277"/>
      <c r="L3" s="14"/>
    </row>
    <row r="4" s="271" customFormat="1" spans="1:12">
      <c r="A4" s="283" t="s">
        <v>416</v>
      </c>
      <c r="B4" s="284" t="s">
        <v>417</v>
      </c>
      <c r="C4" s="285"/>
      <c r="D4" s="286"/>
      <c r="E4" s="282"/>
      <c r="F4" s="282"/>
      <c r="G4" s="282"/>
      <c r="H4" s="277"/>
      <c r="J4" s="277"/>
      <c r="K4" s="277"/>
      <c r="L4" s="14"/>
    </row>
    <row r="5" s="272" customFormat="1" ht="33.6" customHeight="1" spans="1:12">
      <c r="A5" s="283" t="s">
        <v>25</v>
      </c>
      <c r="B5" s="287" t="s">
        <v>418</v>
      </c>
      <c r="C5" s="288"/>
      <c r="D5" s="289"/>
      <c r="E5" s="290"/>
      <c r="F5" s="290"/>
      <c r="G5" s="290"/>
      <c r="J5" s="277"/>
      <c r="K5" s="277"/>
      <c r="L5" s="2"/>
    </row>
    <row r="6" s="271" customFormat="1" spans="1:12">
      <c r="A6" s="291" t="s">
        <v>7</v>
      </c>
      <c r="B6" s="292">
        <f>COUNTIF(I13:I152,"Pass")</f>
        <v>60</v>
      </c>
      <c r="C6" s="293" t="s">
        <v>9</v>
      </c>
      <c r="D6" s="293">
        <f>COUNTIF(A9:K152,"Pending")</f>
        <v>0</v>
      </c>
      <c r="E6" s="294"/>
      <c r="F6" s="294"/>
      <c r="G6" s="294"/>
      <c r="H6" s="277"/>
      <c r="J6" s="277" t="s">
        <v>419</v>
      </c>
      <c r="K6" s="277"/>
      <c r="L6" s="14"/>
    </row>
    <row r="7" s="271" customFormat="1" spans="1:12">
      <c r="A7" s="291" t="s">
        <v>8</v>
      </c>
      <c r="B7" s="292">
        <f>COUNTIF(I13:I152,"Fail")</f>
        <v>58</v>
      </c>
      <c r="C7" s="295" t="s">
        <v>28</v>
      </c>
      <c r="D7" s="296">
        <f>COUNTIF(I13:I152,"Pass")+COUNTIF(I13:I152,"Fail")</f>
        <v>118</v>
      </c>
      <c r="E7" s="297"/>
      <c r="F7" s="297"/>
      <c r="G7" s="297"/>
      <c r="H7" s="277"/>
      <c r="J7" s="277"/>
      <c r="K7" s="277"/>
      <c r="L7" s="14"/>
    </row>
    <row r="8" s="271" customFormat="1" ht="15" customHeight="1" spans="1:12">
      <c r="B8" s="227"/>
      <c r="C8" s="227"/>
      <c r="D8" s="227"/>
      <c r="E8" s="294"/>
      <c r="F8" s="294"/>
      <c r="G8" s="294"/>
      <c r="H8" s="294"/>
      <c r="I8" s="294"/>
      <c r="J8" s="277"/>
      <c r="K8" s="277"/>
      <c r="L8" s="14"/>
    </row>
    <row r="9" s="271" customFormat="1" spans="1:12">
      <c r="A9" s="298" t="s">
        <v>29</v>
      </c>
      <c r="B9" s="299" t="s">
        <v>30</v>
      </c>
      <c r="C9" s="298" t="s">
        <v>31</v>
      </c>
      <c r="D9" s="298" t="s">
        <v>32</v>
      </c>
      <c r="E9" s="300"/>
      <c r="F9" s="300"/>
      <c r="G9" s="255"/>
      <c r="H9" s="298" t="s">
        <v>33</v>
      </c>
      <c r="I9" s="298" t="s">
        <v>34</v>
      </c>
      <c r="J9" s="301" t="s">
        <v>35</v>
      </c>
      <c r="K9" s="301" t="s">
        <v>36</v>
      </c>
      <c r="L9" s="41" t="s">
        <v>37</v>
      </c>
    </row>
    <row r="10" s="271" customFormat="1" spans="1:12">
      <c r="A10" s="255"/>
      <c r="B10" s="255"/>
      <c r="C10" s="255"/>
      <c r="D10" s="255"/>
      <c r="E10" s="255"/>
      <c r="F10" s="255"/>
      <c r="G10" s="255"/>
      <c r="H10" s="255"/>
      <c r="I10" s="255"/>
      <c r="J10" s="255"/>
      <c r="K10" s="255"/>
      <c r="L10" s="43"/>
    </row>
    <row r="11" s="273" customFormat="1" spans="1:12">
      <c r="A11" s="302" t="s">
        <v>420</v>
      </c>
      <c r="B11" s="302"/>
      <c r="C11" s="302"/>
      <c r="D11" s="302"/>
      <c r="E11" s="302"/>
      <c r="F11" s="302"/>
      <c r="G11" s="302"/>
      <c r="H11" s="302"/>
      <c r="I11" s="302"/>
      <c r="J11" s="302"/>
      <c r="K11" s="302"/>
      <c r="L11" s="250"/>
    </row>
    <row r="12" s="227" customFormat="1" spans="1:12">
      <c r="A12" s="303" t="s">
        <v>421</v>
      </c>
      <c r="B12" s="304"/>
      <c r="C12" s="304"/>
      <c r="D12" s="304"/>
      <c r="E12" s="304"/>
      <c r="F12" s="304"/>
      <c r="G12" s="304"/>
      <c r="H12" s="304"/>
      <c r="I12" s="304"/>
      <c r="J12" s="304"/>
      <c r="K12" s="304"/>
      <c r="L12" s="305"/>
    </row>
    <row r="13" s="273" customFormat="1" ht="100.8" outlineLevel="1" spans="1:12">
      <c r="A13" s="306" t="s">
        <v>39</v>
      </c>
      <c r="B13" s="307" t="s">
        <v>422</v>
      </c>
      <c r="C13" s="307" t="s">
        <v>423</v>
      </c>
      <c r="D13" s="307" t="s">
        <v>424</v>
      </c>
      <c r="E13" s="255"/>
      <c r="F13" s="255"/>
      <c r="G13" s="308"/>
      <c r="H13" s="309">
        <v>46161</v>
      </c>
      <c r="I13" s="310" t="s">
        <v>7</v>
      </c>
      <c r="J13" s="308"/>
      <c r="K13" s="308"/>
      <c r="L13" s="5" t="s">
        <v>425</v>
      </c>
    </row>
    <row r="14" s="273" customFormat="1" ht="67.2" outlineLevel="1" spans="1:12">
      <c r="A14" s="306" t="s">
        <v>44</v>
      </c>
      <c r="B14" s="307" t="s">
        <v>426</v>
      </c>
      <c r="C14" s="307" t="s">
        <v>427</v>
      </c>
      <c r="D14" s="307" t="s">
        <v>428</v>
      </c>
      <c r="E14" s="255"/>
      <c r="F14" s="255"/>
      <c r="G14" s="308"/>
      <c r="H14" s="309">
        <v>46161</v>
      </c>
      <c r="I14" s="310" t="s">
        <v>7</v>
      </c>
      <c r="J14" s="308"/>
      <c r="K14" s="308"/>
      <c r="L14" s="5" t="s">
        <v>425</v>
      </c>
    </row>
    <row r="15" s="273" customFormat="1" ht="67.2" outlineLevel="1" spans="1:12">
      <c r="A15" s="306" t="s">
        <v>48</v>
      </c>
      <c r="B15" s="307" t="s">
        <v>429</v>
      </c>
      <c r="C15" s="307" t="s">
        <v>430</v>
      </c>
      <c r="D15" s="307" t="s">
        <v>431</v>
      </c>
      <c r="E15" s="255"/>
      <c r="F15" s="255"/>
      <c r="G15" s="311"/>
      <c r="H15" s="309">
        <v>46161</v>
      </c>
      <c r="I15" s="310" t="s">
        <v>7</v>
      </c>
      <c r="J15" s="311"/>
      <c r="K15" s="311"/>
      <c r="L15" s="5" t="s">
        <v>425</v>
      </c>
    </row>
    <row r="16" s="273" customFormat="1" ht="67.2" outlineLevel="1" spans="1:12">
      <c r="A16" s="306" t="s">
        <v>52</v>
      </c>
      <c r="B16" s="307" t="s">
        <v>432</v>
      </c>
      <c r="C16" s="307" t="s">
        <v>433</v>
      </c>
      <c r="D16" s="307" t="s">
        <v>434</v>
      </c>
      <c r="E16" s="255"/>
      <c r="F16" s="255"/>
      <c r="G16" s="308"/>
      <c r="H16" s="309">
        <v>46161</v>
      </c>
      <c r="I16" s="310" t="s">
        <v>7</v>
      </c>
      <c r="J16" s="308"/>
      <c r="K16" s="308"/>
      <c r="L16" s="5" t="s">
        <v>425</v>
      </c>
    </row>
    <row r="17" s="273" customFormat="1" ht="67.2" outlineLevel="1" spans="1:12">
      <c r="A17" s="306" t="s">
        <v>56</v>
      </c>
      <c r="B17" s="307" t="s">
        <v>435</v>
      </c>
      <c r="C17" s="307" t="s">
        <v>436</v>
      </c>
      <c r="D17" s="307" t="s">
        <v>424</v>
      </c>
      <c r="E17" s="255"/>
      <c r="F17" s="255"/>
      <c r="G17" s="308"/>
      <c r="H17" s="309">
        <v>46161</v>
      </c>
      <c r="I17" s="310" t="s">
        <v>7</v>
      </c>
      <c r="J17" s="308"/>
      <c r="K17" s="308"/>
      <c r="L17" s="5" t="s">
        <v>425</v>
      </c>
    </row>
    <row r="18" s="274" customFormat="1" ht="67.2" outlineLevel="1" spans="1:12">
      <c r="A18" s="306" t="s">
        <v>60</v>
      </c>
      <c r="B18" s="312" t="s">
        <v>437</v>
      </c>
      <c r="C18" s="312" t="s">
        <v>438</v>
      </c>
      <c r="D18" s="312" t="s">
        <v>434</v>
      </c>
      <c r="E18" s="313"/>
      <c r="F18" s="313"/>
      <c r="G18" s="314"/>
      <c r="H18" s="315">
        <v>46161</v>
      </c>
      <c r="I18" s="310" t="s">
        <v>7</v>
      </c>
      <c r="J18" s="314"/>
      <c r="K18" s="314"/>
      <c r="L18" s="5" t="s">
        <v>425</v>
      </c>
    </row>
    <row r="19" s="273" customFormat="1" ht="67.2" outlineLevel="1" spans="1:12">
      <c r="A19" s="306" t="s">
        <v>64</v>
      </c>
      <c r="B19" s="307" t="s">
        <v>439</v>
      </c>
      <c r="C19" s="307" t="s">
        <v>440</v>
      </c>
      <c r="D19" s="307" t="s">
        <v>434</v>
      </c>
      <c r="E19" s="255"/>
      <c r="F19" s="255"/>
      <c r="G19" s="308"/>
      <c r="H19" s="309">
        <v>46161</v>
      </c>
      <c r="I19" s="310" t="s">
        <v>7</v>
      </c>
      <c r="J19" s="308"/>
      <c r="K19" s="308"/>
      <c r="L19" s="5" t="s">
        <v>425</v>
      </c>
    </row>
    <row r="20" s="273" customFormat="1" ht="67.2" outlineLevel="1" spans="1:12">
      <c r="A20" s="306" t="s">
        <v>68</v>
      </c>
      <c r="B20" s="307" t="s">
        <v>441</v>
      </c>
      <c r="C20" s="307" t="s">
        <v>442</v>
      </c>
      <c r="D20" s="307" t="s">
        <v>443</v>
      </c>
      <c r="E20" s="307"/>
      <c r="F20" s="307"/>
      <c r="G20" s="308"/>
      <c r="H20" s="309">
        <v>46161</v>
      </c>
      <c r="I20" s="310" t="s">
        <v>7</v>
      </c>
      <c r="J20" s="308"/>
      <c r="K20" s="308"/>
      <c r="L20" s="5" t="s">
        <v>425</v>
      </c>
    </row>
    <row r="21" s="273" customFormat="1" ht="67.2" outlineLevel="1" spans="1:12">
      <c r="A21" s="306" t="s">
        <v>72</v>
      </c>
      <c r="B21" s="307" t="s">
        <v>444</v>
      </c>
      <c r="C21" s="307" t="s">
        <v>445</v>
      </c>
      <c r="D21" s="307" t="s">
        <v>428</v>
      </c>
      <c r="E21" s="307"/>
      <c r="F21" s="307"/>
      <c r="G21" s="308"/>
      <c r="H21" s="309">
        <v>46161</v>
      </c>
      <c r="I21" s="310" t="s">
        <v>7</v>
      </c>
      <c r="J21" s="308"/>
      <c r="K21" s="308"/>
      <c r="L21" s="5" t="s">
        <v>425</v>
      </c>
    </row>
    <row r="22" s="273" customFormat="1" ht="67.2" outlineLevel="1" spans="1:12">
      <c r="A22" s="306" t="s">
        <v>76</v>
      </c>
      <c r="B22" s="307" t="s">
        <v>446</v>
      </c>
      <c r="C22" s="307" t="s">
        <v>447</v>
      </c>
      <c r="D22" s="307" t="s">
        <v>428</v>
      </c>
      <c r="E22" s="307"/>
      <c r="F22" s="307"/>
      <c r="G22" s="308"/>
      <c r="H22" s="309">
        <v>46161</v>
      </c>
      <c r="I22" s="310" t="s">
        <v>7</v>
      </c>
      <c r="J22" s="308"/>
      <c r="K22" s="308"/>
      <c r="L22" s="5" t="s">
        <v>425</v>
      </c>
    </row>
    <row r="23" s="273" customFormat="1" ht="67.2" outlineLevel="1" spans="1:12">
      <c r="A23" s="306" t="s">
        <v>80</v>
      </c>
      <c r="B23" s="307" t="s">
        <v>448</v>
      </c>
      <c r="C23" s="307" t="s">
        <v>449</v>
      </c>
      <c r="D23" s="307" t="s">
        <v>428</v>
      </c>
      <c r="E23" s="307"/>
      <c r="F23" s="307"/>
      <c r="G23" s="308"/>
      <c r="H23" s="309">
        <v>46161</v>
      </c>
      <c r="I23" s="310" t="s">
        <v>7</v>
      </c>
      <c r="J23" s="308"/>
      <c r="K23" s="308"/>
      <c r="L23" s="5" t="s">
        <v>425</v>
      </c>
    </row>
    <row r="24" s="273" customFormat="1" ht="67.2" outlineLevel="1" spans="1:12">
      <c r="A24" s="306" t="s">
        <v>84</v>
      </c>
      <c r="B24" s="307" t="s">
        <v>450</v>
      </c>
      <c r="C24" s="307" t="s">
        <v>451</v>
      </c>
      <c r="D24" s="307" t="s">
        <v>428</v>
      </c>
      <c r="E24" s="307"/>
      <c r="F24" s="307"/>
      <c r="G24" s="308"/>
      <c r="H24" s="309">
        <v>46161</v>
      </c>
      <c r="I24" s="310" t="s">
        <v>7</v>
      </c>
      <c r="J24" s="308"/>
      <c r="K24" s="308"/>
      <c r="L24" s="5" t="s">
        <v>425</v>
      </c>
    </row>
    <row r="25" s="273" customFormat="1" ht="67.2" outlineLevel="1" spans="1:12">
      <c r="A25" s="306" t="s">
        <v>88</v>
      </c>
      <c r="B25" s="307" t="s">
        <v>452</v>
      </c>
      <c r="C25" s="307" t="s">
        <v>453</v>
      </c>
      <c r="D25" s="307" t="s">
        <v>428</v>
      </c>
      <c r="E25" s="307"/>
      <c r="F25" s="307"/>
      <c r="G25" s="308"/>
      <c r="H25" s="309">
        <v>46161</v>
      </c>
      <c r="I25" s="310" t="s">
        <v>7</v>
      </c>
      <c r="J25" s="308"/>
      <c r="K25" s="308"/>
      <c r="L25" s="5" t="s">
        <v>425</v>
      </c>
    </row>
    <row r="26" s="273" customFormat="1" ht="67.2" outlineLevel="1" spans="1:12">
      <c r="A26" s="306" t="s">
        <v>92</v>
      </c>
      <c r="B26" s="307" t="s">
        <v>454</v>
      </c>
      <c r="C26" s="307" t="s">
        <v>455</v>
      </c>
      <c r="D26" s="307" t="s">
        <v>456</v>
      </c>
      <c r="E26" s="307"/>
      <c r="F26" s="307"/>
      <c r="G26" s="308"/>
      <c r="H26" s="309">
        <v>46161</v>
      </c>
      <c r="I26" s="310" t="s">
        <v>7</v>
      </c>
      <c r="J26" s="308"/>
      <c r="K26" s="308"/>
      <c r="L26" s="5" t="s">
        <v>425</v>
      </c>
    </row>
    <row r="27" s="273" customFormat="1" ht="67.2" outlineLevel="1" spans="1:12">
      <c r="A27" s="306" t="s">
        <v>96</v>
      </c>
      <c r="B27" s="307" t="s">
        <v>457</v>
      </c>
      <c r="C27" s="307" t="s">
        <v>458</v>
      </c>
      <c r="D27" s="308" t="s">
        <v>459</v>
      </c>
      <c r="E27" s="308"/>
      <c r="F27" s="308"/>
      <c r="G27" s="308"/>
      <c r="H27" s="309">
        <v>46161</v>
      </c>
      <c r="I27" s="310" t="s">
        <v>7</v>
      </c>
      <c r="J27" s="308"/>
      <c r="K27" s="308"/>
      <c r="L27" s="5" t="s">
        <v>425</v>
      </c>
    </row>
    <row r="28" s="273" customFormat="1" ht="67.2" outlineLevel="1" spans="1:12">
      <c r="A28" s="306" t="s">
        <v>101</v>
      </c>
      <c r="B28" s="307" t="s">
        <v>460</v>
      </c>
      <c r="C28" s="307" t="s">
        <v>461</v>
      </c>
      <c r="D28" s="307" t="s">
        <v>456</v>
      </c>
      <c r="E28" s="307"/>
      <c r="F28" s="307"/>
      <c r="G28" s="308"/>
      <c r="H28" s="309">
        <v>46161</v>
      </c>
      <c r="I28" s="310" t="s">
        <v>7</v>
      </c>
      <c r="J28" s="308"/>
      <c r="K28" s="308"/>
      <c r="L28" s="5" t="s">
        <v>425</v>
      </c>
    </row>
    <row r="29" s="273" customFormat="1" ht="67.2" outlineLevel="1" spans="1:12">
      <c r="A29" s="306" t="s">
        <v>107</v>
      </c>
      <c r="B29" s="307" t="s">
        <v>462</v>
      </c>
      <c r="C29" s="307" t="s">
        <v>463</v>
      </c>
      <c r="D29" s="307" t="s">
        <v>456</v>
      </c>
      <c r="E29" s="307"/>
      <c r="F29" s="307"/>
      <c r="G29" s="308"/>
      <c r="H29" s="309">
        <v>46161</v>
      </c>
      <c r="I29" s="310" t="s">
        <v>7</v>
      </c>
      <c r="J29" s="308"/>
      <c r="K29" s="308"/>
      <c r="L29" s="5" t="s">
        <v>425</v>
      </c>
    </row>
    <row r="30" s="273" customFormat="1" ht="67.2" outlineLevel="1" spans="1:12">
      <c r="A30" s="306" t="s">
        <v>112</v>
      </c>
      <c r="B30" s="307" t="s">
        <v>464</v>
      </c>
      <c r="C30" s="307" t="s">
        <v>465</v>
      </c>
      <c r="D30" s="307" t="s">
        <v>456</v>
      </c>
      <c r="E30" s="307"/>
      <c r="F30" s="307"/>
      <c r="G30" s="308"/>
      <c r="H30" s="309">
        <v>46161</v>
      </c>
      <c r="I30" s="310" t="s">
        <v>7</v>
      </c>
      <c r="J30" s="308"/>
      <c r="K30" s="308"/>
      <c r="L30" s="5" t="s">
        <v>425</v>
      </c>
    </row>
    <row r="31" s="273" customFormat="1" ht="67.2" outlineLevel="1" spans="1:12">
      <c r="A31" s="306" t="s">
        <v>118</v>
      </c>
      <c r="B31" s="307" t="s">
        <v>466</v>
      </c>
      <c r="C31" s="307" t="s">
        <v>467</v>
      </c>
      <c r="D31" s="307" t="s">
        <v>456</v>
      </c>
      <c r="E31" s="307"/>
      <c r="F31" s="307"/>
      <c r="G31" s="255"/>
      <c r="H31" s="309">
        <v>46161</v>
      </c>
      <c r="I31" s="310" t="s">
        <v>7</v>
      </c>
      <c r="J31" s="255"/>
      <c r="K31" s="255"/>
      <c r="L31" s="5" t="s">
        <v>425</v>
      </c>
    </row>
    <row r="32" s="273" customFormat="1" ht="67.2" outlineLevel="1" spans="1:12">
      <c r="A32" s="306" t="s">
        <v>124</v>
      </c>
      <c r="B32" s="307" t="s">
        <v>468</v>
      </c>
      <c r="C32" s="307" t="s">
        <v>469</v>
      </c>
      <c r="D32" s="307" t="s">
        <v>470</v>
      </c>
      <c r="E32" s="307"/>
      <c r="F32" s="307"/>
      <c r="G32" s="308"/>
      <c r="H32" s="309">
        <v>46161</v>
      </c>
      <c r="I32" s="310" t="s">
        <v>7</v>
      </c>
      <c r="J32" s="308"/>
      <c r="K32" s="308"/>
      <c r="L32" s="5" t="s">
        <v>425</v>
      </c>
    </row>
    <row r="33" s="273" customFormat="1" ht="67.2" outlineLevel="1" spans="1:12">
      <c r="A33" s="306" t="s">
        <v>130</v>
      </c>
      <c r="B33" s="307" t="s">
        <v>471</v>
      </c>
      <c r="C33" s="307" t="s">
        <v>472</v>
      </c>
      <c r="D33" s="307" t="s">
        <v>456</v>
      </c>
      <c r="E33" s="307"/>
      <c r="F33" s="307"/>
      <c r="G33" s="308"/>
      <c r="H33" s="309">
        <v>46170</v>
      </c>
      <c r="I33" s="310" t="s">
        <v>7</v>
      </c>
      <c r="J33" s="308"/>
      <c r="K33" s="308"/>
      <c r="L33" s="5" t="s">
        <v>425</v>
      </c>
    </row>
    <row r="34" s="273" customFormat="1" ht="67.2" outlineLevel="1" spans="1:12">
      <c r="A34" s="306" t="s">
        <v>136</v>
      </c>
      <c r="B34" s="307" t="s">
        <v>473</v>
      </c>
      <c r="C34" s="307" t="s">
        <v>474</v>
      </c>
      <c r="D34" s="307" t="s">
        <v>475</v>
      </c>
      <c r="E34" s="307"/>
      <c r="F34" s="307"/>
      <c r="G34" s="308"/>
      <c r="H34" s="309">
        <v>46170</v>
      </c>
      <c r="I34" s="310" t="s">
        <v>7</v>
      </c>
      <c r="J34" s="308"/>
      <c r="K34" s="308"/>
      <c r="L34" s="5" t="s">
        <v>425</v>
      </c>
    </row>
    <row r="35" s="273" customFormat="1" outlineLevel="1" spans="1:12">
      <c r="A35" s="303" t="s">
        <v>476</v>
      </c>
      <c r="B35" s="304"/>
      <c r="C35" s="304"/>
      <c r="D35" s="304"/>
      <c r="E35" s="304"/>
      <c r="F35" s="304"/>
      <c r="G35" s="304"/>
      <c r="H35" s="304"/>
      <c r="I35" s="304"/>
      <c r="J35" s="304"/>
      <c r="K35" s="304"/>
      <c r="L35" s="305"/>
    </row>
    <row r="36" s="273" customFormat="1" ht="67.2" outlineLevel="1" spans="1:12">
      <c r="A36" s="306" t="s">
        <v>477</v>
      </c>
      <c r="B36" s="307" t="s">
        <v>426</v>
      </c>
      <c r="C36" s="307" t="s">
        <v>427</v>
      </c>
      <c r="D36" s="307" t="s">
        <v>428</v>
      </c>
      <c r="E36" s="255"/>
      <c r="F36" s="255"/>
      <c r="G36" s="308"/>
      <c r="H36" s="309">
        <v>46161</v>
      </c>
      <c r="I36" s="310" t="s">
        <v>7</v>
      </c>
      <c r="J36" s="308"/>
      <c r="K36" s="308"/>
      <c r="L36" s="5" t="s">
        <v>425</v>
      </c>
    </row>
    <row r="37" s="273" customFormat="1" ht="67.2" outlineLevel="1" spans="1:12">
      <c r="A37" s="306" t="s">
        <v>478</v>
      </c>
      <c r="B37" s="307" t="s">
        <v>432</v>
      </c>
      <c r="C37" s="307" t="s">
        <v>433</v>
      </c>
      <c r="D37" s="307" t="s">
        <v>434</v>
      </c>
      <c r="E37" s="255"/>
      <c r="F37" s="255"/>
      <c r="G37" s="308"/>
      <c r="H37" s="309">
        <v>46161</v>
      </c>
      <c r="I37" s="310" t="s">
        <v>7</v>
      </c>
      <c r="J37" s="308"/>
      <c r="K37" s="308"/>
      <c r="L37" s="5" t="s">
        <v>425</v>
      </c>
    </row>
    <row r="38" s="273" customFormat="1" ht="67.2" outlineLevel="1" spans="1:12">
      <c r="A38" s="306" t="s">
        <v>479</v>
      </c>
      <c r="B38" s="307" t="s">
        <v>435</v>
      </c>
      <c r="C38" s="307" t="s">
        <v>436</v>
      </c>
      <c r="D38" s="307" t="s">
        <v>424</v>
      </c>
      <c r="E38" s="255"/>
      <c r="F38" s="255"/>
      <c r="G38" s="308"/>
      <c r="H38" s="309">
        <v>46161</v>
      </c>
      <c r="I38" s="310" t="s">
        <v>7</v>
      </c>
      <c r="J38" s="308"/>
      <c r="K38" s="308"/>
      <c r="L38" s="5" t="s">
        <v>425</v>
      </c>
    </row>
    <row r="39" s="273" customFormat="1" ht="67.2" outlineLevel="1" spans="1:12">
      <c r="A39" s="306" t="s">
        <v>480</v>
      </c>
      <c r="B39" s="307" t="s">
        <v>439</v>
      </c>
      <c r="C39" s="307" t="s">
        <v>440</v>
      </c>
      <c r="D39" s="307" t="s">
        <v>434</v>
      </c>
      <c r="E39" s="255"/>
      <c r="F39" s="255"/>
      <c r="G39" s="308"/>
      <c r="H39" s="309">
        <v>46161</v>
      </c>
      <c r="I39" s="310" t="s">
        <v>7</v>
      </c>
      <c r="J39" s="308"/>
      <c r="K39" s="308"/>
      <c r="L39" s="5" t="s">
        <v>425</v>
      </c>
    </row>
    <row r="40" s="273" customFormat="1" ht="67.2" outlineLevel="1" spans="1:12">
      <c r="A40" s="306" t="s">
        <v>481</v>
      </c>
      <c r="B40" s="307" t="s">
        <v>441</v>
      </c>
      <c r="C40" s="307" t="s">
        <v>442</v>
      </c>
      <c r="D40" s="307" t="s">
        <v>443</v>
      </c>
      <c r="E40" s="307"/>
      <c r="F40" s="307"/>
      <c r="G40" s="308"/>
      <c r="H40" s="309">
        <v>46161</v>
      </c>
      <c r="I40" s="310" t="s">
        <v>7</v>
      </c>
      <c r="J40" s="308"/>
      <c r="K40" s="308"/>
      <c r="L40" s="5" t="s">
        <v>425</v>
      </c>
    </row>
    <row r="41" s="273" customFormat="1" ht="67.2" outlineLevel="1" spans="1:12">
      <c r="A41" s="306" t="s">
        <v>482</v>
      </c>
      <c r="B41" s="307" t="s">
        <v>462</v>
      </c>
      <c r="C41" s="307" t="s">
        <v>463</v>
      </c>
      <c r="D41" s="307" t="s">
        <v>456</v>
      </c>
      <c r="E41" s="307"/>
      <c r="F41" s="307"/>
      <c r="G41" s="308"/>
      <c r="H41" s="309">
        <v>46161</v>
      </c>
      <c r="I41" s="310" t="s">
        <v>7</v>
      </c>
      <c r="J41" s="308"/>
      <c r="K41" s="308"/>
      <c r="L41" s="5" t="s">
        <v>425</v>
      </c>
    </row>
    <row r="42" s="273" customFormat="1" ht="67.2" outlineLevel="1" spans="1:12">
      <c r="A42" s="306" t="s">
        <v>483</v>
      </c>
      <c r="B42" s="307" t="s">
        <v>468</v>
      </c>
      <c r="C42" s="307" t="s">
        <v>469</v>
      </c>
      <c r="D42" s="307" t="s">
        <v>470</v>
      </c>
      <c r="E42" s="307"/>
      <c r="F42" s="307"/>
      <c r="G42" s="308"/>
      <c r="H42" s="309">
        <v>46161</v>
      </c>
      <c r="I42" s="310" t="s">
        <v>7</v>
      </c>
      <c r="J42" s="308"/>
      <c r="K42" s="308"/>
      <c r="L42" s="5" t="s">
        <v>425</v>
      </c>
    </row>
    <row r="43" s="273" customFormat="1" ht="67.2" outlineLevel="1" spans="1:12">
      <c r="A43" s="306" t="s">
        <v>484</v>
      </c>
      <c r="B43" s="307" t="s">
        <v>473</v>
      </c>
      <c r="C43" s="307" t="s">
        <v>474</v>
      </c>
      <c r="D43" s="307" t="s">
        <v>475</v>
      </c>
      <c r="E43" s="307"/>
      <c r="F43" s="307"/>
      <c r="G43" s="308"/>
      <c r="H43" s="309">
        <v>46161</v>
      </c>
      <c r="I43" s="310" t="s">
        <v>7</v>
      </c>
      <c r="J43" s="308"/>
      <c r="K43" s="308"/>
      <c r="L43" s="5" t="s">
        <v>425</v>
      </c>
    </row>
    <row r="44" s="273" customFormat="1" outlineLevel="1" spans="1:12">
      <c r="A44" s="316" t="s">
        <v>485</v>
      </c>
      <c r="B44" s="317"/>
      <c r="C44" s="317"/>
      <c r="D44" s="317"/>
      <c r="E44" s="317"/>
      <c r="F44" s="317"/>
      <c r="G44" s="317"/>
      <c r="H44" s="317"/>
      <c r="I44" s="317"/>
      <c r="J44" s="317"/>
      <c r="K44" s="317"/>
      <c r="L44" s="318"/>
    </row>
    <row r="45" s="273" customFormat="1" ht="100.8" outlineLevel="1" spans="1:12">
      <c r="A45" s="306" t="s">
        <v>188</v>
      </c>
      <c r="B45" s="307" t="s">
        <v>422</v>
      </c>
      <c r="C45" s="307" t="s">
        <v>423</v>
      </c>
      <c r="D45" s="307" t="s">
        <v>424</v>
      </c>
      <c r="E45" s="255"/>
      <c r="F45" s="255"/>
      <c r="G45" s="308"/>
      <c r="H45" s="309">
        <v>46161</v>
      </c>
      <c r="I45" s="319" t="s">
        <v>8</v>
      </c>
      <c r="J45" s="308" t="s">
        <v>486</v>
      </c>
      <c r="K45" s="308" t="s">
        <v>487</v>
      </c>
      <c r="L45" s="5" t="s">
        <v>425</v>
      </c>
    </row>
    <row r="46" s="273" customFormat="1" ht="67.2" outlineLevel="1" spans="1:12">
      <c r="A46" s="306" t="s">
        <v>193</v>
      </c>
      <c r="B46" s="307" t="s">
        <v>426</v>
      </c>
      <c r="C46" s="307" t="s">
        <v>427</v>
      </c>
      <c r="D46" s="307" t="s">
        <v>428</v>
      </c>
      <c r="E46" s="255"/>
      <c r="F46" s="255"/>
      <c r="G46" s="308"/>
      <c r="H46" s="309">
        <v>46161</v>
      </c>
      <c r="I46" s="319" t="s">
        <v>8</v>
      </c>
      <c r="J46" s="308" t="s">
        <v>486</v>
      </c>
      <c r="K46" s="308" t="s">
        <v>488</v>
      </c>
      <c r="L46" s="5" t="s">
        <v>425</v>
      </c>
    </row>
    <row r="47" s="273" customFormat="1" ht="67.2" outlineLevel="1" spans="1:12">
      <c r="A47" s="306" t="s">
        <v>198</v>
      </c>
      <c r="B47" s="307" t="s">
        <v>429</v>
      </c>
      <c r="C47" s="307" t="s">
        <v>430</v>
      </c>
      <c r="D47" s="307" t="s">
        <v>431</v>
      </c>
      <c r="E47" s="255"/>
      <c r="F47" s="255"/>
      <c r="G47" s="311"/>
      <c r="H47" s="309">
        <v>46161</v>
      </c>
      <c r="I47" s="319" t="s">
        <v>8</v>
      </c>
      <c r="J47" s="308" t="s">
        <v>486</v>
      </c>
      <c r="K47" s="308" t="s">
        <v>489</v>
      </c>
      <c r="L47" s="5" t="s">
        <v>425</v>
      </c>
    </row>
    <row r="48" s="273" customFormat="1" ht="67.2" outlineLevel="1" spans="1:12">
      <c r="A48" s="306" t="s">
        <v>203</v>
      </c>
      <c r="B48" s="307" t="s">
        <v>432</v>
      </c>
      <c r="C48" s="307" t="s">
        <v>433</v>
      </c>
      <c r="D48" s="307" t="s">
        <v>434</v>
      </c>
      <c r="E48" s="255"/>
      <c r="F48" s="255"/>
      <c r="G48" s="308"/>
      <c r="H48" s="309">
        <v>46161</v>
      </c>
      <c r="I48" s="319" t="s">
        <v>8</v>
      </c>
      <c r="J48" s="308" t="s">
        <v>486</v>
      </c>
      <c r="K48" s="308" t="s">
        <v>490</v>
      </c>
      <c r="L48" s="5" t="s">
        <v>425</v>
      </c>
    </row>
    <row r="49" s="273" customFormat="1" ht="67.2" outlineLevel="1" spans="1:12">
      <c r="A49" s="306" t="s">
        <v>208</v>
      </c>
      <c r="B49" s="307" t="s">
        <v>435</v>
      </c>
      <c r="C49" s="307" t="s">
        <v>436</v>
      </c>
      <c r="D49" s="307" t="s">
        <v>424</v>
      </c>
      <c r="E49" s="255"/>
      <c r="F49" s="255"/>
      <c r="G49" s="308"/>
      <c r="H49" s="309">
        <v>46161</v>
      </c>
      <c r="I49" s="319" t="s">
        <v>8</v>
      </c>
      <c r="J49" s="308" t="s">
        <v>486</v>
      </c>
      <c r="K49" s="308" t="s">
        <v>491</v>
      </c>
      <c r="L49" s="5" t="s">
        <v>425</v>
      </c>
    </row>
    <row r="50" s="274" customFormat="1" ht="67.2" outlineLevel="1" spans="1:12">
      <c r="A50" s="306" t="s">
        <v>213</v>
      </c>
      <c r="B50" s="312" t="s">
        <v>437</v>
      </c>
      <c r="C50" s="312" t="s">
        <v>438</v>
      </c>
      <c r="D50" s="312" t="s">
        <v>434</v>
      </c>
      <c r="E50" s="313"/>
      <c r="F50" s="313"/>
      <c r="G50" s="314"/>
      <c r="H50" s="315">
        <v>46161</v>
      </c>
      <c r="I50" s="319" t="s">
        <v>8</v>
      </c>
      <c r="J50" s="308" t="s">
        <v>486</v>
      </c>
      <c r="K50" s="308" t="s">
        <v>492</v>
      </c>
      <c r="L50" s="5" t="s">
        <v>425</v>
      </c>
    </row>
    <row r="51" s="273" customFormat="1" ht="67.2" outlineLevel="1" spans="1:12">
      <c r="A51" s="306" t="s">
        <v>217</v>
      </c>
      <c r="B51" s="307" t="s">
        <v>439</v>
      </c>
      <c r="C51" s="307" t="s">
        <v>440</v>
      </c>
      <c r="D51" s="307" t="s">
        <v>434</v>
      </c>
      <c r="E51" s="255"/>
      <c r="F51" s="255"/>
      <c r="G51" s="308"/>
      <c r="H51" s="309">
        <v>46161</v>
      </c>
      <c r="I51" s="319" t="s">
        <v>8</v>
      </c>
      <c r="J51" s="308" t="s">
        <v>486</v>
      </c>
      <c r="K51" s="308" t="s">
        <v>493</v>
      </c>
      <c r="L51" s="5" t="s">
        <v>425</v>
      </c>
    </row>
    <row r="52" s="273" customFormat="1" ht="67.2" outlineLevel="1" spans="1:12">
      <c r="A52" s="306" t="s">
        <v>221</v>
      </c>
      <c r="B52" s="307" t="s">
        <v>441</v>
      </c>
      <c r="C52" s="307" t="s">
        <v>442</v>
      </c>
      <c r="D52" s="307" t="s">
        <v>443</v>
      </c>
      <c r="E52" s="307"/>
      <c r="F52" s="307"/>
      <c r="G52" s="308"/>
      <c r="H52" s="309">
        <v>46161</v>
      </c>
      <c r="I52" s="319" t="s">
        <v>8</v>
      </c>
      <c r="J52" s="308" t="s">
        <v>486</v>
      </c>
      <c r="K52" s="308" t="s">
        <v>494</v>
      </c>
      <c r="L52" s="5" t="s">
        <v>425</v>
      </c>
    </row>
    <row r="53" s="273" customFormat="1" ht="67.2" outlineLevel="1" spans="1:12">
      <c r="A53" s="306" t="s">
        <v>226</v>
      </c>
      <c r="B53" s="307" t="s">
        <v>495</v>
      </c>
      <c r="C53" s="307" t="s">
        <v>496</v>
      </c>
      <c r="D53" s="307" t="s">
        <v>470</v>
      </c>
      <c r="E53" s="307"/>
      <c r="F53" s="307"/>
      <c r="G53" s="308"/>
      <c r="H53" s="309">
        <v>46168</v>
      </c>
      <c r="I53" s="319" t="s">
        <v>8</v>
      </c>
      <c r="J53" s="308" t="s">
        <v>486</v>
      </c>
      <c r="K53" s="308" t="s">
        <v>497</v>
      </c>
      <c r="L53" s="5" t="s">
        <v>425</v>
      </c>
    </row>
    <row r="54" s="273" customFormat="1" ht="67.2" outlineLevel="1" spans="1:12">
      <c r="A54" s="306" t="s">
        <v>230</v>
      </c>
      <c r="B54" s="307" t="s">
        <v>498</v>
      </c>
      <c r="C54" s="307" t="s">
        <v>499</v>
      </c>
      <c r="D54" s="307" t="s">
        <v>456</v>
      </c>
      <c r="E54" s="307"/>
      <c r="F54" s="307"/>
      <c r="G54" s="308"/>
      <c r="H54" s="309">
        <v>46168</v>
      </c>
      <c r="I54" s="319" t="s">
        <v>8</v>
      </c>
      <c r="J54" s="308" t="s">
        <v>486</v>
      </c>
      <c r="K54" s="308" t="s">
        <v>500</v>
      </c>
      <c r="L54" s="5" t="s">
        <v>425</v>
      </c>
    </row>
    <row r="55" s="273" customFormat="1" ht="67.2" outlineLevel="1" spans="1:12">
      <c r="A55" s="306" t="s">
        <v>235</v>
      </c>
      <c r="B55" s="307" t="s">
        <v>471</v>
      </c>
      <c r="C55" s="307" t="s">
        <v>472</v>
      </c>
      <c r="D55" s="307" t="s">
        <v>456</v>
      </c>
      <c r="E55" s="307"/>
      <c r="F55" s="307"/>
      <c r="G55" s="308"/>
      <c r="H55" s="309">
        <v>46168</v>
      </c>
      <c r="I55" s="319" t="s">
        <v>8</v>
      </c>
      <c r="J55" s="308" t="s">
        <v>486</v>
      </c>
      <c r="K55" s="308" t="s">
        <v>501</v>
      </c>
      <c r="L55" s="5" t="s">
        <v>425</v>
      </c>
    </row>
    <row r="56" s="273" customFormat="1" ht="67.2" outlineLevel="1" spans="1:12">
      <c r="A56" s="306" t="s">
        <v>239</v>
      </c>
      <c r="B56" s="307" t="s">
        <v>502</v>
      </c>
      <c r="C56" s="307" t="s">
        <v>503</v>
      </c>
      <c r="D56" s="307" t="s">
        <v>504</v>
      </c>
      <c r="E56" s="307"/>
      <c r="F56" s="307"/>
      <c r="G56" s="308"/>
      <c r="H56" s="309">
        <v>46168</v>
      </c>
      <c r="I56" s="319" t="s">
        <v>8</v>
      </c>
      <c r="J56" s="308" t="s">
        <v>486</v>
      </c>
      <c r="K56" s="308" t="s">
        <v>505</v>
      </c>
      <c r="L56" s="5" t="s">
        <v>425</v>
      </c>
    </row>
    <row r="57" s="273" customFormat="1" ht="67.2" outlineLevel="1" spans="1:12">
      <c r="A57" s="306" t="s">
        <v>243</v>
      </c>
      <c r="B57" s="307" t="s">
        <v>473</v>
      </c>
      <c r="C57" s="307" t="s">
        <v>474</v>
      </c>
      <c r="D57" s="307" t="s">
        <v>475</v>
      </c>
      <c r="E57" s="307"/>
      <c r="F57" s="307"/>
      <c r="G57" s="308"/>
      <c r="H57" s="309">
        <v>46168</v>
      </c>
      <c r="I57" s="319" t="s">
        <v>8</v>
      </c>
      <c r="J57" s="308" t="s">
        <v>486</v>
      </c>
      <c r="K57" s="308" t="s">
        <v>506</v>
      </c>
      <c r="L57" s="5" t="s">
        <v>425</v>
      </c>
    </row>
    <row r="58" s="273" customFormat="1" ht="50.4" outlineLevel="1" spans="1:12">
      <c r="A58" s="306" t="s">
        <v>248</v>
      </c>
      <c r="B58" s="307" t="s">
        <v>507</v>
      </c>
      <c r="C58" s="307" t="s">
        <v>508</v>
      </c>
      <c r="D58" s="307" t="s">
        <v>509</v>
      </c>
      <c r="E58" s="307"/>
      <c r="F58" s="307"/>
      <c r="G58" s="308"/>
      <c r="H58" s="309">
        <v>46168</v>
      </c>
      <c r="I58" s="319" t="s">
        <v>8</v>
      </c>
      <c r="J58" s="308" t="s">
        <v>486</v>
      </c>
      <c r="K58" s="308" t="s">
        <v>510</v>
      </c>
      <c r="L58" s="5" t="s">
        <v>425</v>
      </c>
    </row>
    <row r="59" s="273" customFormat="1" outlineLevel="1" spans="1:12">
      <c r="A59" s="320" t="s">
        <v>511</v>
      </c>
      <c r="B59" s="321"/>
      <c r="C59" s="321"/>
      <c r="D59" s="321"/>
      <c r="E59" s="321"/>
      <c r="F59" s="321"/>
      <c r="G59" s="321"/>
      <c r="H59" s="321"/>
      <c r="I59" s="321"/>
      <c r="J59" s="321"/>
      <c r="K59" s="321"/>
      <c r="L59" s="322"/>
    </row>
    <row r="60" s="273" customFormat="1" outlineLevel="1" spans="1:12">
      <c r="A60" s="316" t="s">
        <v>512</v>
      </c>
      <c r="B60" s="317"/>
      <c r="C60" s="317"/>
      <c r="D60" s="317"/>
      <c r="E60" s="317"/>
      <c r="F60" s="317"/>
      <c r="G60" s="317"/>
      <c r="H60" s="317"/>
      <c r="I60" s="317"/>
      <c r="J60" s="317"/>
      <c r="K60" s="317"/>
      <c r="L60" s="318"/>
    </row>
    <row r="61" s="273" customFormat="1" ht="67.2" outlineLevel="1" spans="1:12">
      <c r="A61" s="306" t="s">
        <v>253</v>
      </c>
      <c r="B61" s="323" t="s">
        <v>513</v>
      </c>
      <c r="C61" s="323" t="s">
        <v>514</v>
      </c>
      <c r="D61" s="307" t="s">
        <v>515</v>
      </c>
      <c r="E61" s="307"/>
      <c r="F61" s="307"/>
      <c r="G61" s="308"/>
      <c r="H61" s="309">
        <v>46170</v>
      </c>
      <c r="I61" s="310" t="s">
        <v>7</v>
      </c>
      <c r="J61" s="308"/>
      <c r="K61" s="308"/>
      <c r="L61" s="5" t="s">
        <v>425</v>
      </c>
    </row>
    <row r="62" s="273" customFormat="1" ht="67.2" outlineLevel="1" spans="1:12">
      <c r="A62" s="306" t="s">
        <v>258</v>
      </c>
      <c r="B62" s="323" t="s">
        <v>516</v>
      </c>
      <c r="C62" s="323" t="s">
        <v>517</v>
      </c>
      <c r="D62" s="307" t="s">
        <v>518</v>
      </c>
      <c r="E62" s="307"/>
      <c r="F62" s="307"/>
      <c r="G62" s="308"/>
      <c r="H62" s="309">
        <v>46170</v>
      </c>
      <c r="I62" s="310" t="s">
        <v>7</v>
      </c>
      <c r="J62" s="308"/>
      <c r="K62" s="308"/>
      <c r="L62" s="5" t="s">
        <v>425</v>
      </c>
    </row>
    <row r="63" s="273" customFormat="1" ht="67.2" outlineLevel="1" spans="1:12">
      <c r="A63" s="306" t="s">
        <v>262</v>
      </c>
      <c r="B63" s="323" t="s">
        <v>519</v>
      </c>
      <c r="C63" s="323" t="s">
        <v>520</v>
      </c>
      <c r="D63" s="307" t="s">
        <v>521</v>
      </c>
      <c r="E63" s="307"/>
      <c r="F63" s="307"/>
      <c r="G63" s="308"/>
      <c r="H63" s="309">
        <v>46170</v>
      </c>
      <c r="I63" s="310" t="s">
        <v>7</v>
      </c>
      <c r="J63" s="308"/>
      <c r="K63" s="308"/>
      <c r="L63" s="5" t="s">
        <v>425</v>
      </c>
    </row>
    <row r="64" s="273" customFormat="1" ht="67.2" spans="1:12">
      <c r="A64" s="306" t="s">
        <v>266</v>
      </c>
      <c r="B64" s="323" t="s">
        <v>522</v>
      </c>
      <c r="C64" s="323" t="s">
        <v>523</v>
      </c>
      <c r="D64" s="307" t="s">
        <v>524</v>
      </c>
      <c r="E64" s="307"/>
      <c r="F64" s="307"/>
      <c r="G64" s="324"/>
      <c r="H64" s="325">
        <v>46172</v>
      </c>
      <c r="I64" s="310" t="s">
        <v>7</v>
      </c>
      <c r="J64" s="324"/>
      <c r="K64" s="324"/>
      <c r="L64" s="5" t="s">
        <v>425</v>
      </c>
    </row>
    <row r="65" s="273" customFormat="1" ht="67.2" spans="1:12">
      <c r="A65" s="306" t="s">
        <v>270</v>
      </c>
      <c r="B65" s="323" t="s">
        <v>525</v>
      </c>
      <c r="C65" s="323" t="s">
        <v>526</v>
      </c>
      <c r="D65" s="307" t="s">
        <v>527</v>
      </c>
      <c r="E65" s="307"/>
      <c r="F65" s="307"/>
      <c r="G65" s="324"/>
      <c r="H65" s="325">
        <v>46172</v>
      </c>
      <c r="I65" s="310" t="s">
        <v>7</v>
      </c>
      <c r="J65" s="324"/>
      <c r="K65" s="324"/>
      <c r="L65" s="5" t="s">
        <v>425</v>
      </c>
    </row>
    <row r="66" s="273" customFormat="1" ht="67.2" spans="1:12">
      <c r="A66" s="306" t="s">
        <v>274</v>
      </c>
      <c r="B66" s="323" t="s">
        <v>528</v>
      </c>
      <c r="C66" s="323" t="s">
        <v>529</v>
      </c>
      <c r="D66" s="307" t="s">
        <v>530</v>
      </c>
      <c r="E66" s="307"/>
      <c r="F66" s="307"/>
      <c r="G66" s="324"/>
      <c r="H66" s="325">
        <v>46172</v>
      </c>
      <c r="I66" s="310" t="s">
        <v>7</v>
      </c>
      <c r="J66" s="324"/>
      <c r="K66" s="324"/>
      <c r="L66" s="5" t="s">
        <v>425</v>
      </c>
    </row>
    <row r="67" s="273" customFormat="1" outlineLevel="1" spans="1:12">
      <c r="A67" s="316" t="s">
        <v>531</v>
      </c>
      <c r="B67" s="317"/>
      <c r="C67" s="317"/>
      <c r="D67" s="317"/>
      <c r="E67" s="317"/>
      <c r="F67" s="317"/>
      <c r="G67" s="317"/>
      <c r="H67" s="317"/>
      <c r="I67" s="317"/>
      <c r="J67" s="317"/>
      <c r="K67" s="317"/>
      <c r="L67" s="318"/>
    </row>
    <row r="68" s="273" customFormat="1" ht="67.2" outlineLevel="1" spans="1:12">
      <c r="A68" s="306" t="s">
        <v>278</v>
      </c>
      <c r="B68" s="323" t="s">
        <v>519</v>
      </c>
      <c r="C68" s="323" t="s">
        <v>520</v>
      </c>
      <c r="D68" s="307" t="s">
        <v>521</v>
      </c>
      <c r="E68" s="307"/>
      <c r="F68" s="307"/>
      <c r="G68" s="308"/>
      <c r="H68" s="309">
        <v>46168</v>
      </c>
      <c r="I68" s="310" t="s">
        <v>7</v>
      </c>
      <c r="J68" s="308"/>
      <c r="K68" s="308"/>
      <c r="L68" s="5" t="s">
        <v>425</v>
      </c>
    </row>
    <row r="69" s="273" customFormat="1" ht="67.2" outlineLevel="1" spans="1:12">
      <c r="A69" s="306" t="s">
        <v>283</v>
      </c>
      <c r="B69" s="323" t="s">
        <v>532</v>
      </c>
      <c r="C69" s="323" t="s">
        <v>533</v>
      </c>
      <c r="D69" s="307" t="s">
        <v>534</v>
      </c>
      <c r="E69" s="307"/>
      <c r="F69" s="307"/>
      <c r="G69" s="308"/>
      <c r="H69" s="309">
        <v>46168</v>
      </c>
      <c r="I69" s="310" t="s">
        <v>7</v>
      </c>
      <c r="J69" s="308"/>
      <c r="K69" s="308"/>
      <c r="L69" s="5" t="s">
        <v>425</v>
      </c>
    </row>
    <row r="70" s="273" customFormat="1" ht="67.2" outlineLevel="1" spans="1:12">
      <c r="A70" s="306" t="s">
        <v>288</v>
      </c>
      <c r="B70" s="323" t="s">
        <v>535</v>
      </c>
      <c r="C70" s="323" t="s">
        <v>536</v>
      </c>
      <c r="D70" s="307" t="s">
        <v>537</v>
      </c>
      <c r="E70" s="307"/>
      <c r="F70" s="307"/>
      <c r="G70" s="326"/>
      <c r="H70" s="309">
        <v>46168</v>
      </c>
      <c r="I70" s="310" t="s">
        <v>7</v>
      </c>
      <c r="J70" s="324"/>
      <c r="K70" s="324"/>
      <c r="L70" s="5" t="s">
        <v>425</v>
      </c>
    </row>
    <row r="71" s="273" customFormat="1" ht="67.2" outlineLevel="1" spans="1:12">
      <c r="A71" s="306" t="s">
        <v>293</v>
      </c>
      <c r="B71" s="323" t="s">
        <v>538</v>
      </c>
      <c r="C71" s="323" t="s">
        <v>539</v>
      </c>
      <c r="D71" s="307" t="s">
        <v>537</v>
      </c>
      <c r="E71" s="307"/>
      <c r="F71" s="307"/>
      <c r="G71" s="326"/>
      <c r="H71" s="309">
        <v>46168</v>
      </c>
      <c r="I71" s="310" t="s">
        <v>7</v>
      </c>
      <c r="J71" s="324"/>
      <c r="K71" s="324"/>
      <c r="L71" s="5" t="s">
        <v>425</v>
      </c>
    </row>
    <row r="72" s="273" customFormat="1" ht="67.2" spans="1:12">
      <c r="A72" s="306" t="s">
        <v>298</v>
      </c>
      <c r="B72" s="323" t="s">
        <v>522</v>
      </c>
      <c r="C72" s="323" t="s">
        <v>523</v>
      </c>
      <c r="D72" s="307" t="s">
        <v>524</v>
      </c>
      <c r="E72" s="307"/>
      <c r="F72" s="307"/>
      <c r="G72" s="324"/>
      <c r="H72" s="325">
        <v>46172</v>
      </c>
      <c r="I72" s="310" t="s">
        <v>7</v>
      </c>
      <c r="J72" s="324"/>
      <c r="K72" s="324"/>
      <c r="L72" s="5" t="s">
        <v>425</v>
      </c>
    </row>
    <row r="73" s="273" customFormat="1" outlineLevel="1" spans="1:12">
      <c r="A73" s="316" t="s">
        <v>485</v>
      </c>
      <c r="B73" s="317"/>
      <c r="C73" s="317"/>
      <c r="D73" s="317"/>
      <c r="E73" s="317"/>
      <c r="F73" s="317"/>
      <c r="G73" s="317"/>
      <c r="H73" s="317"/>
      <c r="I73" s="317"/>
      <c r="J73" s="317"/>
      <c r="K73" s="317"/>
      <c r="L73" s="318"/>
    </row>
    <row r="74" s="273" customFormat="1" ht="67.2" outlineLevel="1" spans="1:12">
      <c r="A74" s="306" t="s">
        <v>304</v>
      </c>
      <c r="B74" s="323" t="s">
        <v>513</v>
      </c>
      <c r="C74" s="323" t="s">
        <v>514</v>
      </c>
      <c r="D74" s="307" t="s">
        <v>515</v>
      </c>
      <c r="E74" s="307"/>
      <c r="F74" s="307"/>
      <c r="G74" s="308"/>
      <c r="H74" s="309">
        <v>46168</v>
      </c>
      <c r="I74" s="319" t="s">
        <v>8</v>
      </c>
      <c r="J74" s="308" t="s">
        <v>486</v>
      </c>
      <c r="K74" s="308" t="s">
        <v>540</v>
      </c>
      <c r="L74" s="5" t="s">
        <v>425</v>
      </c>
    </row>
    <row r="75" s="273" customFormat="1" ht="67.2" outlineLevel="1" spans="1:12">
      <c r="A75" s="306" t="s">
        <v>309</v>
      </c>
      <c r="B75" s="323" t="s">
        <v>516</v>
      </c>
      <c r="C75" s="323" t="s">
        <v>517</v>
      </c>
      <c r="D75" s="307" t="s">
        <v>518</v>
      </c>
      <c r="E75" s="307"/>
      <c r="F75" s="307"/>
      <c r="G75" s="308"/>
      <c r="H75" s="309">
        <v>46168</v>
      </c>
      <c r="I75" s="319" t="s">
        <v>8</v>
      </c>
      <c r="J75" s="308" t="s">
        <v>486</v>
      </c>
      <c r="K75" s="308" t="s">
        <v>541</v>
      </c>
      <c r="L75" s="5" t="s">
        <v>425</v>
      </c>
    </row>
    <row r="76" s="273" customFormat="1" ht="67.2" outlineLevel="1" spans="1:12">
      <c r="A76" s="306" t="s">
        <v>314</v>
      </c>
      <c r="B76" s="323" t="s">
        <v>519</v>
      </c>
      <c r="C76" s="323" t="s">
        <v>520</v>
      </c>
      <c r="D76" s="307" t="s">
        <v>521</v>
      </c>
      <c r="E76" s="307"/>
      <c r="F76" s="307"/>
      <c r="G76" s="308"/>
      <c r="H76" s="309">
        <v>46168</v>
      </c>
      <c r="I76" s="319" t="s">
        <v>8</v>
      </c>
      <c r="J76" s="308" t="s">
        <v>486</v>
      </c>
      <c r="K76" s="308" t="s">
        <v>542</v>
      </c>
      <c r="L76" s="5" t="s">
        <v>425</v>
      </c>
    </row>
    <row r="77" s="273" customFormat="1" ht="67.2" outlineLevel="1" spans="1:12">
      <c r="A77" s="306" t="s">
        <v>318</v>
      </c>
      <c r="B77" s="323" t="s">
        <v>532</v>
      </c>
      <c r="C77" s="323" t="s">
        <v>533</v>
      </c>
      <c r="D77" s="307" t="s">
        <v>534</v>
      </c>
      <c r="E77" s="307"/>
      <c r="F77" s="307"/>
      <c r="G77" s="308"/>
      <c r="H77" s="309">
        <v>46168</v>
      </c>
      <c r="I77" s="319" t="s">
        <v>8</v>
      </c>
      <c r="J77" s="308" t="s">
        <v>486</v>
      </c>
      <c r="K77" s="308" t="s">
        <v>543</v>
      </c>
      <c r="L77" s="5" t="s">
        <v>425</v>
      </c>
    </row>
    <row r="78" s="273" customFormat="1" ht="67.2" outlineLevel="1" spans="1:12">
      <c r="A78" s="306" t="s">
        <v>322</v>
      </c>
      <c r="B78" s="323" t="s">
        <v>544</v>
      </c>
      <c r="C78" s="323" t="s">
        <v>545</v>
      </c>
      <c r="D78" s="307" t="s">
        <v>527</v>
      </c>
      <c r="E78" s="307"/>
      <c r="F78" s="307"/>
      <c r="G78" s="326"/>
      <c r="H78" s="309">
        <v>46168</v>
      </c>
      <c r="I78" s="319" t="s">
        <v>8</v>
      </c>
      <c r="J78" s="308" t="s">
        <v>486</v>
      </c>
      <c r="K78" s="308" t="s">
        <v>546</v>
      </c>
      <c r="L78" s="5" t="s">
        <v>425</v>
      </c>
    </row>
    <row r="79" s="273" customFormat="1" ht="67.2" outlineLevel="1" spans="1:12">
      <c r="A79" s="306" t="s">
        <v>327</v>
      </c>
      <c r="B79" s="323" t="s">
        <v>547</v>
      </c>
      <c r="C79" s="323" t="s">
        <v>548</v>
      </c>
      <c r="D79" s="307" t="s">
        <v>527</v>
      </c>
      <c r="E79" s="307"/>
      <c r="F79" s="307"/>
      <c r="G79" s="326"/>
      <c r="H79" s="309">
        <v>46168</v>
      </c>
      <c r="I79" s="319" t="s">
        <v>8</v>
      </c>
      <c r="J79" s="308" t="s">
        <v>486</v>
      </c>
      <c r="K79" s="308" t="s">
        <v>549</v>
      </c>
      <c r="L79" s="5" t="s">
        <v>425</v>
      </c>
    </row>
    <row r="80" s="273" customFormat="1" ht="67.2" outlineLevel="1" spans="1:12">
      <c r="A80" s="306" t="s">
        <v>332</v>
      </c>
      <c r="B80" s="323" t="s">
        <v>535</v>
      </c>
      <c r="C80" s="323" t="s">
        <v>536</v>
      </c>
      <c r="D80" s="307" t="s">
        <v>537</v>
      </c>
      <c r="E80" s="307"/>
      <c r="F80" s="307"/>
      <c r="G80" s="326"/>
      <c r="H80" s="309">
        <v>46168</v>
      </c>
      <c r="I80" s="319" t="s">
        <v>8</v>
      </c>
      <c r="J80" s="308" t="s">
        <v>486</v>
      </c>
      <c r="K80" s="308" t="s">
        <v>550</v>
      </c>
      <c r="L80" s="5" t="s">
        <v>425</v>
      </c>
    </row>
    <row r="81" s="273" customFormat="1" ht="67.2" outlineLevel="1" spans="1:12">
      <c r="A81" s="306" t="s">
        <v>337</v>
      </c>
      <c r="B81" s="323" t="s">
        <v>551</v>
      </c>
      <c r="C81" s="323" t="s">
        <v>552</v>
      </c>
      <c r="D81" s="307" t="s">
        <v>553</v>
      </c>
      <c r="E81" s="307"/>
      <c r="F81" s="307"/>
      <c r="G81" s="326"/>
      <c r="H81" s="309">
        <v>46168</v>
      </c>
      <c r="I81" s="319" t="s">
        <v>8</v>
      </c>
      <c r="J81" s="308" t="s">
        <v>486</v>
      </c>
      <c r="K81" s="308" t="s">
        <v>554</v>
      </c>
      <c r="L81" s="5" t="s">
        <v>425</v>
      </c>
    </row>
    <row r="82" s="273" customFormat="1" ht="67.2" outlineLevel="1" spans="1:12">
      <c r="A82" s="306" t="s">
        <v>342</v>
      </c>
      <c r="B82" s="323" t="s">
        <v>555</v>
      </c>
      <c r="C82" s="323" t="s">
        <v>556</v>
      </c>
      <c r="D82" s="307" t="s">
        <v>557</v>
      </c>
      <c r="E82" s="307"/>
      <c r="F82" s="307"/>
      <c r="G82" s="326"/>
      <c r="H82" s="309">
        <v>46168</v>
      </c>
      <c r="I82" s="319" t="s">
        <v>8</v>
      </c>
      <c r="J82" s="308" t="s">
        <v>486</v>
      </c>
      <c r="K82" s="308" t="s">
        <v>558</v>
      </c>
      <c r="L82" s="5" t="s">
        <v>425</v>
      </c>
    </row>
    <row r="83" s="273" customFormat="1" ht="67.2" outlineLevel="1" spans="1:12">
      <c r="A83" s="306" t="s">
        <v>346</v>
      </c>
      <c r="B83" s="323" t="s">
        <v>538</v>
      </c>
      <c r="C83" s="323" t="s">
        <v>539</v>
      </c>
      <c r="D83" s="307" t="s">
        <v>537</v>
      </c>
      <c r="E83" s="307"/>
      <c r="F83" s="307"/>
      <c r="G83" s="326"/>
      <c r="H83" s="309">
        <v>46168</v>
      </c>
      <c r="I83" s="319" t="s">
        <v>8</v>
      </c>
      <c r="J83" s="308" t="s">
        <v>486</v>
      </c>
      <c r="K83" s="308" t="s">
        <v>559</v>
      </c>
      <c r="L83" s="5" t="s">
        <v>425</v>
      </c>
    </row>
    <row r="84" s="273" customFormat="1" ht="67.2" outlineLevel="1" spans="1:12">
      <c r="A84" s="306" t="s">
        <v>350</v>
      </c>
      <c r="B84" s="323" t="s">
        <v>560</v>
      </c>
      <c r="C84" s="323" t="s">
        <v>561</v>
      </c>
      <c r="D84" s="307" t="s">
        <v>562</v>
      </c>
      <c r="E84" s="307"/>
      <c r="F84" s="307"/>
      <c r="G84" s="326"/>
      <c r="H84" s="309">
        <v>46168</v>
      </c>
      <c r="I84" s="319" t="s">
        <v>8</v>
      </c>
      <c r="J84" s="308" t="s">
        <v>486</v>
      </c>
      <c r="K84" s="308" t="s">
        <v>563</v>
      </c>
      <c r="L84" s="5" t="s">
        <v>425</v>
      </c>
    </row>
    <row r="85" s="273" customFormat="1" ht="67.2" outlineLevel="1" spans="1:12">
      <c r="A85" s="306" t="s">
        <v>355</v>
      </c>
      <c r="B85" s="323" t="s">
        <v>564</v>
      </c>
      <c r="C85" s="323" t="s">
        <v>565</v>
      </c>
      <c r="D85" s="307" t="s">
        <v>566</v>
      </c>
      <c r="E85" s="307"/>
      <c r="F85" s="307"/>
      <c r="G85" s="326"/>
      <c r="H85" s="309">
        <v>46168</v>
      </c>
      <c r="I85" s="319" t="s">
        <v>8</v>
      </c>
      <c r="J85" s="308" t="s">
        <v>486</v>
      </c>
      <c r="K85" s="308" t="s">
        <v>567</v>
      </c>
      <c r="L85" s="5" t="s">
        <v>425</v>
      </c>
    </row>
    <row r="86" s="273" customFormat="1" ht="67.2" spans="1:12">
      <c r="A86" s="306" t="s">
        <v>360</v>
      </c>
      <c r="B86" s="323" t="s">
        <v>568</v>
      </c>
      <c r="C86" s="323" t="s">
        <v>569</v>
      </c>
      <c r="D86" s="307" t="s">
        <v>570</v>
      </c>
      <c r="E86" s="307"/>
      <c r="F86" s="307"/>
      <c r="G86" s="326"/>
      <c r="H86" s="309">
        <v>46168</v>
      </c>
      <c r="I86" s="319" t="s">
        <v>8</v>
      </c>
      <c r="J86" s="308" t="s">
        <v>486</v>
      </c>
      <c r="K86" s="308" t="s">
        <v>571</v>
      </c>
      <c r="L86" s="5" t="s">
        <v>425</v>
      </c>
    </row>
    <row r="87" s="273" customFormat="1" ht="67.2" spans="1:12">
      <c r="A87" s="306" t="s">
        <v>365</v>
      </c>
      <c r="B87" s="323" t="s">
        <v>572</v>
      </c>
      <c r="C87" s="323" t="s">
        <v>573</v>
      </c>
      <c r="D87" s="307" t="s">
        <v>574</v>
      </c>
      <c r="E87" s="307"/>
      <c r="F87" s="307"/>
      <c r="G87" s="326"/>
      <c r="H87" s="309">
        <v>46168</v>
      </c>
      <c r="I87" s="319" t="s">
        <v>8</v>
      </c>
      <c r="J87" s="308" t="s">
        <v>486</v>
      </c>
      <c r="K87" s="308" t="s">
        <v>575</v>
      </c>
      <c r="L87" s="5" t="s">
        <v>425</v>
      </c>
    </row>
    <row r="88" s="273" customFormat="1" ht="67.2" spans="1:12">
      <c r="A88" s="306" t="s">
        <v>371</v>
      </c>
      <c r="B88" s="323" t="s">
        <v>522</v>
      </c>
      <c r="C88" s="323" t="s">
        <v>523</v>
      </c>
      <c r="D88" s="307" t="s">
        <v>524</v>
      </c>
      <c r="E88" s="307"/>
      <c r="F88" s="307"/>
      <c r="G88" s="324"/>
      <c r="H88" s="325">
        <v>46172</v>
      </c>
      <c r="I88" s="319" t="s">
        <v>8</v>
      </c>
      <c r="J88" s="324" t="s">
        <v>486</v>
      </c>
      <c r="K88" s="308" t="s">
        <v>576</v>
      </c>
      <c r="L88" s="5" t="s">
        <v>425</v>
      </c>
    </row>
    <row r="89" s="273" customFormat="1" ht="67.2" spans="1:12">
      <c r="A89" s="306" t="s">
        <v>375</v>
      </c>
      <c r="B89" s="323" t="s">
        <v>525</v>
      </c>
      <c r="C89" s="323" t="s">
        <v>526</v>
      </c>
      <c r="D89" s="307" t="s">
        <v>527</v>
      </c>
      <c r="E89" s="307"/>
      <c r="F89" s="307"/>
      <c r="G89" s="324"/>
      <c r="H89" s="325">
        <v>46172</v>
      </c>
      <c r="I89" s="319" t="s">
        <v>8</v>
      </c>
      <c r="J89" s="324" t="s">
        <v>486</v>
      </c>
      <c r="K89" s="308" t="s">
        <v>577</v>
      </c>
      <c r="L89" s="5" t="s">
        <v>425</v>
      </c>
    </row>
    <row r="90" s="273" customFormat="1" ht="67.2" spans="1:12">
      <c r="A90" s="306" t="s">
        <v>379</v>
      </c>
      <c r="B90" s="323" t="s">
        <v>528</v>
      </c>
      <c r="C90" s="323" t="s">
        <v>529</v>
      </c>
      <c r="D90" s="307" t="s">
        <v>530</v>
      </c>
      <c r="E90" s="307"/>
      <c r="F90" s="307"/>
      <c r="G90" s="324"/>
      <c r="H90" s="325">
        <v>46172</v>
      </c>
      <c r="I90" s="319" t="s">
        <v>8</v>
      </c>
      <c r="J90" s="324" t="s">
        <v>486</v>
      </c>
      <c r="K90" s="308" t="s">
        <v>578</v>
      </c>
      <c r="L90" s="5" t="s">
        <v>425</v>
      </c>
    </row>
    <row r="91" s="273" customFormat="1" ht="67.2" spans="1:12">
      <c r="A91" s="306" t="s">
        <v>383</v>
      </c>
      <c r="B91" s="323" t="s">
        <v>579</v>
      </c>
      <c r="C91" s="323" t="s">
        <v>580</v>
      </c>
      <c r="D91" s="307" t="s">
        <v>581</v>
      </c>
      <c r="E91" s="307"/>
      <c r="F91" s="307"/>
      <c r="G91" s="324"/>
      <c r="H91" s="325">
        <v>46172</v>
      </c>
      <c r="I91" s="319" t="s">
        <v>8</v>
      </c>
      <c r="J91" s="324" t="s">
        <v>486</v>
      </c>
      <c r="K91" s="308" t="s">
        <v>582</v>
      </c>
      <c r="L91" s="5" t="s">
        <v>425</v>
      </c>
    </row>
    <row r="92" s="273" customFormat="1" ht="50.4" spans="1:12">
      <c r="A92" s="306" t="s">
        <v>387</v>
      </c>
      <c r="B92" s="323" t="s">
        <v>583</v>
      </c>
      <c r="C92" s="323" t="s">
        <v>584</v>
      </c>
      <c r="D92" s="307" t="s">
        <v>585</v>
      </c>
      <c r="E92" s="307"/>
      <c r="F92" s="307"/>
      <c r="G92" s="324"/>
      <c r="H92" s="325">
        <v>46172</v>
      </c>
      <c r="I92" s="319" t="s">
        <v>8</v>
      </c>
      <c r="J92" s="324" t="s">
        <v>486</v>
      </c>
      <c r="K92" s="308" t="s">
        <v>586</v>
      </c>
      <c r="L92" s="5" t="s">
        <v>425</v>
      </c>
    </row>
    <row r="93" s="273" customFormat="1" spans="1:12">
      <c r="A93" s="327" t="s">
        <v>587</v>
      </c>
      <c r="B93" s="328"/>
      <c r="C93" s="328"/>
      <c r="D93" s="328"/>
      <c r="E93" s="328"/>
      <c r="F93" s="328"/>
      <c r="G93" s="328"/>
      <c r="H93" s="328"/>
      <c r="I93" s="328"/>
      <c r="J93" s="328"/>
      <c r="K93" s="328"/>
      <c r="L93" s="329"/>
    </row>
    <row r="94" s="273" customFormat="1" spans="1:12">
      <c r="A94" s="316" t="s">
        <v>512</v>
      </c>
      <c r="B94" s="317"/>
      <c r="C94" s="317"/>
      <c r="D94" s="317"/>
      <c r="E94" s="317"/>
      <c r="F94" s="317"/>
      <c r="G94" s="317"/>
      <c r="H94" s="317"/>
      <c r="I94" s="317"/>
      <c r="J94" s="317"/>
      <c r="K94" s="317"/>
      <c r="L94" s="318"/>
    </row>
    <row r="95" s="273" customFormat="1" ht="50.4" spans="1:12">
      <c r="A95" s="324" t="s">
        <v>391</v>
      </c>
      <c r="B95" s="323" t="s">
        <v>588</v>
      </c>
      <c r="C95" s="323" t="s">
        <v>589</v>
      </c>
      <c r="D95" s="307" t="s">
        <v>590</v>
      </c>
      <c r="E95" s="307"/>
      <c r="F95" s="307"/>
      <c r="G95" s="324"/>
      <c r="H95" s="325">
        <v>46172</v>
      </c>
      <c r="I95" s="310" t="s">
        <v>7</v>
      </c>
      <c r="J95" s="324"/>
      <c r="K95" s="324"/>
      <c r="L95" s="5" t="s">
        <v>425</v>
      </c>
    </row>
    <row r="96" s="273" customFormat="1" ht="50.4" spans="1:12">
      <c r="A96" s="324" t="s">
        <v>395</v>
      </c>
      <c r="B96" s="323" t="s">
        <v>591</v>
      </c>
      <c r="C96" s="323" t="s">
        <v>589</v>
      </c>
      <c r="D96" s="307" t="s">
        <v>592</v>
      </c>
      <c r="E96" s="307"/>
      <c r="F96" s="307"/>
      <c r="G96" s="324"/>
      <c r="H96" s="325">
        <v>46172</v>
      </c>
      <c r="I96" s="310" t="s">
        <v>7</v>
      </c>
      <c r="J96" s="330"/>
      <c r="K96" s="330"/>
      <c r="L96" s="5" t="s">
        <v>425</v>
      </c>
    </row>
    <row r="97" s="273" customFormat="1" ht="50.4" spans="1:12">
      <c r="A97" s="324" t="s">
        <v>399</v>
      </c>
      <c r="B97" s="323" t="s">
        <v>593</v>
      </c>
      <c r="C97" s="323" t="s">
        <v>594</v>
      </c>
      <c r="D97" s="307" t="s">
        <v>595</v>
      </c>
      <c r="E97" s="307"/>
      <c r="F97" s="307"/>
      <c r="G97" s="331"/>
      <c r="H97" s="325">
        <v>46172</v>
      </c>
      <c r="I97" s="310" t="s">
        <v>7</v>
      </c>
      <c r="J97" s="308"/>
      <c r="K97" s="308"/>
      <c r="L97" s="5" t="s">
        <v>425</v>
      </c>
    </row>
    <row r="98" s="273" customFormat="1" ht="50.4" spans="1:12">
      <c r="A98" s="324" t="s">
        <v>403</v>
      </c>
      <c r="B98" s="323" t="s">
        <v>596</v>
      </c>
      <c r="C98" s="323" t="s">
        <v>594</v>
      </c>
      <c r="D98" s="307" t="s">
        <v>592</v>
      </c>
      <c r="E98" s="307"/>
      <c r="F98" s="307"/>
      <c r="G98" s="331"/>
      <c r="H98" s="325">
        <v>46172</v>
      </c>
      <c r="I98" s="310" t="s">
        <v>7</v>
      </c>
      <c r="J98" s="308"/>
      <c r="K98" s="308"/>
      <c r="L98" s="5" t="s">
        <v>425</v>
      </c>
    </row>
    <row r="99" s="273" customFormat="1" ht="33.6" outlineLevel="1" spans="1:12">
      <c r="A99" s="324" t="s">
        <v>407</v>
      </c>
      <c r="B99" s="323" t="s">
        <v>597</v>
      </c>
      <c r="C99" s="323" t="s">
        <v>598</v>
      </c>
      <c r="D99" s="307" t="s">
        <v>599</v>
      </c>
      <c r="E99" s="307"/>
      <c r="F99" s="307"/>
      <c r="G99" s="324"/>
      <c r="H99" s="325">
        <v>46172</v>
      </c>
      <c r="I99" s="310" t="s">
        <v>7</v>
      </c>
      <c r="J99" s="324"/>
      <c r="K99" s="324"/>
      <c r="L99" s="5" t="s">
        <v>425</v>
      </c>
    </row>
    <row r="100" s="275" customFormat="1" outlineLevel="1" spans="1:12">
      <c r="A100" s="316" t="s">
        <v>531</v>
      </c>
      <c r="B100" s="317"/>
      <c r="C100" s="317"/>
      <c r="D100" s="317"/>
      <c r="E100" s="317"/>
      <c r="F100" s="317"/>
      <c r="G100" s="317"/>
      <c r="H100" s="317"/>
      <c r="I100" s="317"/>
      <c r="J100" s="317"/>
      <c r="K100" s="317"/>
      <c r="L100" s="318"/>
    </row>
    <row r="101" s="273" customFormat="1" ht="50.4" spans="1:12">
      <c r="A101" s="324" t="s">
        <v>411</v>
      </c>
      <c r="B101" s="323" t="s">
        <v>588</v>
      </c>
      <c r="C101" s="323" t="s">
        <v>589</v>
      </c>
      <c r="D101" s="307" t="s">
        <v>590</v>
      </c>
      <c r="E101" s="307"/>
      <c r="F101" s="307"/>
      <c r="G101" s="324"/>
      <c r="H101" s="325">
        <v>46172</v>
      </c>
      <c r="I101" s="310" t="s">
        <v>7</v>
      </c>
      <c r="J101" s="324"/>
      <c r="K101" s="324"/>
      <c r="L101" s="5" t="s">
        <v>425</v>
      </c>
    </row>
    <row r="102" s="273" customFormat="1" ht="50.4" spans="1:12">
      <c r="A102" s="324" t="s">
        <v>600</v>
      </c>
      <c r="B102" s="323" t="s">
        <v>591</v>
      </c>
      <c r="C102" s="323" t="s">
        <v>589</v>
      </c>
      <c r="D102" s="307" t="s">
        <v>592</v>
      </c>
      <c r="E102" s="307"/>
      <c r="F102" s="307"/>
      <c r="G102" s="324"/>
      <c r="H102" s="325">
        <v>46172</v>
      </c>
      <c r="I102" s="310" t="s">
        <v>7</v>
      </c>
      <c r="J102" s="330"/>
      <c r="K102" s="330"/>
      <c r="L102" s="5" t="s">
        <v>425</v>
      </c>
    </row>
    <row r="103" s="275" customFormat="1" outlineLevel="1" spans="1:12">
      <c r="A103" s="316" t="s">
        <v>485</v>
      </c>
      <c r="B103" s="317"/>
      <c r="C103" s="317"/>
      <c r="D103" s="317"/>
      <c r="E103" s="317"/>
      <c r="F103" s="317"/>
      <c r="G103" s="317"/>
      <c r="H103" s="317"/>
      <c r="I103" s="317"/>
      <c r="J103" s="317"/>
      <c r="K103" s="317"/>
      <c r="L103" s="318"/>
    </row>
    <row r="104" s="273" customFormat="1" ht="50.4" spans="1:12">
      <c r="A104" s="324" t="s">
        <v>601</v>
      </c>
      <c r="B104" s="323" t="s">
        <v>588</v>
      </c>
      <c r="C104" s="323" t="s">
        <v>589</v>
      </c>
      <c r="D104" s="307" t="s">
        <v>590</v>
      </c>
      <c r="E104" s="307"/>
      <c r="F104" s="307"/>
      <c r="G104" s="326"/>
      <c r="H104" s="325">
        <v>46172</v>
      </c>
      <c r="I104" s="319" t="s">
        <v>8</v>
      </c>
      <c r="J104" s="324" t="s">
        <v>486</v>
      </c>
      <c r="K104" s="308" t="s">
        <v>602</v>
      </c>
      <c r="L104" s="5" t="s">
        <v>425</v>
      </c>
    </row>
    <row r="105" s="273" customFormat="1" ht="67.2" spans="1:12">
      <c r="A105" s="324" t="s">
        <v>603</v>
      </c>
      <c r="B105" s="323" t="s">
        <v>604</v>
      </c>
      <c r="C105" s="323" t="s">
        <v>605</v>
      </c>
      <c r="D105" s="307" t="s">
        <v>606</v>
      </c>
      <c r="E105" s="307"/>
      <c r="F105" s="307"/>
      <c r="G105" s="324"/>
      <c r="H105" s="325">
        <v>46172</v>
      </c>
      <c r="I105" s="319" t="s">
        <v>8</v>
      </c>
      <c r="J105" s="324" t="s">
        <v>486</v>
      </c>
      <c r="K105" s="308" t="s">
        <v>607</v>
      </c>
      <c r="L105" s="5" t="s">
        <v>425</v>
      </c>
    </row>
    <row r="106" s="273" customFormat="1" ht="50.4" spans="1:12">
      <c r="A106" s="324" t="s">
        <v>608</v>
      </c>
      <c r="B106" s="323" t="s">
        <v>591</v>
      </c>
      <c r="C106" s="323" t="s">
        <v>589</v>
      </c>
      <c r="D106" s="307" t="s">
        <v>592</v>
      </c>
      <c r="E106" s="307"/>
      <c r="F106" s="307"/>
      <c r="G106" s="324"/>
      <c r="H106" s="325">
        <v>46172</v>
      </c>
      <c r="I106" s="319" t="s">
        <v>8</v>
      </c>
      <c r="J106" s="324" t="s">
        <v>486</v>
      </c>
      <c r="K106" s="308" t="s">
        <v>609</v>
      </c>
      <c r="L106" s="5" t="s">
        <v>425</v>
      </c>
    </row>
    <row r="107" s="273" customFormat="1" ht="50.4" spans="1:12">
      <c r="A107" s="324" t="s">
        <v>610</v>
      </c>
      <c r="B107" s="323" t="s">
        <v>593</v>
      </c>
      <c r="C107" s="323" t="s">
        <v>594</v>
      </c>
      <c r="D107" s="307" t="s">
        <v>595</v>
      </c>
      <c r="E107" s="307"/>
      <c r="F107" s="307"/>
      <c r="G107" s="331"/>
      <c r="H107" s="325">
        <v>46172</v>
      </c>
      <c r="I107" s="319" t="s">
        <v>8</v>
      </c>
      <c r="J107" s="324" t="s">
        <v>486</v>
      </c>
      <c r="K107" s="308" t="s">
        <v>611</v>
      </c>
      <c r="L107" s="5" t="s">
        <v>425</v>
      </c>
    </row>
    <row r="108" s="273" customFormat="1" ht="50.4" spans="1:12">
      <c r="A108" s="324" t="s">
        <v>612</v>
      </c>
      <c r="B108" s="323" t="s">
        <v>596</v>
      </c>
      <c r="C108" s="323" t="s">
        <v>594</v>
      </c>
      <c r="D108" s="307" t="s">
        <v>592</v>
      </c>
      <c r="E108" s="307"/>
      <c r="F108" s="307"/>
      <c r="G108" s="331"/>
      <c r="H108" s="325">
        <v>46172</v>
      </c>
      <c r="I108" s="319" t="s">
        <v>8</v>
      </c>
      <c r="J108" s="324" t="s">
        <v>486</v>
      </c>
      <c r="K108" s="308" t="s">
        <v>613</v>
      </c>
      <c r="L108" s="5" t="s">
        <v>425</v>
      </c>
    </row>
    <row r="109" s="275" customFormat="1" ht="50.4" outlineLevel="1" spans="1:12">
      <c r="A109" s="324" t="s">
        <v>614</v>
      </c>
      <c r="B109" s="323" t="s">
        <v>615</v>
      </c>
      <c r="C109" s="323" t="s">
        <v>616</v>
      </c>
      <c r="D109" s="307" t="s">
        <v>617</v>
      </c>
      <c r="E109" s="307"/>
      <c r="F109" s="307"/>
      <c r="G109" s="331"/>
      <c r="H109" s="325">
        <v>46172</v>
      </c>
      <c r="I109" s="319" t="s">
        <v>8</v>
      </c>
      <c r="J109" s="324" t="s">
        <v>486</v>
      </c>
      <c r="K109" s="308" t="s">
        <v>618</v>
      </c>
      <c r="L109" s="5" t="s">
        <v>425</v>
      </c>
    </row>
    <row r="110" s="275" customFormat="1" outlineLevel="1" spans="1:12">
      <c r="A110" s="316" t="s">
        <v>619</v>
      </c>
      <c r="B110" s="317"/>
      <c r="C110" s="317"/>
      <c r="D110" s="317"/>
      <c r="E110" s="317"/>
      <c r="F110" s="317"/>
      <c r="G110" s="317"/>
      <c r="H110" s="317"/>
      <c r="I110" s="317"/>
      <c r="J110" s="317"/>
      <c r="K110" s="317"/>
      <c r="L110" s="318"/>
    </row>
    <row r="111" s="275" customFormat="1" ht="67.2" outlineLevel="1" spans="1:12">
      <c r="A111" s="306" t="s">
        <v>620</v>
      </c>
      <c r="B111" s="323" t="s">
        <v>621</v>
      </c>
      <c r="C111" s="323" t="s">
        <v>622</v>
      </c>
      <c r="D111" s="307" t="s">
        <v>623</v>
      </c>
      <c r="E111" s="307"/>
      <c r="F111" s="307"/>
      <c r="G111" s="331"/>
      <c r="H111" s="325">
        <v>46173</v>
      </c>
      <c r="I111" s="319" t="s">
        <v>8</v>
      </c>
      <c r="J111" s="308" t="s">
        <v>624</v>
      </c>
      <c r="K111" s="308" t="s">
        <v>625</v>
      </c>
      <c r="L111" s="5" t="s">
        <v>425</v>
      </c>
    </row>
    <row r="112" s="275" customFormat="1" outlineLevel="1" spans="1:12">
      <c r="A112" s="327" t="s">
        <v>626</v>
      </c>
      <c r="B112" s="328"/>
      <c r="C112" s="328"/>
      <c r="D112" s="328"/>
      <c r="E112" s="328"/>
      <c r="F112" s="328"/>
      <c r="G112" s="328"/>
      <c r="H112" s="328"/>
      <c r="I112" s="328"/>
      <c r="J112" s="328"/>
      <c r="K112" s="328"/>
      <c r="L112" s="329"/>
    </row>
    <row r="113" s="275" customFormat="1" outlineLevel="1" spans="1:12">
      <c r="A113" s="316" t="s">
        <v>512</v>
      </c>
      <c r="B113" s="317"/>
      <c r="C113" s="317"/>
      <c r="D113" s="317"/>
      <c r="E113" s="317"/>
      <c r="F113" s="317"/>
      <c r="G113" s="317"/>
      <c r="H113" s="317"/>
      <c r="I113" s="317"/>
      <c r="J113" s="317"/>
      <c r="K113" s="317"/>
      <c r="L113" s="318"/>
    </row>
    <row r="114" s="273" customFormat="1" ht="67.2" outlineLevel="1" spans="1:12">
      <c r="A114" s="306" t="s">
        <v>627</v>
      </c>
      <c r="B114" s="323" t="s">
        <v>628</v>
      </c>
      <c r="C114" s="323" t="s">
        <v>629</v>
      </c>
      <c r="D114" s="307" t="s">
        <v>630</v>
      </c>
      <c r="E114" s="307"/>
      <c r="F114" s="307"/>
      <c r="G114" s="331"/>
      <c r="H114" s="325">
        <v>46172</v>
      </c>
      <c r="I114" s="310" t="s">
        <v>7</v>
      </c>
      <c r="J114" s="308"/>
      <c r="K114" s="308"/>
      <c r="L114" s="5" t="s">
        <v>425</v>
      </c>
    </row>
    <row r="115" s="275" customFormat="1" ht="50.4" outlineLevel="1" spans="1:12">
      <c r="A115" s="306" t="s">
        <v>631</v>
      </c>
      <c r="B115" s="323" t="s">
        <v>632</v>
      </c>
      <c r="C115" s="323" t="s">
        <v>633</v>
      </c>
      <c r="D115" s="307" t="s">
        <v>634</v>
      </c>
      <c r="E115" s="307"/>
      <c r="F115" s="307"/>
      <c r="G115" s="331"/>
      <c r="H115" s="325">
        <v>46172</v>
      </c>
      <c r="I115" s="310" t="s">
        <v>7</v>
      </c>
      <c r="J115" s="308"/>
      <c r="K115" s="308"/>
      <c r="L115" s="5" t="s">
        <v>425</v>
      </c>
    </row>
    <row r="116" s="273" customFormat="1" ht="50.4" spans="1:12">
      <c r="A116" s="306" t="s">
        <v>635</v>
      </c>
      <c r="B116" s="323" t="s">
        <v>636</v>
      </c>
      <c r="C116" s="323" t="s">
        <v>637</v>
      </c>
      <c r="D116" s="307" t="s">
        <v>638</v>
      </c>
      <c r="E116" s="307"/>
      <c r="F116" s="307"/>
      <c r="G116" s="331"/>
      <c r="H116" s="325">
        <v>46172</v>
      </c>
      <c r="I116" s="310" t="s">
        <v>7</v>
      </c>
      <c r="J116" s="308"/>
      <c r="K116" s="308"/>
      <c r="L116" s="5" t="s">
        <v>425</v>
      </c>
    </row>
    <row r="117" s="275" customFormat="1" ht="50.4" outlineLevel="1" spans="1:12">
      <c r="A117" s="306" t="s">
        <v>639</v>
      </c>
      <c r="B117" s="323" t="s">
        <v>640</v>
      </c>
      <c r="C117" s="323" t="s">
        <v>641</v>
      </c>
      <c r="D117" s="307" t="s">
        <v>642</v>
      </c>
      <c r="E117" s="307"/>
      <c r="F117" s="307"/>
      <c r="G117" s="331"/>
      <c r="H117" s="325">
        <v>46172</v>
      </c>
      <c r="I117" s="310" t="s">
        <v>7</v>
      </c>
      <c r="J117" s="308"/>
      <c r="K117" s="308"/>
      <c r="L117" s="5" t="s">
        <v>425</v>
      </c>
    </row>
    <row r="118" s="273" customFormat="1" ht="50.4" spans="1:12">
      <c r="A118" s="306" t="s">
        <v>643</v>
      </c>
      <c r="B118" s="323" t="s">
        <v>644</v>
      </c>
      <c r="C118" s="323" t="s">
        <v>645</v>
      </c>
      <c r="D118" s="307" t="s">
        <v>646</v>
      </c>
      <c r="E118" s="307"/>
      <c r="F118" s="307"/>
      <c r="G118" s="331"/>
      <c r="H118" s="325">
        <v>46172</v>
      </c>
      <c r="I118" s="310" t="s">
        <v>7</v>
      </c>
      <c r="J118" s="308"/>
      <c r="K118" s="308"/>
      <c r="L118" s="5" t="s">
        <v>425</v>
      </c>
    </row>
    <row r="119" s="275" customFormat="1" ht="50.4" outlineLevel="1" spans="1:12">
      <c r="A119" s="306" t="s">
        <v>647</v>
      </c>
      <c r="B119" s="323" t="s">
        <v>648</v>
      </c>
      <c r="C119" s="323" t="s">
        <v>649</v>
      </c>
      <c r="D119" s="307" t="s">
        <v>650</v>
      </c>
      <c r="E119" s="307"/>
      <c r="F119" s="307"/>
      <c r="G119" s="331"/>
      <c r="H119" s="325">
        <v>46172</v>
      </c>
      <c r="I119" s="310" t="s">
        <v>7</v>
      </c>
      <c r="J119" s="308"/>
      <c r="K119" s="308"/>
      <c r="L119" s="5" t="s">
        <v>425</v>
      </c>
    </row>
    <row r="120" s="273" customFormat="1" ht="50.4" outlineLevel="1" spans="1:12">
      <c r="A120" s="306" t="s">
        <v>651</v>
      </c>
      <c r="B120" s="323" t="s">
        <v>652</v>
      </c>
      <c r="C120" s="323" t="s">
        <v>653</v>
      </c>
      <c r="D120" s="307" t="s">
        <v>654</v>
      </c>
      <c r="E120" s="307"/>
      <c r="F120" s="307"/>
      <c r="G120" s="331"/>
      <c r="H120" s="325">
        <v>46172</v>
      </c>
      <c r="I120" s="310" t="s">
        <v>7</v>
      </c>
      <c r="J120" s="308"/>
      <c r="K120" s="308"/>
      <c r="L120" s="5" t="s">
        <v>425</v>
      </c>
    </row>
    <row r="121" s="275" customFormat="1" ht="50.4" outlineLevel="1" spans="1:12">
      <c r="A121" s="306" t="s">
        <v>655</v>
      </c>
      <c r="B121" s="323" t="s">
        <v>656</v>
      </c>
      <c r="C121" s="323" t="s">
        <v>657</v>
      </c>
      <c r="D121" s="307" t="s">
        <v>658</v>
      </c>
      <c r="E121" s="307"/>
      <c r="F121" s="307"/>
      <c r="G121" s="331"/>
      <c r="H121" s="325">
        <v>46172</v>
      </c>
      <c r="I121" s="310" t="s">
        <v>7</v>
      </c>
      <c r="J121" s="308"/>
      <c r="K121" s="308"/>
      <c r="L121" s="5" t="s">
        <v>425</v>
      </c>
    </row>
    <row r="122" s="275" customFormat="1" ht="50.4" outlineLevel="1" spans="1:12">
      <c r="A122" s="306" t="s">
        <v>659</v>
      </c>
      <c r="B122" s="323" t="s">
        <v>660</v>
      </c>
      <c r="C122" s="323" t="s">
        <v>661</v>
      </c>
      <c r="D122" s="307" t="s">
        <v>662</v>
      </c>
      <c r="E122" s="307"/>
      <c r="F122" s="307"/>
      <c r="G122" s="331"/>
      <c r="H122" s="325">
        <v>46172</v>
      </c>
      <c r="I122" s="310" t="s">
        <v>7</v>
      </c>
      <c r="J122" s="308"/>
      <c r="K122" s="308"/>
      <c r="L122" s="5" t="s">
        <v>425</v>
      </c>
    </row>
    <row r="123" s="273" customFormat="1" outlineLevel="1" spans="1:12">
      <c r="A123" s="316" t="s">
        <v>531</v>
      </c>
      <c r="B123" s="317"/>
      <c r="C123" s="317"/>
      <c r="D123" s="317"/>
      <c r="E123" s="317"/>
      <c r="F123" s="317"/>
      <c r="G123" s="317"/>
      <c r="H123" s="317"/>
      <c r="I123" s="317"/>
      <c r="J123" s="317"/>
      <c r="K123" s="317"/>
      <c r="L123" s="318"/>
    </row>
    <row r="124" s="273" customFormat="1" ht="67.2" outlineLevel="1" spans="1:12">
      <c r="A124" s="306" t="s">
        <v>663</v>
      </c>
      <c r="B124" s="323" t="s">
        <v>628</v>
      </c>
      <c r="C124" s="323" t="s">
        <v>629</v>
      </c>
      <c r="D124" s="307" t="s">
        <v>630</v>
      </c>
      <c r="E124" s="307"/>
      <c r="F124" s="307"/>
      <c r="G124" s="331"/>
      <c r="H124" s="325">
        <v>46172</v>
      </c>
      <c r="I124" s="310" t="s">
        <v>7</v>
      </c>
      <c r="J124" s="308"/>
      <c r="K124" s="308"/>
      <c r="L124" s="5" t="s">
        <v>425</v>
      </c>
    </row>
    <row r="125" s="273" customFormat="1" outlineLevel="1" spans="1:12">
      <c r="A125" s="316" t="s">
        <v>485</v>
      </c>
      <c r="B125" s="317"/>
      <c r="C125" s="317"/>
      <c r="D125" s="317"/>
      <c r="E125" s="317"/>
      <c r="F125" s="317"/>
      <c r="G125" s="317"/>
      <c r="H125" s="317"/>
      <c r="I125" s="317"/>
      <c r="J125" s="317"/>
      <c r="K125" s="317"/>
      <c r="L125" s="318"/>
    </row>
    <row r="126" s="275" customFormat="1" ht="67.2" outlineLevel="1" spans="1:12">
      <c r="A126" s="306" t="s">
        <v>664</v>
      </c>
      <c r="B126" s="323" t="s">
        <v>628</v>
      </c>
      <c r="C126" s="323" t="s">
        <v>629</v>
      </c>
      <c r="D126" s="307" t="s">
        <v>630</v>
      </c>
      <c r="E126" s="307"/>
      <c r="F126" s="307"/>
      <c r="G126" s="331"/>
      <c r="H126" s="325">
        <v>46172</v>
      </c>
      <c r="I126" s="319" t="s">
        <v>8</v>
      </c>
      <c r="J126" s="324" t="s">
        <v>486</v>
      </c>
      <c r="K126" s="308" t="s">
        <v>665</v>
      </c>
      <c r="L126" s="5" t="s">
        <v>425</v>
      </c>
    </row>
    <row r="127" s="273" customFormat="1" ht="50.4" spans="1:12">
      <c r="A127" s="306" t="s">
        <v>666</v>
      </c>
      <c r="B127" s="323" t="s">
        <v>632</v>
      </c>
      <c r="C127" s="323" t="s">
        <v>633</v>
      </c>
      <c r="D127" s="307" t="s">
        <v>634</v>
      </c>
      <c r="E127" s="307"/>
      <c r="F127" s="307"/>
      <c r="G127" s="331"/>
      <c r="H127" s="325">
        <v>46172</v>
      </c>
      <c r="I127" s="319" t="s">
        <v>8</v>
      </c>
      <c r="J127" s="324" t="s">
        <v>486</v>
      </c>
      <c r="K127" s="308" t="s">
        <v>667</v>
      </c>
      <c r="L127" s="5" t="s">
        <v>425</v>
      </c>
    </row>
    <row r="128" s="275" customFormat="1" ht="50.4" outlineLevel="1" spans="1:12">
      <c r="A128" s="306" t="s">
        <v>668</v>
      </c>
      <c r="B128" s="323" t="s">
        <v>636</v>
      </c>
      <c r="C128" s="323" t="s">
        <v>637</v>
      </c>
      <c r="D128" s="307" t="s">
        <v>638</v>
      </c>
      <c r="E128" s="307"/>
      <c r="F128" s="307"/>
      <c r="G128" s="331"/>
      <c r="H128" s="325">
        <v>46172</v>
      </c>
      <c r="I128" s="319" t="s">
        <v>8</v>
      </c>
      <c r="J128" s="324" t="s">
        <v>486</v>
      </c>
      <c r="K128" s="308" t="s">
        <v>669</v>
      </c>
      <c r="L128" s="5" t="s">
        <v>425</v>
      </c>
    </row>
    <row r="129" s="273" customFormat="1" ht="50.4" spans="1:12">
      <c r="A129" s="306" t="s">
        <v>670</v>
      </c>
      <c r="B129" s="323" t="s">
        <v>640</v>
      </c>
      <c r="C129" s="323" t="s">
        <v>641</v>
      </c>
      <c r="D129" s="307" t="s">
        <v>642</v>
      </c>
      <c r="E129" s="307"/>
      <c r="F129" s="307"/>
      <c r="G129" s="331"/>
      <c r="H129" s="325">
        <v>46172</v>
      </c>
      <c r="I129" s="319" t="s">
        <v>8</v>
      </c>
      <c r="J129" s="324" t="s">
        <v>486</v>
      </c>
      <c r="K129" s="308" t="s">
        <v>671</v>
      </c>
      <c r="L129" s="5" t="s">
        <v>425</v>
      </c>
    </row>
    <row r="130" s="275" customFormat="1" ht="50.4" outlineLevel="1" spans="1:12">
      <c r="A130" s="306" t="s">
        <v>672</v>
      </c>
      <c r="B130" s="323" t="s">
        <v>644</v>
      </c>
      <c r="C130" s="323" t="s">
        <v>645</v>
      </c>
      <c r="D130" s="307" t="s">
        <v>646</v>
      </c>
      <c r="E130" s="307"/>
      <c r="F130" s="307"/>
      <c r="G130" s="331"/>
      <c r="H130" s="325">
        <v>46172</v>
      </c>
      <c r="I130" s="319" t="s">
        <v>8</v>
      </c>
      <c r="J130" s="324" t="s">
        <v>486</v>
      </c>
      <c r="K130" s="308" t="s">
        <v>673</v>
      </c>
      <c r="L130" s="5" t="s">
        <v>425</v>
      </c>
    </row>
    <row r="131" s="273" customFormat="1" ht="50.4" outlineLevel="1" spans="1:12">
      <c r="A131" s="306" t="s">
        <v>674</v>
      </c>
      <c r="B131" s="323" t="s">
        <v>648</v>
      </c>
      <c r="C131" s="323" t="s">
        <v>649</v>
      </c>
      <c r="D131" s="307" t="s">
        <v>650</v>
      </c>
      <c r="E131" s="307"/>
      <c r="F131" s="307"/>
      <c r="G131" s="331"/>
      <c r="H131" s="325">
        <v>46172</v>
      </c>
      <c r="I131" s="319" t="s">
        <v>8</v>
      </c>
      <c r="J131" s="324" t="s">
        <v>486</v>
      </c>
      <c r="K131" s="308" t="s">
        <v>675</v>
      </c>
      <c r="L131" s="5" t="s">
        <v>425</v>
      </c>
    </row>
    <row r="132" s="275" customFormat="1" ht="50.4" outlineLevel="1" spans="1:12">
      <c r="A132" s="306" t="s">
        <v>676</v>
      </c>
      <c r="B132" s="323" t="s">
        <v>652</v>
      </c>
      <c r="C132" s="323" t="s">
        <v>653</v>
      </c>
      <c r="D132" s="307" t="s">
        <v>654</v>
      </c>
      <c r="E132" s="307"/>
      <c r="F132" s="307"/>
      <c r="G132" s="331"/>
      <c r="H132" s="325">
        <v>46172</v>
      </c>
      <c r="I132" s="319" t="s">
        <v>8</v>
      </c>
      <c r="J132" s="324" t="s">
        <v>486</v>
      </c>
      <c r="K132" s="308" t="s">
        <v>677</v>
      </c>
      <c r="L132" s="5" t="s">
        <v>425</v>
      </c>
    </row>
    <row r="133" s="275" customFormat="1" ht="50.4" outlineLevel="1" spans="1:12">
      <c r="A133" s="306" t="s">
        <v>678</v>
      </c>
      <c r="B133" s="323" t="s">
        <v>656</v>
      </c>
      <c r="C133" s="323" t="s">
        <v>657</v>
      </c>
      <c r="D133" s="307" t="s">
        <v>658</v>
      </c>
      <c r="E133" s="307"/>
      <c r="F133" s="307"/>
      <c r="G133" s="331"/>
      <c r="H133" s="325">
        <v>46172</v>
      </c>
      <c r="I133" s="319" t="s">
        <v>8</v>
      </c>
      <c r="J133" s="324" t="s">
        <v>486</v>
      </c>
      <c r="K133" s="308" t="s">
        <v>679</v>
      </c>
      <c r="L133" s="5" t="s">
        <v>425</v>
      </c>
    </row>
    <row r="134" s="275" customFormat="1" ht="50.4" outlineLevel="1" spans="1:12">
      <c r="A134" s="306" t="s">
        <v>680</v>
      </c>
      <c r="B134" s="323" t="s">
        <v>660</v>
      </c>
      <c r="C134" s="323" t="s">
        <v>661</v>
      </c>
      <c r="D134" s="307" t="s">
        <v>662</v>
      </c>
      <c r="E134" s="307"/>
      <c r="F134" s="307"/>
      <c r="G134" s="331"/>
      <c r="H134" s="325">
        <v>46172</v>
      </c>
      <c r="I134" s="319" t="s">
        <v>8</v>
      </c>
      <c r="J134" s="324" t="s">
        <v>486</v>
      </c>
      <c r="K134" s="308" t="s">
        <v>681</v>
      </c>
      <c r="L134" s="5" t="s">
        <v>425</v>
      </c>
    </row>
    <row r="135" s="273" customFormat="1" outlineLevel="1" spans="1:12">
      <c r="A135" s="332" t="s">
        <v>682</v>
      </c>
      <c r="B135" s="333"/>
      <c r="C135" s="333"/>
      <c r="D135" s="333"/>
      <c r="E135" s="333"/>
      <c r="F135" s="333"/>
      <c r="G135" s="333"/>
      <c r="H135" s="333"/>
      <c r="I135" s="333"/>
      <c r="J135" s="333"/>
      <c r="K135" s="333"/>
      <c r="L135" s="334"/>
    </row>
    <row r="136" s="275" customFormat="1" outlineLevel="1" spans="1:12">
      <c r="A136" s="316" t="s">
        <v>485</v>
      </c>
      <c r="B136" s="317"/>
      <c r="C136" s="317"/>
      <c r="D136" s="317"/>
      <c r="E136" s="317"/>
      <c r="F136" s="317"/>
      <c r="G136" s="317"/>
      <c r="H136" s="317"/>
      <c r="I136" s="317"/>
      <c r="J136" s="317"/>
      <c r="K136" s="317"/>
      <c r="L136" s="318"/>
    </row>
    <row r="137" s="275" customFormat="1" ht="50.4" outlineLevel="1" spans="1:12">
      <c r="A137" s="308" t="s">
        <v>683</v>
      </c>
      <c r="B137" s="307" t="s">
        <v>684</v>
      </c>
      <c r="C137" s="307" t="s">
        <v>685</v>
      </c>
      <c r="D137" s="307" t="s">
        <v>686</v>
      </c>
      <c r="E137" s="307"/>
      <c r="F137" s="307"/>
      <c r="G137" s="331"/>
      <c r="H137" s="325">
        <v>46172</v>
      </c>
      <c r="I137" s="319" t="s">
        <v>8</v>
      </c>
      <c r="J137" s="324" t="s">
        <v>486</v>
      </c>
      <c r="K137" s="308" t="s">
        <v>687</v>
      </c>
      <c r="L137" s="5" t="s">
        <v>425</v>
      </c>
    </row>
    <row r="138" s="275" customFormat="1" outlineLevel="1" spans="1:12">
      <c r="A138" s="332" t="s">
        <v>688</v>
      </c>
      <c r="B138" s="333"/>
      <c r="C138" s="333"/>
      <c r="D138" s="333"/>
      <c r="E138" s="333"/>
      <c r="F138" s="333"/>
      <c r="G138" s="333"/>
      <c r="H138" s="333"/>
      <c r="I138" s="333"/>
      <c r="J138" s="333"/>
      <c r="K138" s="333"/>
      <c r="L138" s="334"/>
    </row>
    <row r="139" s="227" customFormat="1" spans="1:12">
      <c r="A139" s="316" t="s">
        <v>512</v>
      </c>
      <c r="B139" s="317"/>
      <c r="C139" s="317"/>
      <c r="D139" s="317"/>
      <c r="E139" s="317"/>
      <c r="F139" s="317"/>
      <c r="G139" s="317"/>
      <c r="H139" s="317"/>
      <c r="I139" s="317"/>
      <c r="J139" s="317"/>
      <c r="K139" s="317"/>
      <c r="L139" s="318"/>
    </row>
    <row r="140" s="227" customFormat="1" ht="67.2" spans="1:12">
      <c r="A140" s="308" t="s">
        <v>689</v>
      </c>
      <c r="B140" s="307" t="s">
        <v>690</v>
      </c>
      <c r="C140" s="307" t="s">
        <v>691</v>
      </c>
      <c r="D140" s="307" t="s">
        <v>692</v>
      </c>
      <c r="E140" s="307"/>
      <c r="F140" s="307"/>
      <c r="G140" s="308"/>
      <c r="H140" s="325">
        <v>46172</v>
      </c>
      <c r="I140" s="310" t="s">
        <v>7</v>
      </c>
      <c r="J140" s="308"/>
      <c r="K140" s="308"/>
      <c r="L140" s="5" t="s">
        <v>425</v>
      </c>
    </row>
    <row r="141" s="227" customFormat="1" spans="1:12">
      <c r="A141" s="316" t="s">
        <v>531</v>
      </c>
      <c r="B141" s="317"/>
      <c r="C141" s="317"/>
      <c r="D141" s="317"/>
      <c r="E141" s="317"/>
      <c r="F141" s="317"/>
      <c r="G141" s="317"/>
      <c r="H141" s="317"/>
      <c r="I141" s="317"/>
      <c r="J141" s="317"/>
      <c r="K141" s="317"/>
      <c r="L141" s="318"/>
    </row>
    <row r="142" s="227" customFormat="1" ht="67.2" spans="1:12">
      <c r="A142" s="308" t="s">
        <v>693</v>
      </c>
      <c r="B142" s="307" t="s">
        <v>690</v>
      </c>
      <c r="C142" s="307" t="s">
        <v>691</v>
      </c>
      <c r="D142" s="307" t="s">
        <v>692</v>
      </c>
      <c r="E142" s="307"/>
      <c r="F142" s="307"/>
      <c r="G142" s="308"/>
      <c r="H142" s="325">
        <v>46172</v>
      </c>
      <c r="I142" s="310" t="s">
        <v>7</v>
      </c>
      <c r="J142" s="308"/>
      <c r="K142" s="308"/>
      <c r="L142" s="5" t="s">
        <v>425</v>
      </c>
    </row>
    <row r="143" s="227" customFormat="1" spans="1:12">
      <c r="A143" s="316" t="s">
        <v>485</v>
      </c>
      <c r="B143" s="317"/>
      <c r="C143" s="317"/>
      <c r="D143" s="317"/>
      <c r="E143" s="317"/>
      <c r="F143" s="317"/>
      <c r="G143" s="317"/>
      <c r="H143" s="317"/>
      <c r="I143" s="317"/>
      <c r="J143" s="317"/>
      <c r="K143" s="317"/>
      <c r="L143" s="318"/>
    </row>
    <row r="144" s="227" customFormat="1" ht="67.2" spans="1:12">
      <c r="A144" s="308" t="s">
        <v>694</v>
      </c>
      <c r="B144" s="307" t="s">
        <v>690</v>
      </c>
      <c r="C144" s="307" t="s">
        <v>691</v>
      </c>
      <c r="D144" s="307" t="s">
        <v>692</v>
      </c>
      <c r="E144" s="307"/>
      <c r="F144" s="307"/>
      <c r="G144" s="308"/>
      <c r="H144" s="325">
        <v>46172</v>
      </c>
      <c r="I144" s="319" t="s">
        <v>8</v>
      </c>
      <c r="J144" s="324" t="s">
        <v>486</v>
      </c>
      <c r="K144" s="308" t="s">
        <v>695</v>
      </c>
      <c r="L144" s="5" t="s">
        <v>425</v>
      </c>
    </row>
    <row r="145" s="275" customFormat="1" outlineLevel="1" spans="1:12">
      <c r="A145" s="316" t="s">
        <v>619</v>
      </c>
      <c r="B145" s="317"/>
      <c r="C145" s="317"/>
      <c r="D145" s="317"/>
      <c r="E145" s="317"/>
      <c r="F145" s="317"/>
      <c r="G145" s="317"/>
      <c r="H145" s="317"/>
      <c r="I145" s="317"/>
      <c r="J145" s="317"/>
      <c r="K145" s="317"/>
      <c r="L145" s="318"/>
    </row>
    <row r="146" s="227" customFormat="1" ht="50.4" spans="1:12">
      <c r="A146" s="308" t="s">
        <v>696</v>
      </c>
      <c r="B146" s="307" t="s">
        <v>697</v>
      </c>
      <c r="C146" s="307" t="s">
        <v>698</v>
      </c>
      <c r="D146" s="307" t="s">
        <v>699</v>
      </c>
      <c r="E146" s="307"/>
      <c r="F146" s="307"/>
      <c r="G146" s="308"/>
      <c r="H146" s="325">
        <v>46173</v>
      </c>
      <c r="I146" s="319" t="s">
        <v>8</v>
      </c>
      <c r="J146" s="308" t="s">
        <v>624</v>
      </c>
      <c r="K146" s="308" t="s">
        <v>700</v>
      </c>
      <c r="L146" s="5" t="s">
        <v>425</v>
      </c>
    </row>
    <row r="147" s="227" customFormat="1" ht="50.4" spans="1:12">
      <c r="A147" s="308" t="s">
        <v>701</v>
      </c>
      <c r="B147" s="307" t="s">
        <v>702</v>
      </c>
      <c r="C147" s="307" t="s">
        <v>703</v>
      </c>
      <c r="D147" s="307" t="s">
        <v>704</v>
      </c>
      <c r="E147" s="307"/>
      <c r="F147" s="307"/>
      <c r="G147" s="308"/>
      <c r="H147" s="325">
        <v>46173</v>
      </c>
      <c r="I147" s="319" t="s">
        <v>8</v>
      </c>
      <c r="J147" s="308" t="s">
        <v>705</v>
      </c>
      <c r="K147" s="308" t="s">
        <v>706</v>
      </c>
      <c r="L147" s="5" t="s">
        <v>425</v>
      </c>
    </row>
    <row r="148" s="227" customFormat="1" ht="50.4" spans="1:12">
      <c r="A148" s="308" t="s">
        <v>707</v>
      </c>
      <c r="B148" s="307" t="s">
        <v>708</v>
      </c>
      <c r="C148" s="307" t="s">
        <v>709</v>
      </c>
      <c r="D148" s="307" t="s">
        <v>710</v>
      </c>
      <c r="E148" s="307"/>
      <c r="F148" s="307"/>
      <c r="G148" s="308"/>
      <c r="H148" s="325">
        <v>46173</v>
      </c>
      <c r="I148" s="319" t="s">
        <v>8</v>
      </c>
      <c r="J148" s="308" t="s">
        <v>711</v>
      </c>
      <c r="K148" s="308" t="s">
        <v>712</v>
      </c>
      <c r="L148" s="5" t="s">
        <v>425</v>
      </c>
    </row>
    <row r="149" s="227" customFormat="1" ht="50.4" spans="1:12">
      <c r="A149" s="308" t="s">
        <v>713</v>
      </c>
      <c r="B149" s="307" t="s">
        <v>714</v>
      </c>
      <c r="C149" s="307" t="s">
        <v>715</v>
      </c>
      <c r="D149" s="307" t="s">
        <v>716</v>
      </c>
      <c r="E149" s="307"/>
      <c r="F149" s="307"/>
      <c r="G149" s="308"/>
      <c r="H149" s="325">
        <v>46173</v>
      </c>
      <c r="I149" s="319" t="s">
        <v>8</v>
      </c>
      <c r="J149" s="308" t="s">
        <v>717</v>
      </c>
      <c r="K149" s="308" t="s">
        <v>718</v>
      </c>
      <c r="L149" s="5" t="s">
        <v>425</v>
      </c>
    </row>
    <row r="150" s="227" customFormat="1" ht="67.2" spans="1:12">
      <c r="A150" s="308" t="s">
        <v>719</v>
      </c>
      <c r="B150" s="307" t="s">
        <v>720</v>
      </c>
      <c r="C150" s="307" t="s">
        <v>721</v>
      </c>
      <c r="D150" s="307" t="s">
        <v>722</v>
      </c>
      <c r="E150" s="307"/>
      <c r="F150" s="307"/>
      <c r="G150" s="308"/>
      <c r="H150" s="325">
        <v>46173</v>
      </c>
      <c r="I150" s="319" t="s">
        <v>8</v>
      </c>
      <c r="J150" s="308" t="s">
        <v>624</v>
      </c>
      <c r="K150" s="308" t="s">
        <v>723</v>
      </c>
      <c r="L150" s="5" t="s">
        <v>425</v>
      </c>
    </row>
    <row r="151" s="227" customFormat="1" ht="67.2" spans="1:12">
      <c r="A151" s="308" t="s">
        <v>724</v>
      </c>
      <c r="B151" s="307" t="s">
        <v>725</v>
      </c>
      <c r="C151" s="307" t="s">
        <v>726</v>
      </c>
      <c r="D151" s="307" t="s">
        <v>727</v>
      </c>
      <c r="E151" s="307"/>
      <c r="F151" s="307"/>
      <c r="G151" s="308"/>
      <c r="H151" s="325">
        <v>46173</v>
      </c>
      <c r="I151" s="319" t="s">
        <v>8</v>
      </c>
      <c r="J151" s="308" t="s">
        <v>728</v>
      </c>
      <c r="K151" s="308" t="s">
        <v>729</v>
      </c>
      <c r="L151" s="5" t="s">
        <v>425</v>
      </c>
    </row>
    <row r="152" s="227" customFormat="1" ht="67.2" spans="1:12">
      <c r="A152" s="308" t="s">
        <v>730</v>
      </c>
      <c r="B152" s="307" t="s">
        <v>731</v>
      </c>
      <c r="C152" s="307" t="s">
        <v>732</v>
      </c>
      <c r="D152" s="307" t="s">
        <v>733</v>
      </c>
      <c r="E152" s="307"/>
      <c r="F152" s="307"/>
      <c r="G152" s="308"/>
      <c r="H152" s="325">
        <v>46173</v>
      </c>
      <c r="I152" s="319" t="s">
        <v>8</v>
      </c>
      <c r="J152" s="308" t="s">
        <v>734</v>
      </c>
      <c r="K152" s="308" t="s">
        <v>735</v>
      </c>
      <c r="L152" s="5" t="s">
        <v>425</v>
      </c>
    </row>
    <row r="153" s="227" customFormat="1" ht="12" customHeight="1" spans="1:12">
      <c r="A153" s="275"/>
      <c r="B153" s="275"/>
      <c r="C153" s="275"/>
      <c r="D153" s="275"/>
      <c r="E153" s="275"/>
      <c r="F153" s="275"/>
      <c r="G153" s="275"/>
      <c r="H153" s="275"/>
      <c r="J153" s="275"/>
      <c r="K153" s="275"/>
      <c r="L153" s="9"/>
    </row>
    <row r="154" s="227" customFormat="1" ht="12" customHeight="1" spans="1:12">
      <c r="A154" s="275"/>
      <c r="B154" s="275"/>
      <c r="C154" s="275"/>
      <c r="D154" s="275"/>
      <c r="E154" s="275"/>
      <c r="F154" s="275"/>
      <c r="G154" s="275"/>
      <c r="H154" s="275"/>
      <c r="J154" s="275"/>
      <c r="K154" s="275"/>
      <c r="L154" s="9"/>
    </row>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sheetData>
  <mergeCells count="155">
    <mergeCell ref="B3:D3"/>
    <mergeCell ref="B4:D4"/>
    <mergeCell ref="B5:D5"/>
    <mergeCell ref="A11:K11"/>
    <mergeCell ref="A12:L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A35:L35"/>
    <mergeCell ref="D36:F36"/>
    <mergeCell ref="D37:F37"/>
    <mergeCell ref="D38:F38"/>
    <mergeCell ref="D39:F39"/>
    <mergeCell ref="D40:F40"/>
    <mergeCell ref="D41:F41"/>
    <mergeCell ref="D42:F42"/>
    <mergeCell ref="D43:F43"/>
    <mergeCell ref="A44:L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A59:L59"/>
    <mergeCell ref="A60:L60"/>
    <mergeCell ref="D61:F61"/>
    <mergeCell ref="D62:F62"/>
    <mergeCell ref="D63:F63"/>
    <mergeCell ref="D64:F64"/>
    <mergeCell ref="D65:F65"/>
    <mergeCell ref="D66:F66"/>
    <mergeCell ref="A67:L67"/>
    <mergeCell ref="D68:F68"/>
    <mergeCell ref="D69:F69"/>
    <mergeCell ref="D70:F70"/>
    <mergeCell ref="D71:F71"/>
    <mergeCell ref="D72:F72"/>
    <mergeCell ref="A73:L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A93:L93"/>
    <mergeCell ref="A94:L94"/>
    <mergeCell ref="D95:F95"/>
    <mergeCell ref="D96:F96"/>
    <mergeCell ref="D97:F97"/>
    <mergeCell ref="D98:F98"/>
    <mergeCell ref="D99:F99"/>
    <mergeCell ref="A100:L100"/>
    <mergeCell ref="D101:F101"/>
    <mergeCell ref="D102:F102"/>
    <mergeCell ref="A103:L103"/>
    <mergeCell ref="D104:F104"/>
    <mergeCell ref="D105:F105"/>
    <mergeCell ref="D106:F106"/>
    <mergeCell ref="D107:F107"/>
    <mergeCell ref="D108:F108"/>
    <mergeCell ref="D109:F109"/>
    <mergeCell ref="A110:L110"/>
    <mergeCell ref="D111:F111"/>
    <mergeCell ref="A112:L112"/>
    <mergeCell ref="A113:L113"/>
    <mergeCell ref="D114:F114"/>
    <mergeCell ref="D115:F115"/>
    <mergeCell ref="D116:F116"/>
    <mergeCell ref="D117:F117"/>
    <mergeCell ref="D118:F118"/>
    <mergeCell ref="D119:F119"/>
    <mergeCell ref="D120:F120"/>
    <mergeCell ref="D121:F121"/>
    <mergeCell ref="D122:F122"/>
    <mergeCell ref="A123:L123"/>
    <mergeCell ref="D124:F124"/>
    <mergeCell ref="A125:L125"/>
    <mergeCell ref="D126:F126"/>
    <mergeCell ref="D127:F127"/>
    <mergeCell ref="D128:F128"/>
    <mergeCell ref="D129:F129"/>
    <mergeCell ref="D130:F130"/>
    <mergeCell ref="D131:F131"/>
    <mergeCell ref="D132:F132"/>
    <mergeCell ref="D133:F133"/>
    <mergeCell ref="D134:F134"/>
    <mergeCell ref="A135:L135"/>
    <mergeCell ref="A136:L136"/>
    <mergeCell ref="D137:F137"/>
    <mergeCell ref="A138:L138"/>
    <mergeCell ref="A139:L139"/>
    <mergeCell ref="D140:F140"/>
    <mergeCell ref="A141:L141"/>
    <mergeCell ref="D142:F142"/>
    <mergeCell ref="A143:L143"/>
    <mergeCell ref="D144:F144"/>
    <mergeCell ref="A145:L145"/>
    <mergeCell ref="D146:F146"/>
    <mergeCell ref="D147:F147"/>
    <mergeCell ref="D148:F148"/>
    <mergeCell ref="D149:F149"/>
    <mergeCell ref="D150:F150"/>
    <mergeCell ref="D151:F151"/>
    <mergeCell ref="D152:F152"/>
    <mergeCell ref="A9:A10"/>
    <mergeCell ref="B9:B10"/>
    <mergeCell ref="C9:C10"/>
    <mergeCell ref="H9:H10"/>
    <mergeCell ref="I9:I10"/>
    <mergeCell ref="J9:J10"/>
    <mergeCell ref="K9:K10"/>
    <mergeCell ref="L9:L10"/>
    <mergeCell ref="A1:D2"/>
    <mergeCell ref="D9:G1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zoomScale="55" zoomScaleNormal="55" workbookViewId="0">
      <selection activeCell="D18" sqref="D18"/>
    </sheetView>
  </sheetViews>
  <sheetFormatPr defaultColWidth="10" defaultRowHeight="16.8"/>
  <cols>
    <col min="1" max="1" width="25.212962962963" style="227" customWidth="1"/>
    <col min="2" max="2" width="56.8796296296296" style="227" customWidth="1"/>
    <col min="3" max="3" width="46.8796296296296" style="227" customWidth="1"/>
    <col min="4" max="4" width="64.2407407407407" style="227" customWidth="1"/>
    <col min="5" max="7" width="8.88888888888889" style="227" customWidth="1"/>
    <col min="8" max="8" width="15.5555555555556" style="227" customWidth="1"/>
    <col min="9" max="9" width="8.75" style="227" customWidth="1"/>
    <col min="10" max="10" width="115.018518518519" style="227" customWidth="1"/>
    <col min="11" max="11" width="33.3240740740741" style="227" customWidth="1"/>
    <col min="12" max="12" width="29.1666666666667" style="9" customWidth="1"/>
    <col min="13" max="16384" width="10" style="227"/>
  </cols>
  <sheetData>
    <row r="1" s="227" customFormat="1" ht="30.75" customHeight="1" spans="1:12">
      <c r="A1" s="228" t="s">
        <v>20</v>
      </c>
      <c r="B1" s="228"/>
      <c r="C1" s="228"/>
      <c r="D1" s="228"/>
      <c r="E1" s="228"/>
      <c r="F1" s="228"/>
      <c r="G1" s="228"/>
      <c r="H1" s="228"/>
      <c r="I1" s="228"/>
      <c r="J1" s="228"/>
      <c r="K1" s="228"/>
      <c r="L1" s="228"/>
    </row>
    <row r="2" s="227" customFormat="1" ht="17.55" spans="1:12">
      <c r="A2" s="229"/>
      <c r="B2" s="229"/>
      <c r="C2" s="229"/>
      <c r="D2" s="229"/>
      <c r="E2" s="229"/>
      <c r="F2" s="229"/>
      <c r="G2" s="229"/>
      <c r="H2" s="229"/>
      <c r="I2" s="229"/>
      <c r="J2" s="229"/>
      <c r="L2" s="14"/>
    </row>
    <row r="3" s="227" customFormat="1" spans="1:12">
      <c r="A3" s="230" t="s">
        <v>21</v>
      </c>
      <c r="B3" s="231" t="s">
        <v>22</v>
      </c>
      <c r="C3" s="232"/>
      <c r="D3" s="233"/>
      <c r="E3" s="229"/>
      <c r="F3" s="229"/>
      <c r="G3" s="229"/>
      <c r="H3" s="229"/>
      <c r="I3" s="229"/>
      <c r="J3" s="229"/>
      <c r="L3" s="14"/>
    </row>
    <row r="4" s="227" customFormat="1" spans="1:12">
      <c r="A4" s="234" t="s">
        <v>23</v>
      </c>
      <c r="B4" s="235" t="s">
        <v>736</v>
      </c>
      <c r="C4" s="236"/>
      <c r="D4" s="237"/>
      <c r="E4" s="229"/>
      <c r="F4" s="229"/>
      <c r="G4" s="229"/>
      <c r="H4" s="229"/>
      <c r="I4" s="229"/>
      <c r="J4" s="229"/>
      <c r="L4" s="14"/>
    </row>
    <row r="5" s="227" customFormat="1" ht="22.15" customHeight="1" spans="1:12">
      <c r="A5" s="234" t="s">
        <v>25</v>
      </c>
      <c r="B5" s="238" t="s">
        <v>737</v>
      </c>
      <c r="C5" s="239"/>
      <c r="D5" s="240"/>
      <c r="E5" s="241" t="s">
        <v>738</v>
      </c>
      <c r="F5" s="241"/>
      <c r="G5" s="241"/>
      <c r="H5" s="229"/>
      <c r="I5" s="229"/>
      <c r="J5" s="229"/>
      <c r="L5" s="2"/>
    </row>
    <row r="6" s="227" customFormat="1" spans="1:12">
      <c r="A6" s="242" t="s">
        <v>7</v>
      </c>
      <c r="B6" s="243">
        <f>COUNTIF(I12:I96,"Pass")</f>
        <v>67</v>
      </c>
      <c r="C6" s="243" t="s">
        <v>9</v>
      </c>
      <c r="D6" s="244">
        <f>COUNTIF(I12:I96,"Pending")</f>
        <v>0</v>
      </c>
      <c r="E6" s="229"/>
      <c r="F6" s="229"/>
      <c r="G6" s="229"/>
      <c r="H6" s="229"/>
      <c r="I6" s="229"/>
      <c r="J6" s="229"/>
      <c r="L6" s="14"/>
    </row>
    <row r="7" s="227" customFormat="1" ht="17.55" spans="1:12">
      <c r="A7" s="245" t="s">
        <v>8</v>
      </c>
      <c r="B7" s="246">
        <f>COUNTIF(I12:I96,"Fail")</f>
        <v>13</v>
      </c>
      <c r="C7" s="246" t="s">
        <v>28</v>
      </c>
      <c r="D7" s="247">
        <f>COUNTIF(A12:A96,"*TC*")</f>
        <v>80</v>
      </c>
      <c r="E7" s="229"/>
      <c r="F7" s="229"/>
      <c r="G7" s="229"/>
      <c r="H7" s="229"/>
      <c r="I7" s="229"/>
      <c r="J7" s="229"/>
      <c r="L7" s="14"/>
    </row>
    <row r="8" s="227" customFormat="1" ht="11" customHeight="1" spans="1:12">
      <c r="A8" s="229"/>
      <c r="B8" s="229"/>
      <c r="C8" s="229"/>
      <c r="D8" s="229"/>
      <c r="E8" s="229"/>
      <c r="F8" s="229"/>
      <c r="G8" s="229"/>
      <c r="H8" s="229"/>
      <c r="I8" s="229"/>
      <c r="J8" s="229"/>
      <c r="L8" s="14"/>
    </row>
    <row r="9" s="227" customFormat="1" ht="25.15" customHeight="1" spans="1:12">
      <c r="A9" s="248" t="s">
        <v>29</v>
      </c>
      <c r="B9" s="248" t="s">
        <v>30</v>
      </c>
      <c r="C9" s="248" t="s">
        <v>31</v>
      </c>
      <c r="D9" s="248" t="s">
        <v>32</v>
      </c>
      <c r="E9" s="248"/>
      <c r="F9" s="248"/>
      <c r="G9" s="248"/>
      <c r="H9" s="248" t="s">
        <v>33</v>
      </c>
      <c r="I9" s="248" t="s">
        <v>34</v>
      </c>
      <c r="J9" s="248" t="s">
        <v>35</v>
      </c>
      <c r="K9" s="248" t="s">
        <v>36</v>
      </c>
      <c r="L9" s="41" t="s">
        <v>37</v>
      </c>
    </row>
    <row r="10" s="227" customFormat="1" ht="24" customHeight="1" spans="1:12">
      <c r="A10" s="249" t="s">
        <v>739</v>
      </c>
      <c r="B10" s="249"/>
      <c r="C10" s="249"/>
      <c r="D10" s="249"/>
      <c r="E10" s="249"/>
      <c r="F10" s="249"/>
      <c r="G10" s="249"/>
      <c r="H10" s="249"/>
      <c r="I10" s="249"/>
      <c r="J10" s="249"/>
      <c r="K10" s="249"/>
      <c r="L10" s="43"/>
    </row>
    <row r="11" s="227" customFormat="1" ht="13.9" customHeight="1" spans="1:12">
      <c r="A11" s="249"/>
      <c r="B11" s="249"/>
      <c r="C11" s="249"/>
      <c r="D11" s="249"/>
      <c r="E11" s="249"/>
      <c r="F11" s="249"/>
      <c r="G11" s="249"/>
      <c r="H11" s="249"/>
      <c r="I11" s="249"/>
      <c r="J11" s="249"/>
      <c r="K11" s="249"/>
      <c r="L11" s="250"/>
    </row>
    <row r="12" s="227" customFormat="1" ht="84" spans="1:12">
      <c r="A12" s="251" t="s">
        <v>39</v>
      </c>
      <c r="B12" s="252" t="s">
        <v>740</v>
      </c>
      <c r="C12" s="252" t="s">
        <v>741</v>
      </c>
      <c r="D12" s="252" t="s">
        <v>742</v>
      </c>
      <c r="E12" s="252"/>
      <c r="F12" s="252"/>
      <c r="G12" s="252"/>
      <c r="H12" s="253">
        <f>DATEVALUE("05/26/2026")</f>
        <v>46168</v>
      </c>
      <c r="I12" s="254" t="s">
        <v>7</v>
      </c>
      <c r="J12" s="252" t="s">
        <v>743</v>
      </c>
      <c r="K12" s="255"/>
      <c r="L12" s="256" t="s">
        <v>744</v>
      </c>
    </row>
    <row r="13" s="227" customFormat="1" ht="50.4" spans="1:12">
      <c r="A13" s="251" t="s">
        <v>44</v>
      </c>
      <c r="B13" s="252" t="s">
        <v>745</v>
      </c>
      <c r="C13" s="252" t="s">
        <v>746</v>
      </c>
      <c r="D13" s="252" t="s">
        <v>747</v>
      </c>
      <c r="E13" s="252"/>
      <c r="F13" s="252"/>
      <c r="G13" s="252"/>
      <c r="H13" s="253">
        <f t="shared" ref="H13:H26" si="0">DATEVALUE("05/26/2026")</f>
        <v>46168</v>
      </c>
      <c r="I13" s="254" t="s">
        <v>7</v>
      </c>
      <c r="J13" s="252" t="s">
        <v>743</v>
      </c>
      <c r="K13" s="255"/>
      <c r="L13" s="256" t="s">
        <v>744</v>
      </c>
    </row>
    <row r="14" s="227" customFormat="1" ht="50.4" spans="1:12">
      <c r="A14" s="251" t="s">
        <v>48</v>
      </c>
      <c r="B14" s="252" t="s">
        <v>748</v>
      </c>
      <c r="C14" s="252" t="s">
        <v>749</v>
      </c>
      <c r="D14" s="252" t="s">
        <v>750</v>
      </c>
      <c r="E14" s="252"/>
      <c r="F14" s="252"/>
      <c r="G14" s="252"/>
      <c r="H14" s="253">
        <f t="shared" si="0"/>
        <v>46168</v>
      </c>
      <c r="I14" s="254" t="s">
        <v>7</v>
      </c>
      <c r="J14" s="252" t="s">
        <v>751</v>
      </c>
      <c r="K14" s="255"/>
      <c r="L14" s="256" t="s">
        <v>744</v>
      </c>
    </row>
    <row r="15" s="227" customFormat="1" ht="50.4" spans="1:12">
      <c r="A15" s="251" t="s">
        <v>52</v>
      </c>
      <c r="B15" s="252" t="s">
        <v>752</v>
      </c>
      <c r="C15" s="252" t="s">
        <v>753</v>
      </c>
      <c r="D15" s="252" t="s">
        <v>754</v>
      </c>
      <c r="E15" s="252"/>
      <c r="F15" s="252"/>
      <c r="G15" s="252"/>
      <c r="H15" s="253">
        <f t="shared" si="0"/>
        <v>46168</v>
      </c>
      <c r="I15" s="254" t="s">
        <v>7</v>
      </c>
      <c r="J15" s="252" t="s">
        <v>755</v>
      </c>
      <c r="K15" s="255"/>
      <c r="L15" s="256" t="s">
        <v>744</v>
      </c>
    </row>
    <row r="16" s="227" customFormat="1" ht="50.4" spans="1:12">
      <c r="A16" s="251" t="s">
        <v>56</v>
      </c>
      <c r="B16" s="252" t="s">
        <v>756</v>
      </c>
      <c r="C16" s="252" t="s">
        <v>757</v>
      </c>
      <c r="D16" s="252" t="s">
        <v>758</v>
      </c>
      <c r="E16" s="252"/>
      <c r="F16" s="252"/>
      <c r="G16" s="252"/>
      <c r="H16" s="253">
        <f t="shared" si="0"/>
        <v>46168</v>
      </c>
      <c r="I16" s="254" t="s">
        <v>7</v>
      </c>
      <c r="J16" s="252" t="s">
        <v>759</v>
      </c>
      <c r="K16" s="255"/>
      <c r="L16" s="256" t="s">
        <v>744</v>
      </c>
    </row>
    <row r="17" s="227" customFormat="1" ht="50.4" spans="1:12">
      <c r="A17" s="251" t="s">
        <v>60</v>
      </c>
      <c r="B17" s="252" t="s">
        <v>760</v>
      </c>
      <c r="C17" s="252" t="s">
        <v>761</v>
      </c>
      <c r="D17" s="252" t="s">
        <v>762</v>
      </c>
      <c r="E17" s="252"/>
      <c r="F17" s="252"/>
      <c r="G17" s="252"/>
      <c r="H17" s="253">
        <f t="shared" si="0"/>
        <v>46168</v>
      </c>
      <c r="I17" s="254" t="s">
        <v>7</v>
      </c>
      <c r="J17" s="252" t="s">
        <v>759</v>
      </c>
      <c r="K17" s="255"/>
      <c r="L17" s="256" t="s">
        <v>744</v>
      </c>
    </row>
    <row r="18" s="227" customFormat="1" ht="50.4" spans="1:12">
      <c r="A18" s="251" t="s">
        <v>64</v>
      </c>
      <c r="B18" s="252" t="s">
        <v>763</v>
      </c>
      <c r="C18" s="252" t="s">
        <v>764</v>
      </c>
      <c r="D18" s="252" t="s">
        <v>765</v>
      </c>
      <c r="E18" s="252"/>
      <c r="F18" s="252"/>
      <c r="G18" s="252"/>
      <c r="H18" s="253">
        <f t="shared" si="0"/>
        <v>46168</v>
      </c>
      <c r="I18" s="254" t="s">
        <v>7</v>
      </c>
      <c r="J18" s="252" t="s">
        <v>759</v>
      </c>
      <c r="K18" s="255"/>
      <c r="L18" s="256" t="s">
        <v>744</v>
      </c>
    </row>
    <row r="19" s="227" customFormat="1" ht="50.4" spans="1:12">
      <c r="A19" s="251" t="s">
        <v>68</v>
      </c>
      <c r="B19" s="252" t="s">
        <v>766</v>
      </c>
      <c r="C19" s="252" t="s">
        <v>767</v>
      </c>
      <c r="D19" s="252" t="s">
        <v>768</v>
      </c>
      <c r="E19" s="252"/>
      <c r="F19" s="252"/>
      <c r="G19" s="252"/>
      <c r="H19" s="253">
        <f t="shared" si="0"/>
        <v>46168</v>
      </c>
      <c r="I19" s="254" t="s">
        <v>7</v>
      </c>
      <c r="J19" s="252" t="s">
        <v>769</v>
      </c>
      <c r="K19" s="255"/>
      <c r="L19" s="256" t="s">
        <v>744</v>
      </c>
    </row>
    <row r="20" s="227" customFormat="1" ht="50.4" spans="1:12">
      <c r="A20" s="251" t="s">
        <v>72</v>
      </c>
      <c r="B20" s="252" t="s">
        <v>770</v>
      </c>
      <c r="C20" s="252" t="s">
        <v>771</v>
      </c>
      <c r="D20" s="252" t="s">
        <v>772</v>
      </c>
      <c r="E20" s="252"/>
      <c r="F20" s="252"/>
      <c r="G20" s="252"/>
      <c r="H20" s="253">
        <f t="shared" si="0"/>
        <v>46168</v>
      </c>
      <c r="I20" s="254" t="s">
        <v>7</v>
      </c>
      <c r="J20" s="252" t="s">
        <v>773</v>
      </c>
      <c r="K20" s="255"/>
      <c r="L20" s="256" t="s">
        <v>744</v>
      </c>
    </row>
    <row r="21" s="227" customFormat="1" ht="50.4" spans="1:12">
      <c r="A21" s="251" t="s">
        <v>76</v>
      </c>
      <c r="B21" s="252" t="s">
        <v>774</v>
      </c>
      <c r="C21" s="252" t="s">
        <v>775</v>
      </c>
      <c r="D21" s="252" t="s">
        <v>776</v>
      </c>
      <c r="E21" s="252"/>
      <c r="F21" s="252"/>
      <c r="G21" s="252"/>
      <c r="H21" s="253">
        <f t="shared" si="0"/>
        <v>46168</v>
      </c>
      <c r="I21" s="254" t="s">
        <v>7</v>
      </c>
      <c r="J21" s="252" t="s">
        <v>777</v>
      </c>
      <c r="K21" s="255"/>
      <c r="L21" s="256" t="s">
        <v>744</v>
      </c>
    </row>
    <row r="22" s="227" customFormat="1" ht="50.4" spans="1:12">
      <c r="A22" s="251" t="s">
        <v>80</v>
      </c>
      <c r="B22" s="252" t="s">
        <v>778</v>
      </c>
      <c r="C22" s="252" t="s">
        <v>779</v>
      </c>
      <c r="D22" s="252" t="s">
        <v>780</v>
      </c>
      <c r="E22" s="252"/>
      <c r="F22" s="252"/>
      <c r="G22" s="252"/>
      <c r="H22" s="253">
        <f t="shared" si="0"/>
        <v>46168</v>
      </c>
      <c r="I22" s="254" t="s">
        <v>7</v>
      </c>
      <c r="J22" s="252" t="s">
        <v>751</v>
      </c>
      <c r="K22" s="255"/>
      <c r="L22" s="256" t="s">
        <v>744</v>
      </c>
    </row>
    <row r="23" s="227" customFormat="1" ht="50.4" spans="1:12">
      <c r="A23" s="251" t="s">
        <v>84</v>
      </c>
      <c r="B23" s="252" t="s">
        <v>781</v>
      </c>
      <c r="C23" s="252" t="s">
        <v>782</v>
      </c>
      <c r="D23" s="252" t="s">
        <v>783</v>
      </c>
      <c r="E23" s="252"/>
      <c r="F23" s="252"/>
      <c r="G23" s="252"/>
      <c r="H23" s="253">
        <f t="shared" si="0"/>
        <v>46168</v>
      </c>
      <c r="I23" s="254" t="s">
        <v>7</v>
      </c>
      <c r="J23" s="252" t="s">
        <v>759</v>
      </c>
      <c r="K23" s="255"/>
      <c r="L23" s="256" t="s">
        <v>744</v>
      </c>
    </row>
    <row r="24" s="227" customFormat="1" ht="50.4" spans="1:12">
      <c r="A24" s="251" t="s">
        <v>88</v>
      </c>
      <c r="B24" s="252" t="s">
        <v>784</v>
      </c>
      <c r="C24" s="252" t="s">
        <v>785</v>
      </c>
      <c r="D24" s="252" t="s">
        <v>786</v>
      </c>
      <c r="E24" s="252"/>
      <c r="F24" s="252"/>
      <c r="G24" s="252"/>
      <c r="H24" s="253">
        <f t="shared" si="0"/>
        <v>46168</v>
      </c>
      <c r="I24" s="254" t="s">
        <v>7</v>
      </c>
      <c r="J24" s="252" t="s">
        <v>787</v>
      </c>
      <c r="K24" s="255"/>
      <c r="L24" s="256" t="s">
        <v>744</v>
      </c>
    </row>
    <row r="25" s="227" customFormat="1" ht="50.4" spans="1:12">
      <c r="A25" s="251" t="s">
        <v>92</v>
      </c>
      <c r="B25" s="252" t="s">
        <v>788</v>
      </c>
      <c r="C25" s="252" t="s">
        <v>789</v>
      </c>
      <c r="D25" s="252" t="s">
        <v>95</v>
      </c>
      <c r="E25" s="252"/>
      <c r="F25" s="252"/>
      <c r="G25" s="252"/>
      <c r="H25" s="253">
        <f t="shared" si="0"/>
        <v>46168</v>
      </c>
      <c r="I25" s="254" t="s">
        <v>7</v>
      </c>
      <c r="J25" s="252" t="s">
        <v>790</v>
      </c>
      <c r="K25" s="255"/>
      <c r="L25" s="256" t="s">
        <v>744</v>
      </c>
    </row>
    <row r="26" s="227" customFormat="1" ht="50.4" spans="1:12">
      <c r="A26" s="251" t="s">
        <v>96</v>
      </c>
      <c r="B26" s="252" t="s">
        <v>791</v>
      </c>
      <c r="C26" s="252" t="s">
        <v>792</v>
      </c>
      <c r="D26" s="252" t="s">
        <v>793</v>
      </c>
      <c r="E26" s="252"/>
      <c r="F26" s="252"/>
      <c r="G26" s="252"/>
      <c r="H26" s="253">
        <f t="shared" si="0"/>
        <v>46168</v>
      </c>
      <c r="I26" s="254" t="s">
        <v>7</v>
      </c>
      <c r="J26" s="252" t="s">
        <v>777</v>
      </c>
      <c r="K26" s="255"/>
      <c r="L26" s="256" t="s">
        <v>744</v>
      </c>
    </row>
    <row r="27" s="227" customFormat="1" ht="13.9" customHeight="1" spans="1:12">
      <c r="A27" s="249" t="s">
        <v>794</v>
      </c>
      <c r="B27" s="249"/>
      <c r="C27" s="249"/>
      <c r="D27" s="249"/>
      <c r="E27" s="249"/>
      <c r="F27" s="249"/>
      <c r="G27" s="249"/>
      <c r="H27" s="249"/>
      <c r="I27" s="249"/>
      <c r="J27" s="249"/>
      <c r="K27" s="249"/>
      <c r="L27" s="257"/>
    </row>
    <row r="28" s="227" customFormat="1" ht="67.2" spans="1:12">
      <c r="A28" s="251" t="s">
        <v>101</v>
      </c>
      <c r="B28" s="252" t="s">
        <v>795</v>
      </c>
      <c r="C28" s="252" t="s">
        <v>796</v>
      </c>
      <c r="D28" s="252" t="s">
        <v>797</v>
      </c>
      <c r="E28" s="252"/>
      <c r="F28" s="252"/>
      <c r="G28" s="252"/>
      <c r="H28" s="253">
        <f>DATEVALUE("05/19/2026")</f>
        <v>46161</v>
      </c>
      <c r="I28" s="254" t="s">
        <v>7</v>
      </c>
      <c r="J28" s="252" t="s">
        <v>798</v>
      </c>
      <c r="K28" s="255"/>
      <c r="L28" s="256" t="s">
        <v>744</v>
      </c>
    </row>
    <row r="29" s="227" customFormat="1" ht="50.4" spans="1:12">
      <c r="A29" s="251" t="s">
        <v>107</v>
      </c>
      <c r="B29" s="252" t="s">
        <v>799</v>
      </c>
      <c r="C29" s="252" t="s">
        <v>800</v>
      </c>
      <c r="D29" s="252" t="s">
        <v>801</v>
      </c>
      <c r="E29" s="252"/>
      <c r="F29" s="252"/>
      <c r="G29" s="252"/>
      <c r="H29" s="253">
        <f t="shared" ref="H29:H42" si="1">DATEVALUE("05/19/2026")</f>
        <v>46161</v>
      </c>
      <c r="I29" s="254" t="s">
        <v>7</v>
      </c>
      <c r="J29" s="252" t="s">
        <v>802</v>
      </c>
      <c r="K29" s="255"/>
      <c r="L29" s="256" t="s">
        <v>744</v>
      </c>
    </row>
    <row r="30" s="227" customFormat="1" ht="50.4" spans="1:12">
      <c r="A30" s="251" t="s">
        <v>112</v>
      </c>
      <c r="B30" s="252" t="s">
        <v>803</v>
      </c>
      <c r="C30" s="252" t="s">
        <v>804</v>
      </c>
      <c r="D30" s="252" t="s">
        <v>805</v>
      </c>
      <c r="E30" s="252"/>
      <c r="F30" s="252"/>
      <c r="G30" s="252"/>
      <c r="H30" s="253">
        <f t="shared" si="1"/>
        <v>46161</v>
      </c>
      <c r="I30" s="254" t="s">
        <v>8</v>
      </c>
      <c r="J30" s="258" t="s">
        <v>806</v>
      </c>
      <c r="K30" s="255" t="s">
        <v>807</v>
      </c>
      <c r="L30" s="256" t="s">
        <v>744</v>
      </c>
    </row>
    <row r="31" s="227" customFormat="1" ht="33.6" spans="1:12">
      <c r="A31" s="251" t="s">
        <v>118</v>
      </c>
      <c r="B31" s="252" t="s">
        <v>808</v>
      </c>
      <c r="C31" s="252" t="s">
        <v>809</v>
      </c>
      <c r="D31" s="252" t="s">
        <v>810</v>
      </c>
      <c r="E31" s="252"/>
      <c r="F31" s="252"/>
      <c r="G31" s="252"/>
      <c r="H31" s="253">
        <f t="shared" si="1"/>
        <v>46161</v>
      </c>
      <c r="I31" s="254" t="s">
        <v>8</v>
      </c>
      <c r="J31" s="259"/>
      <c r="K31" s="255" t="s">
        <v>811</v>
      </c>
      <c r="L31" s="256" t="s">
        <v>744</v>
      </c>
    </row>
    <row r="32" s="227" customFormat="1" ht="33.6" spans="1:12">
      <c r="A32" s="251" t="s">
        <v>124</v>
      </c>
      <c r="B32" s="252" t="s">
        <v>812</v>
      </c>
      <c r="C32" s="252" t="s">
        <v>813</v>
      </c>
      <c r="D32" s="252" t="s">
        <v>814</v>
      </c>
      <c r="E32" s="252"/>
      <c r="F32" s="252"/>
      <c r="G32" s="252"/>
      <c r="H32" s="253">
        <f t="shared" si="1"/>
        <v>46161</v>
      </c>
      <c r="I32" s="254" t="s">
        <v>8</v>
      </c>
      <c r="J32" s="259"/>
      <c r="K32" s="255" t="s">
        <v>815</v>
      </c>
      <c r="L32" s="256" t="s">
        <v>744</v>
      </c>
    </row>
    <row r="33" s="227" customFormat="1" ht="50.4" spans="1:12">
      <c r="A33" s="251" t="s">
        <v>130</v>
      </c>
      <c r="B33" s="252" t="s">
        <v>816</v>
      </c>
      <c r="C33" s="252" t="s">
        <v>817</v>
      </c>
      <c r="D33" s="252" t="s">
        <v>818</v>
      </c>
      <c r="E33" s="252"/>
      <c r="F33" s="252"/>
      <c r="G33" s="252"/>
      <c r="H33" s="253">
        <f t="shared" si="1"/>
        <v>46161</v>
      </c>
      <c r="I33" s="254" t="s">
        <v>8</v>
      </c>
      <c r="J33" s="260"/>
      <c r="K33" s="255" t="s">
        <v>819</v>
      </c>
      <c r="L33" s="256" t="s">
        <v>744</v>
      </c>
    </row>
    <row r="34" s="227" customFormat="1" ht="50.4" spans="1:12">
      <c r="A34" s="251" t="s">
        <v>136</v>
      </c>
      <c r="B34" s="252" t="s">
        <v>820</v>
      </c>
      <c r="C34" s="252" t="s">
        <v>821</v>
      </c>
      <c r="D34" s="252" t="s">
        <v>822</v>
      </c>
      <c r="E34" s="252"/>
      <c r="F34" s="252"/>
      <c r="G34" s="252"/>
      <c r="H34" s="253">
        <f t="shared" si="1"/>
        <v>46161</v>
      </c>
      <c r="I34" s="254" t="s">
        <v>8</v>
      </c>
      <c r="J34" s="261" t="s">
        <v>823</v>
      </c>
      <c r="K34" s="255" t="s">
        <v>824</v>
      </c>
      <c r="L34" s="256" t="s">
        <v>744</v>
      </c>
    </row>
    <row r="35" s="227" customFormat="1" ht="50.4" spans="1:12">
      <c r="A35" s="251" t="s">
        <v>142</v>
      </c>
      <c r="B35" s="252" t="s">
        <v>825</v>
      </c>
      <c r="C35" s="252" t="s">
        <v>826</v>
      </c>
      <c r="D35" s="252" t="s">
        <v>827</v>
      </c>
      <c r="E35" s="252"/>
      <c r="F35" s="252"/>
      <c r="G35" s="252"/>
      <c r="H35" s="253">
        <f t="shared" si="1"/>
        <v>46161</v>
      </c>
      <c r="I35" s="254" t="s">
        <v>8</v>
      </c>
      <c r="J35" s="262"/>
      <c r="K35" s="255" t="s">
        <v>828</v>
      </c>
      <c r="L35" s="256" t="s">
        <v>744</v>
      </c>
    </row>
    <row r="36" s="227" customFormat="1" ht="50.4" spans="1:12">
      <c r="A36" s="251" t="s">
        <v>148</v>
      </c>
      <c r="B36" s="252" t="s">
        <v>829</v>
      </c>
      <c r="C36" s="252" t="s">
        <v>830</v>
      </c>
      <c r="D36" s="252" t="s">
        <v>831</v>
      </c>
      <c r="E36" s="252"/>
      <c r="F36" s="252"/>
      <c r="G36" s="252"/>
      <c r="H36" s="253">
        <f t="shared" si="1"/>
        <v>46161</v>
      </c>
      <c r="I36" s="254" t="s">
        <v>7</v>
      </c>
      <c r="J36" s="252"/>
      <c r="K36" s="255"/>
      <c r="L36" s="256" t="s">
        <v>744</v>
      </c>
    </row>
    <row r="37" s="227" customFormat="1" ht="50.4" spans="1:12">
      <c r="A37" s="251" t="s">
        <v>153</v>
      </c>
      <c r="B37" s="252" t="s">
        <v>832</v>
      </c>
      <c r="C37" s="252" t="s">
        <v>833</v>
      </c>
      <c r="D37" s="252" t="s">
        <v>834</v>
      </c>
      <c r="E37" s="252"/>
      <c r="F37" s="252"/>
      <c r="G37" s="252"/>
      <c r="H37" s="253">
        <f t="shared" si="1"/>
        <v>46161</v>
      </c>
      <c r="I37" s="254" t="s">
        <v>7</v>
      </c>
      <c r="J37" s="252"/>
      <c r="K37" s="255"/>
      <c r="L37" s="256" t="s">
        <v>744</v>
      </c>
    </row>
    <row r="38" s="227" customFormat="1" ht="33.6" spans="1:12">
      <c r="A38" s="251" t="s">
        <v>159</v>
      </c>
      <c r="B38" s="252" t="s">
        <v>835</v>
      </c>
      <c r="C38" s="252" t="s">
        <v>836</v>
      </c>
      <c r="D38" s="252" t="s">
        <v>837</v>
      </c>
      <c r="E38" s="252"/>
      <c r="F38" s="252"/>
      <c r="G38" s="252"/>
      <c r="H38" s="253">
        <f t="shared" si="1"/>
        <v>46161</v>
      </c>
      <c r="I38" s="254" t="s">
        <v>7</v>
      </c>
      <c r="J38" s="252"/>
      <c r="K38" s="255"/>
      <c r="L38" s="256" t="s">
        <v>744</v>
      </c>
    </row>
    <row r="39" s="227" customFormat="1" ht="50.4" spans="1:12">
      <c r="A39" s="251" t="s">
        <v>165</v>
      </c>
      <c r="B39" s="252" t="s">
        <v>838</v>
      </c>
      <c r="C39" s="252" t="s">
        <v>839</v>
      </c>
      <c r="D39" s="252" t="s">
        <v>840</v>
      </c>
      <c r="E39" s="252"/>
      <c r="F39" s="252"/>
      <c r="G39" s="252"/>
      <c r="H39" s="253">
        <f t="shared" si="1"/>
        <v>46161</v>
      </c>
      <c r="I39" s="254" t="s">
        <v>7</v>
      </c>
      <c r="J39" s="252"/>
      <c r="K39" s="255"/>
      <c r="L39" s="256" t="s">
        <v>744</v>
      </c>
    </row>
    <row r="40" s="227" customFormat="1" ht="50.4" spans="1:12">
      <c r="A40" s="251" t="s">
        <v>170</v>
      </c>
      <c r="B40" s="252" t="s">
        <v>841</v>
      </c>
      <c r="C40" s="252" t="s">
        <v>842</v>
      </c>
      <c r="D40" s="252" t="s">
        <v>780</v>
      </c>
      <c r="E40" s="252"/>
      <c r="F40" s="252"/>
      <c r="G40" s="252"/>
      <c r="H40" s="253">
        <f t="shared" si="1"/>
        <v>46161</v>
      </c>
      <c r="I40" s="254" t="s">
        <v>7</v>
      </c>
      <c r="J40" s="252"/>
      <c r="K40" s="255"/>
      <c r="L40" s="256" t="s">
        <v>744</v>
      </c>
    </row>
    <row r="41" s="227" customFormat="1" ht="50.4" spans="1:12">
      <c r="A41" s="251" t="s">
        <v>175</v>
      </c>
      <c r="B41" s="252" t="s">
        <v>843</v>
      </c>
      <c r="C41" s="252" t="s">
        <v>844</v>
      </c>
      <c r="D41" s="252" t="s">
        <v>845</v>
      </c>
      <c r="E41" s="252"/>
      <c r="F41" s="252"/>
      <c r="G41" s="252"/>
      <c r="H41" s="253">
        <f t="shared" si="1"/>
        <v>46161</v>
      </c>
      <c r="I41" s="254" t="s">
        <v>7</v>
      </c>
      <c r="J41" s="252"/>
      <c r="K41" s="255"/>
      <c r="L41" s="256" t="s">
        <v>744</v>
      </c>
    </row>
    <row r="42" s="227" customFormat="1" ht="42" customHeight="1" spans="1:12">
      <c r="A42" s="251" t="s">
        <v>181</v>
      </c>
      <c r="B42" s="252" t="s">
        <v>846</v>
      </c>
      <c r="C42" s="252" t="s">
        <v>847</v>
      </c>
      <c r="D42" s="252" t="s">
        <v>848</v>
      </c>
      <c r="E42" s="252"/>
      <c r="F42" s="252"/>
      <c r="G42" s="252"/>
      <c r="H42" s="253">
        <f t="shared" si="1"/>
        <v>46161</v>
      </c>
      <c r="I42" s="254" t="s">
        <v>8</v>
      </c>
      <c r="J42" s="263" t="s">
        <v>849</v>
      </c>
      <c r="K42" s="255" t="s">
        <v>850</v>
      </c>
      <c r="L42" s="256" t="s">
        <v>744</v>
      </c>
    </row>
    <row r="43" s="227" customFormat="1" ht="13.9" customHeight="1" spans="1:12">
      <c r="A43" s="249" t="s">
        <v>851</v>
      </c>
      <c r="B43" s="249"/>
      <c r="C43" s="249"/>
      <c r="D43" s="249"/>
      <c r="E43" s="249"/>
      <c r="F43" s="249"/>
      <c r="G43" s="249"/>
      <c r="H43" s="249"/>
      <c r="I43" s="249"/>
      <c r="J43" s="249"/>
      <c r="K43" s="249"/>
      <c r="L43" s="257"/>
    </row>
    <row r="44" s="227" customFormat="1" ht="50.4" spans="1:12">
      <c r="A44" s="251" t="s">
        <v>188</v>
      </c>
      <c r="B44" s="252" t="s">
        <v>852</v>
      </c>
      <c r="C44" s="252" t="s">
        <v>853</v>
      </c>
      <c r="D44" s="252" t="s">
        <v>854</v>
      </c>
      <c r="E44" s="252"/>
      <c r="F44" s="252"/>
      <c r="G44" s="252"/>
      <c r="H44" s="253">
        <f>DATEVALUE("05/29/2026")</f>
        <v>46171</v>
      </c>
      <c r="I44" s="254" t="s">
        <v>7</v>
      </c>
      <c r="J44" s="252" t="s">
        <v>855</v>
      </c>
      <c r="K44" s="255"/>
      <c r="L44" s="256" t="s">
        <v>744</v>
      </c>
    </row>
    <row r="45" s="227" customFormat="1" ht="50.4" spans="1:12">
      <c r="A45" s="251" t="s">
        <v>193</v>
      </c>
      <c r="B45" s="252" t="s">
        <v>856</v>
      </c>
      <c r="C45" s="252" t="s">
        <v>857</v>
      </c>
      <c r="D45" s="252" t="s">
        <v>858</v>
      </c>
      <c r="E45" s="252"/>
      <c r="F45" s="252"/>
      <c r="G45" s="252"/>
      <c r="H45" s="253">
        <f t="shared" ref="H45:H54" si="2">DATEVALUE("05/29/2026")</f>
        <v>46171</v>
      </c>
      <c r="I45" s="254" t="s">
        <v>7</v>
      </c>
      <c r="J45" s="252" t="s">
        <v>859</v>
      </c>
      <c r="K45" s="255"/>
      <c r="L45" s="256" t="s">
        <v>744</v>
      </c>
    </row>
    <row r="46" s="227" customFormat="1" ht="50.4" spans="1:12">
      <c r="A46" s="251" t="s">
        <v>198</v>
      </c>
      <c r="B46" s="252" t="s">
        <v>860</v>
      </c>
      <c r="C46" s="252" t="s">
        <v>861</v>
      </c>
      <c r="D46" s="252" t="s">
        <v>862</v>
      </c>
      <c r="E46" s="252"/>
      <c r="F46" s="252"/>
      <c r="G46" s="252"/>
      <c r="H46" s="253">
        <f t="shared" si="2"/>
        <v>46171</v>
      </c>
      <c r="I46" s="254" t="s">
        <v>8</v>
      </c>
      <c r="J46" s="227" t="s">
        <v>863</v>
      </c>
      <c r="K46" s="255" t="s">
        <v>864</v>
      </c>
      <c r="L46" s="256" t="s">
        <v>744</v>
      </c>
    </row>
    <row r="47" s="227" customFormat="1" ht="50.4" spans="1:12">
      <c r="A47" s="251" t="s">
        <v>203</v>
      </c>
      <c r="B47" s="252" t="s">
        <v>865</v>
      </c>
      <c r="C47" s="252" t="s">
        <v>866</v>
      </c>
      <c r="D47" s="252" t="s">
        <v>867</v>
      </c>
      <c r="E47" s="252"/>
      <c r="F47" s="252"/>
      <c r="G47" s="252"/>
      <c r="H47" s="253">
        <f t="shared" si="2"/>
        <v>46171</v>
      </c>
      <c r="I47" s="254" t="s">
        <v>7</v>
      </c>
      <c r="J47" s="252" t="s">
        <v>868</v>
      </c>
      <c r="K47" s="255"/>
      <c r="L47" s="256" t="s">
        <v>744</v>
      </c>
    </row>
    <row r="48" s="227" customFormat="1" ht="50.4" spans="1:12">
      <c r="A48" s="251" t="s">
        <v>208</v>
      </c>
      <c r="B48" s="252" t="s">
        <v>869</v>
      </c>
      <c r="C48" s="252" t="s">
        <v>870</v>
      </c>
      <c r="D48" s="252" t="s">
        <v>871</v>
      </c>
      <c r="E48" s="252"/>
      <c r="F48" s="252"/>
      <c r="G48" s="252"/>
      <c r="H48" s="253">
        <f t="shared" si="2"/>
        <v>46171</v>
      </c>
      <c r="I48" s="254" t="s">
        <v>7</v>
      </c>
      <c r="J48" s="252" t="s">
        <v>872</v>
      </c>
      <c r="K48" s="255"/>
      <c r="L48" s="256" t="s">
        <v>744</v>
      </c>
    </row>
    <row r="49" s="227" customFormat="1" ht="50.4" spans="1:12">
      <c r="A49" s="251" t="s">
        <v>213</v>
      </c>
      <c r="B49" s="252" t="s">
        <v>873</v>
      </c>
      <c r="C49" s="252" t="s">
        <v>874</v>
      </c>
      <c r="D49" s="252" t="s">
        <v>875</v>
      </c>
      <c r="E49" s="252"/>
      <c r="F49" s="252"/>
      <c r="G49" s="252"/>
      <c r="H49" s="253">
        <f t="shared" si="2"/>
        <v>46171</v>
      </c>
      <c r="I49" s="254" t="s">
        <v>7</v>
      </c>
      <c r="J49" s="252" t="s">
        <v>876</v>
      </c>
      <c r="K49" s="255"/>
      <c r="L49" s="256" t="s">
        <v>744</v>
      </c>
    </row>
    <row r="50" s="227" customFormat="1" ht="50.4" spans="1:12">
      <c r="A50" s="251" t="s">
        <v>217</v>
      </c>
      <c r="B50" s="252" t="s">
        <v>877</v>
      </c>
      <c r="C50" s="252" t="s">
        <v>878</v>
      </c>
      <c r="D50" s="252" t="s">
        <v>879</v>
      </c>
      <c r="E50" s="252"/>
      <c r="F50" s="252"/>
      <c r="G50" s="252"/>
      <c r="H50" s="253">
        <f t="shared" si="2"/>
        <v>46171</v>
      </c>
      <c r="I50" s="254" t="s">
        <v>7</v>
      </c>
      <c r="J50" s="252" t="s">
        <v>880</v>
      </c>
      <c r="K50" s="255"/>
      <c r="L50" s="256" t="s">
        <v>744</v>
      </c>
    </row>
    <row r="51" s="227" customFormat="1" ht="33.6" spans="1:12">
      <c r="A51" s="251" t="s">
        <v>221</v>
      </c>
      <c r="B51" s="252" t="s">
        <v>881</v>
      </c>
      <c r="C51" s="252" t="s">
        <v>882</v>
      </c>
      <c r="D51" s="252" t="s">
        <v>883</v>
      </c>
      <c r="E51" s="252"/>
      <c r="F51" s="252"/>
      <c r="G51" s="252"/>
      <c r="H51" s="253">
        <f t="shared" si="2"/>
        <v>46171</v>
      </c>
      <c r="I51" s="254" t="s">
        <v>7</v>
      </c>
      <c r="J51" s="252" t="s">
        <v>880</v>
      </c>
      <c r="K51" s="255"/>
      <c r="L51" s="256" t="s">
        <v>744</v>
      </c>
    </row>
    <row r="52" s="227" customFormat="1" ht="50.4" spans="1:12">
      <c r="A52" s="251" t="s">
        <v>226</v>
      </c>
      <c r="B52" s="252" t="s">
        <v>884</v>
      </c>
      <c r="C52" s="252" t="s">
        <v>885</v>
      </c>
      <c r="D52" s="252" t="s">
        <v>886</v>
      </c>
      <c r="E52" s="252"/>
      <c r="F52" s="252"/>
      <c r="G52" s="252"/>
      <c r="H52" s="253">
        <f t="shared" si="2"/>
        <v>46171</v>
      </c>
      <c r="I52" s="254" t="s">
        <v>7</v>
      </c>
      <c r="J52" s="252" t="s">
        <v>887</v>
      </c>
      <c r="K52" s="255"/>
      <c r="L52" s="256" t="s">
        <v>744</v>
      </c>
    </row>
    <row r="53" s="227" customFormat="1" ht="50.4" spans="1:12">
      <c r="A53" s="251" t="s">
        <v>230</v>
      </c>
      <c r="B53" s="252" t="s">
        <v>888</v>
      </c>
      <c r="C53" s="252" t="s">
        <v>889</v>
      </c>
      <c r="D53" s="252" t="s">
        <v>890</v>
      </c>
      <c r="E53" s="252"/>
      <c r="F53" s="252"/>
      <c r="G53" s="252"/>
      <c r="H53" s="253">
        <f t="shared" si="2"/>
        <v>46171</v>
      </c>
      <c r="I53" s="254" t="s">
        <v>7</v>
      </c>
      <c r="J53" s="252" t="s">
        <v>891</v>
      </c>
      <c r="K53" s="255"/>
      <c r="L53" s="256" t="s">
        <v>744</v>
      </c>
    </row>
    <row r="54" s="227" customFormat="1" ht="50.4" spans="1:12">
      <c r="A54" s="251" t="s">
        <v>235</v>
      </c>
      <c r="B54" s="252" t="s">
        <v>892</v>
      </c>
      <c r="C54" s="252" t="s">
        <v>893</v>
      </c>
      <c r="D54" s="252" t="s">
        <v>894</v>
      </c>
      <c r="E54" s="252"/>
      <c r="F54" s="252"/>
      <c r="G54" s="252"/>
      <c r="H54" s="253">
        <f t="shared" si="2"/>
        <v>46171</v>
      </c>
      <c r="I54" s="254" t="s">
        <v>7</v>
      </c>
      <c r="J54" s="252" t="s">
        <v>895</v>
      </c>
      <c r="K54" s="255"/>
      <c r="L54" s="256" t="s">
        <v>744</v>
      </c>
    </row>
    <row r="55" s="227" customFormat="1" ht="33.6" spans="1:12">
      <c r="A55" s="251" t="s">
        <v>239</v>
      </c>
      <c r="B55" s="252" t="s">
        <v>896</v>
      </c>
      <c r="C55" s="252" t="s">
        <v>897</v>
      </c>
      <c r="D55" s="252" t="s">
        <v>898</v>
      </c>
      <c r="E55" s="252"/>
      <c r="F55" s="252"/>
      <c r="G55" s="252"/>
      <c r="H55" s="253">
        <f t="shared" ref="H55:H63" si="3">DATEVALUE("05/29/2026")</f>
        <v>46171</v>
      </c>
      <c r="I55" s="254" t="s">
        <v>7</v>
      </c>
      <c r="J55" s="252" t="s">
        <v>899</v>
      </c>
      <c r="K55" s="255"/>
      <c r="L55" s="256" t="s">
        <v>744</v>
      </c>
    </row>
    <row r="56" s="227" customFormat="1" ht="33.6" spans="1:12">
      <c r="A56" s="251" t="s">
        <v>243</v>
      </c>
      <c r="B56" s="252" t="s">
        <v>900</v>
      </c>
      <c r="C56" s="252" t="s">
        <v>901</v>
      </c>
      <c r="D56" s="252" t="s">
        <v>902</v>
      </c>
      <c r="E56" s="252"/>
      <c r="F56" s="252"/>
      <c r="G56" s="252"/>
      <c r="H56" s="253">
        <f t="shared" si="3"/>
        <v>46171</v>
      </c>
      <c r="I56" s="254" t="s">
        <v>7</v>
      </c>
      <c r="J56" s="252"/>
      <c r="K56" s="255"/>
      <c r="L56" s="256" t="s">
        <v>744</v>
      </c>
    </row>
    <row r="57" s="227" customFormat="1" ht="33.6" spans="1:12">
      <c r="A57" s="251" t="s">
        <v>248</v>
      </c>
      <c r="B57" s="252" t="s">
        <v>903</v>
      </c>
      <c r="C57" s="252" t="s">
        <v>904</v>
      </c>
      <c r="D57" s="252" t="s">
        <v>905</v>
      </c>
      <c r="E57" s="252"/>
      <c r="F57" s="252"/>
      <c r="G57" s="252"/>
      <c r="H57" s="253">
        <f t="shared" si="3"/>
        <v>46171</v>
      </c>
      <c r="I57" s="254" t="s">
        <v>7</v>
      </c>
      <c r="J57" s="252" t="s">
        <v>906</v>
      </c>
      <c r="K57" s="255"/>
      <c r="L57" s="256" t="s">
        <v>744</v>
      </c>
    </row>
    <row r="58" s="227" customFormat="1" ht="33.6" spans="1:12">
      <c r="A58" s="251" t="s">
        <v>253</v>
      </c>
      <c r="B58" s="252" t="s">
        <v>907</v>
      </c>
      <c r="C58" s="252" t="s">
        <v>908</v>
      </c>
      <c r="D58" s="252" t="s">
        <v>909</v>
      </c>
      <c r="E58" s="252"/>
      <c r="F58" s="252"/>
      <c r="G58" s="252"/>
      <c r="H58" s="253">
        <f t="shared" si="3"/>
        <v>46171</v>
      </c>
      <c r="I58" s="254" t="s">
        <v>7</v>
      </c>
      <c r="J58" s="252" t="s">
        <v>910</v>
      </c>
      <c r="K58" s="255"/>
      <c r="L58" s="256" t="s">
        <v>744</v>
      </c>
    </row>
    <row r="59" s="227" customFormat="1" ht="33.6" spans="1:12">
      <c r="A59" s="251" t="s">
        <v>258</v>
      </c>
      <c r="B59" s="252" t="s">
        <v>911</v>
      </c>
      <c r="C59" s="252" t="s">
        <v>912</v>
      </c>
      <c r="D59" s="252" t="s">
        <v>913</v>
      </c>
      <c r="E59" s="252"/>
      <c r="F59" s="252"/>
      <c r="G59" s="252"/>
      <c r="H59" s="253">
        <f t="shared" si="3"/>
        <v>46171</v>
      </c>
      <c r="I59" s="254" t="s">
        <v>7</v>
      </c>
      <c r="J59" s="252" t="s">
        <v>910</v>
      </c>
      <c r="K59" s="255"/>
      <c r="L59" s="256" t="s">
        <v>744</v>
      </c>
    </row>
    <row r="60" s="227" customFormat="1" ht="33.6" spans="1:12">
      <c r="A60" s="251" t="s">
        <v>262</v>
      </c>
      <c r="B60" s="252" t="s">
        <v>914</v>
      </c>
      <c r="C60" s="252" t="s">
        <v>915</v>
      </c>
      <c r="D60" s="252" t="s">
        <v>916</v>
      </c>
      <c r="E60" s="252"/>
      <c r="F60" s="252"/>
      <c r="G60" s="252"/>
      <c r="H60" s="253">
        <f t="shared" si="3"/>
        <v>46171</v>
      </c>
      <c r="I60" s="254" t="s">
        <v>8</v>
      </c>
      <c r="J60" s="252" t="s">
        <v>917</v>
      </c>
      <c r="K60" s="255" t="s">
        <v>918</v>
      </c>
      <c r="L60" s="256" t="s">
        <v>744</v>
      </c>
    </row>
    <row r="61" s="227" customFormat="1" ht="50.4" spans="1:12">
      <c r="A61" s="251" t="s">
        <v>266</v>
      </c>
      <c r="B61" s="252" t="s">
        <v>919</v>
      </c>
      <c r="C61" s="252" t="s">
        <v>920</v>
      </c>
      <c r="D61" s="252" t="s">
        <v>921</v>
      </c>
      <c r="E61" s="252"/>
      <c r="F61" s="252"/>
      <c r="G61" s="252"/>
      <c r="H61" s="253">
        <f t="shared" si="3"/>
        <v>46171</v>
      </c>
      <c r="I61" s="254" t="s">
        <v>7</v>
      </c>
      <c r="J61" s="252" t="s">
        <v>922</v>
      </c>
      <c r="K61" s="255"/>
      <c r="L61" s="256" t="s">
        <v>744</v>
      </c>
    </row>
    <row r="62" s="227" customFormat="1" ht="50.4" spans="1:12">
      <c r="A62" s="251" t="s">
        <v>270</v>
      </c>
      <c r="B62" s="252" t="s">
        <v>923</v>
      </c>
      <c r="C62" s="252" t="s">
        <v>924</v>
      </c>
      <c r="D62" s="252" t="s">
        <v>925</v>
      </c>
      <c r="E62" s="252"/>
      <c r="F62" s="252"/>
      <c r="G62" s="252"/>
      <c r="H62" s="253">
        <f t="shared" si="3"/>
        <v>46171</v>
      </c>
      <c r="I62" s="254" t="s">
        <v>7</v>
      </c>
      <c r="J62" s="252" t="s">
        <v>926</v>
      </c>
      <c r="K62" s="255"/>
      <c r="L62" s="256" t="s">
        <v>744</v>
      </c>
    </row>
    <row r="63" s="227" customFormat="1" ht="50.4" spans="1:12">
      <c r="A63" s="251" t="s">
        <v>274</v>
      </c>
      <c r="B63" s="252" t="s">
        <v>927</v>
      </c>
      <c r="C63" s="252" t="s">
        <v>928</v>
      </c>
      <c r="D63" s="252" t="s">
        <v>929</v>
      </c>
      <c r="E63" s="252"/>
      <c r="F63" s="252"/>
      <c r="G63" s="252"/>
      <c r="H63" s="253">
        <f t="shared" si="3"/>
        <v>46171</v>
      </c>
      <c r="I63" s="254" t="s">
        <v>7</v>
      </c>
      <c r="J63" s="252" t="s">
        <v>930</v>
      </c>
      <c r="K63" s="255"/>
      <c r="L63" s="256" t="s">
        <v>744</v>
      </c>
    </row>
    <row r="64" s="227" customFormat="1" ht="13.9" customHeight="1" spans="1:12">
      <c r="A64" s="264" t="s">
        <v>931</v>
      </c>
      <c r="B64" s="265"/>
      <c r="C64" s="265"/>
      <c r="D64" s="265"/>
      <c r="E64" s="265"/>
      <c r="F64" s="265"/>
      <c r="G64" s="265"/>
      <c r="H64" s="265"/>
      <c r="I64" s="265"/>
      <c r="J64" s="265"/>
      <c r="K64" s="265"/>
      <c r="L64" s="266"/>
    </row>
    <row r="65" s="227" customFormat="1" ht="50.4" spans="1:12">
      <c r="A65" s="251" t="s">
        <v>278</v>
      </c>
      <c r="B65" s="252" t="s">
        <v>932</v>
      </c>
      <c r="C65" s="252" t="s">
        <v>933</v>
      </c>
      <c r="D65" s="252" t="s">
        <v>934</v>
      </c>
      <c r="E65" s="252"/>
      <c r="F65" s="252"/>
      <c r="G65" s="252"/>
      <c r="H65" s="253">
        <f>DATEVALUE("05/19/2026")</f>
        <v>46161</v>
      </c>
      <c r="I65" s="254" t="s">
        <v>7</v>
      </c>
      <c r="J65" s="252" t="s">
        <v>935</v>
      </c>
      <c r="K65" s="255"/>
      <c r="L65" s="256" t="s">
        <v>744</v>
      </c>
    </row>
    <row r="66" s="227" customFormat="1" ht="50.4" spans="1:12">
      <c r="A66" s="251" t="s">
        <v>283</v>
      </c>
      <c r="B66" s="252" t="s">
        <v>936</v>
      </c>
      <c r="C66" s="252" t="s">
        <v>937</v>
      </c>
      <c r="D66" s="252" t="s">
        <v>938</v>
      </c>
      <c r="E66" s="252"/>
      <c r="F66" s="252"/>
      <c r="G66" s="252"/>
      <c r="H66" s="253">
        <f t="shared" ref="H66:H74" si="4">DATEVALUE("05/19/2026")</f>
        <v>46161</v>
      </c>
      <c r="I66" s="254" t="s">
        <v>7</v>
      </c>
      <c r="J66" s="252"/>
      <c r="K66" s="255"/>
      <c r="L66" s="256" t="s">
        <v>744</v>
      </c>
    </row>
    <row r="67" s="227" customFormat="1" ht="33.6" spans="1:12">
      <c r="A67" s="251" t="s">
        <v>288</v>
      </c>
      <c r="B67" s="252" t="s">
        <v>939</v>
      </c>
      <c r="C67" s="252" t="s">
        <v>940</v>
      </c>
      <c r="D67" s="252" t="s">
        <v>941</v>
      </c>
      <c r="E67" s="252"/>
      <c r="F67" s="252"/>
      <c r="G67" s="252"/>
      <c r="H67" s="253">
        <f t="shared" si="4"/>
        <v>46161</v>
      </c>
      <c r="I67" s="254" t="s">
        <v>7</v>
      </c>
      <c r="J67" s="252"/>
      <c r="K67" s="255"/>
      <c r="L67" s="256" t="s">
        <v>744</v>
      </c>
    </row>
    <row r="68" s="227" customFormat="1" ht="33.6" spans="1:12">
      <c r="A68" s="251" t="s">
        <v>293</v>
      </c>
      <c r="B68" s="252" t="s">
        <v>942</v>
      </c>
      <c r="C68" s="252" t="s">
        <v>943</v>
      </c>
      <c r="D68" s="252" t="s">
        <v>944</v>
      </c>
      <c r="E68" s="252"/>
      <c r="F68" s="252"/>
      <c r="G68" s="252"/>
      <c r="H68" s="253">
        <f t="shared" si="4"/>
        <v>46161</v>
      </c>
      <c r="I68" s="254" t="s">
        <v>8</v>
      </c>
      <c r="J68" s="252" t="s">
        <v>945</v>
      </c>
      <c r="K68" s="255" t="s">
        <v>946</v>
      </c>
      <c r="L68" s="256" t="s">
        <v>744</v>
      </c>
    </row>
    <row r="69" s="227" customFormat="1" ht="33.6" spans="1:12">
      <c r="A69" s="251" t="s">
        <v>298</v>
      </c>
      <c r="B69" s="252" t="s">
        <v>947</v>
      </c>
      <c r="C69" s="252" t="s">
        <v>948</v>
      </c>
      <c r="D69" s="252" t="s">
        <v>949</v>
      </c>
      <c r="E69" s="252"/>
      <c r="F69" s="252"/>
      <c r="G69" s="252"/>
      <c r="H69" s="253">
        <f t="shared" si="4"/>
        <v>46161</v>
      </c>
      <c r="I69" s="254" t="s">
        <v>7</v>
      </c>
      <c r="J69" s="252"/>
      <c r="K69" s="255"/>
      <c r="L69" s="256" t="s">
        <v>744</v>
      </c>
    </row>
    <row r="70" s="227" customFormat="1" ht="33.6" spans="1:12">
      <c r="A70" s="251" t="s">
        <v>304</v>
      </c>
      <c r="B70" s="252" t="s">
        <v>950</v>
      </c>
      <c r="C70" s="252" t="s">
        <v>951</v>
      </c>
      <c r="D70" s="252" t="s">
        <v>952</v>
      </c>
      <c r="E70" s="252"/>
      <c r="F70" s="252"/>
      <c r="G70" s="252"/>
      <c r="H70" s="253">
        <f t="shared" si="4"/>
        <v>46161</v>
      </c>
      <c r="I70" s="254" t="s">
        <v>7</v>
      </c>
      <c r="J70" s="252"/>
      <c r="K70" s="255"/>
      <c r="L70" s="256" t="s">
        <v>744</v>
      </c>
    </row>
    <row r="71" s="227" customFormat="1" ht="33.6" spans="1:12">
      <c r="A71" s="251" t="s">
        <v>309</v>
      </c>
      <c r="B71" s="252" t="s">
        <v>953</v>
      </c>
      <c r="C71" s="252" t="s">
        <v>954</v>
      </c>
      <c r="D71" s="252" t="s">
        <v>955</v>
      </c>
      <c r="E71" s="252"/>
      <c r="F71" s="252"/>
      <c r="G71" s="252"/>
      <c r="H71" s="253">
        <f t="shared" si="4"/>
        <v>46161</v>
      </c>
      <c r="I71" s="254" t="s">
        <v>7</v>
      </c>
      <c r="J71" s="252"/>
      <c r="K71" s="255"/>
      <c r="L71" s="256" t="s">
        <v>744</v>
      </c>
    </row>
    <row r="72" s="227" customFormat="1" ht="33.6" spans="1:12">
      <c r="A72" s="251" t="s">
        <v>314</v>
      </c>
      <c r="B72" s="252" t="s">
        <v>956</v>
      </c>
      <c r="C72" s="252" t="s">
        <v>957</v>
      </c>
      <c r="D72" s="252" t="s">
        <v>958</v>
      </c>
      <c r="E72" s="252"/>
      <c r="F72" s="252"/>
      <c r="G72" s="252"/>
      <c r="H72" s="253">
        <f t="shared" si="4"/>
        <v>46161</v>
      </c>
      <c r="I72" s="254" t="s">
        <v>7</v>
      </c>
      <c r="K72" s="255"/>
      <c r="L72" s="256" t="s">
        <v>744</v>
      </c>
    </row>
    <row r="73" s="227" customFormat="1" ht="33.6" spans="1:12">
      <c r="A73" s="251" t="s">
        <v>318</v>
      </c>
      <c r="B73" s="252" t="s">
        <v>959</v>
      </c>
      <c r="C73" s="252" t="s">
        <v>960</v>
      </c>
      <c r="D73" s="252" t="s">
        <v>961</v>
      </c>
      <c r="E73" s="252"/>
      <c r="F73" s="252"/>
      <c r="G73" s="252"/>
      <c r="H73" s="253">
        <f t="shared" si="4"/>
        <v>46161</v>
      </c>
      <c r="I73" s="254" t="s">
        <v>7</v>
      </c>
      <c r="J73" s="252"/>
      <c r="K73" s="255"/>
      <c r="L73" s="256" t="s">
        <v>744</v>
      </c>
    </row>
    <row r="74" s="227" customFormat="1" ht="50.4" spans="1:12">
      <c r="A74" s="251" t="s">
        <v>322</v>
      </c>
      <c r="B74" s="252" t="s">
        <v>962</v>
      </c>
      <c r="C74" s="252" t="s">
        <v>963</v>
      </c>
      <c r="D74" s="252" t="s">
        <v>964</v>
      </c>
      <c r="E74" s="252"/>
      <c r="F74" s="252"/>
      <c r="G74" s="252"/>
      <c r="H74" s="253">
        <f t="shared" si="4"/>
        <v>46161</v>
      </c>
      <c r="I74" s="254" t="s">
        <v>7</v>
      </c>
      <c r="J74" s="252"/>
      <c r="K74" s="255"/>
      <c r="L74" s="256" t="s">
        <v>744</v>
      </c>
    </row>
    <row r="75" s="227" customFormat="1" ht="13.9" customHeight="1" spans="1:12">
      <c r="A75" s="264" t="s">
        <v>965</v>
      </c>
      <c r="B75" s="265"/>
      <c r="C75" s="265"/>
      <c r="D75" s="265"/>
      <c r="E75" s="265"/>
      <c r="F75" s="265"/>
      <c r="G75" s="265"/>
      <c r="H75" s="265"/>
      <c r="I75" s="265"/>
      <c r="J75" s="265"/>
      <c r="K75" s="265"/>
      <c r="L75" s="266"/>
    </row>
    <row r="76" s="227" customFormat="1" ht="33.6" spans="1:12">
      <c r="A76" s="251" t="s">
        <v>327</v>
      </c>
      <c r="B76" s="252" t="s">
        <v>966</v>
      </c>
      <c r="C76" s="252" t="s">
        <v>967</v>
      </c>
      <c r="D76" s="252" t="s">
        <v>968</v>
      </c>
      <c r="E76" s="252"/>
      <c r="F76" s="252"/>
      <c r="G76" s="252"/>
      <c r="H76" s="253">
        <f>DATEVALUE("05/19/2026")</f>
        <v>46161</v>
      </c>
      <c r="I76" s="254" t="s">
        <v>7</v>
      </c>
      <c r="J76" s="252" t="s">
        <v>969</v>
      </c>
      <c r="K76" s="255"/>
      <c r="L76" s="267" t="s">
        <v>744</v>
      </c>
    </row>
    <row r="77" s="227" customFormat="1" ht="33.6" spans="1:12">
      <c r="A77" s="251" t="s">
        <v>332</v>
      </c>
      <c r="B77" s="252" t="s">
        <v>970</v>
      </c>
      <c r="C77" s="252" t="s">
        <v>971</v>
      </c>
      <c r="D77" s="252" t="s">
        <v>972</v>
      </c>
      <c r="E77" s="252"/>
      <c r="F77" s="252"/>
      <c r="G77" s="252"/>
      <c r="H77" s="253">
        <f t="shared" ref="H77:H85" si="5">DATEVALUE("05/19/2026")</f>
        <v>46161</v>
      </c>
      <c r="I77" s="254" t="s">
        <v>7</v>
      </c>
      <c r="J77" s="252"/>
      <c r="K77" s="255"/>
      <c r="L77" s="267" t="s">
        <v>744</v>
      </c>
    </row>
    <row r="78" s="227" customFormat="1" ht="50.4" spans="1:12">
      <c r="A78" s="251" t="s">
        <v>337</v>
      </c>
      <c r="B78" s="252" t="s">
        <v>973</v>
      </c>
      <c r="C78" s="252" t="s">
        <v>974</v>
      </c>
      <c r="D78" s="252" t="s">
        <v>975</v>
      </c>
      <c r="E78" s="252"/>
      <c r="F78" s="252"/>
      <c r="G78" s="252"/>
      <c r="H78" s="253">
        <f t="shared" si="5"/>
        <v>46161</v>
      </c>
      <c r="I78" s="254" t="s">
        <v>7</v>
      </c>
      <c r="J78" s="252"/>
      <c r="K78" s="255"/>
      <c r="L78" s="267" t="s">
        <v>744</v>
      </c>
    </row>
    <row r="79" s="227" customFormat="1" ht="50.4" spans="1:12">
      <c r="A79" s="251" t="s">
        <v>342</v>
      </c>
      <c r="B79" s="252" t="s">
        <v>976</v>
      </c>
      <c r="C79" s="252" t="s">
        <v>977</v>
      </c>
      <c r="D79" s="252" t="s">
        <v>978</v>
      </c>
      <c r="E79" s="252"/>
      <c r="F79" s="252"/>
      <c r="G79" s="252"/>
      <c r="H79" s="253">
        <f t="shared" si="5"/>
        <v>46161</v>
      </c>
      <c r="I79" s="254" t="s">
        <v>8</v>
      </c>
      <c r="J79" s="252" t="s">
        <v>979</v>
      </c>
      <c r="K79" s="255" t="s">
        <v>946</v>
      </c>
      <c r="L79" s="267" t="s">
        <v>744</v>
      </c>
    </row>
    <row r="80" s="227" customFormat="1" ht="33.6" spans="1:12">
      <c r="A80" s="251" t="s">
        <v>346</v>
      </c>
      <c r="B80" s="252" t="s">
        <v>980</v>
      </c>
      <c r="C80" s="252" t="s">
        <v>981</v>
      </c>
      <c r="D80" s="252" t="s">
        <v>982</v>
      </c>
      <c r="E80" s="252"/>
      <c r="F80" s="252"/>
      <c r="G80" s="252"/>
      <c r="H80" s="253">
        <f t="shared" si="5"/>
        <v>46161</v>
      </c>
      <c r="I80" s="254" t="s">
        <v>7</v>
      </c>
      <c r="J80" s="252"/>
      <c r="K80" s="255"/>
      <c r="L80" s="267" t="s">
        <v>744</v>
      </c>
    </row>
    <row r="81" s="227" customFormat="1" ht="33.6" spans="1:12">
      <c r="A81" s="251" t="s">
        <v>350</v>
      </c>
      <c r="B81" s="252" t="s">
        <v>983</v>
      </c>
      <c r="C81" s="252" t="s">
        <v>984</v>
      </c>
      <c r="D81" s="252" t="s">
        <v>985</v>
      </c>
      <c r="E81" s="252"/>
      <c r="F81" s="252"/>
      <c r="G81" s="252"/>
      <c r="H81" s="253">
        <f t="shared" si="5"/>
        <v>46161</v>
      </c>
      <c r="I81" s="254" t="s">
        <v>7</v>
      </c>
      <c r="J81" s="252"/>
      <c r="K81" s="255"/>
      <c r="L81" s="267" t="s">
        <v>744</v>
      </c>
    </row>
    <row r="82" s="227" customFormat="1" ht="50.4" spans="1:12">
      <c r="A82" s="251" t="s">
        <v>355</v>
      </c>
      <c r="B82" s="252" t="s">
        <v>986</v>
      </c>
      <c r="C82" s="252" t="s">
        <v>987</v>
      </c>
      <c r="D82" s="252" t="s">
        <v>988</v>
      </c>
      <c r="E82" s="252"/>
      <c r="F82" s="252"/>
      <c r="G82" s="252"/>
      <c r="H82" s="253">
        <f t="shared" si="5"/>
        <v>46161</v>
      </c>
      <c r="I82" s="254" t="s">
        <v>7</v>
      </c>
      <c r="J82" s="252"/>
      <c r="K82" s="255"/>
      <c r="L82" s="267" t="s">
        <v>744</v>
      </c>
    </row>
    <row r="83" s="227" customFormat="1" ht="50.4" spans="1:12">
      <c r="A83" s="251" t="s">
        <v>360</v>
      </c>
      <c r="B83" s="252" t="s">
        <v>989</v>
      </c>
      <c r="C83" s="252" t="s">
        <v>990</v>
      </c>
      <c r="D83" s="252" t="s">
        <v>991</v>
      </c>
      <c r="E83" s="252"/>
      <c r="F83" s="252"/>
      <c r="G83" s="252"/>
      <c r="H83" s="253">
        <f t="shared" si="5"/>
        <v>46161</v>
      </c>
      <c r="I83" s="254" t="s">
        <v>8</v>
      </c>
      <c r="J83" s="252" t="s">
        <v>992</v>
      </c>
      <c r="K83" s="255" t="s">
        <v>993</v>
      </c>
      <c r="L83" s="267" t="s">
        <v>744</v>
      </c>
    </row>
    <row r="84" s="227" customFormat="1" ht="33.6" spans="1:12">
      <c r="A84" s="251" t="s">
        <v>365</v>
      </c>
      <c r="B84" s="252" t="s">
        <v>994</v>
      </c>
      <c r="C84" s="252" t="s">
        <v>995</v>
      </c>
      <c r="D84" s="252" t="s">
        <v>996</v>
      </c>
      <c r="E84" s="252"/>
      <c r="F84" s="252"/>
      <c r="G84" s="252"/>
      <c r="H84" s="253">
        <f t="shared" si="5"/>
        <v>46161</v>
      </c>
      <c r="I84" s="254" t="s">
        <v>8</v>
      </c>
      <c r="J84" s="252" t="s">
        <v>997</v>
      </c>
      <c r="K84" s="255" t="s">
        <v>998</v>
      </c>
      <c r="L84" s="267" t="s">
        <v>744</v>
      </c>
    </row>
    <row r="85" s="227" customFormat="1" ht="33.6" spans="1:12">
      <c r="A85" s="251" t="s">
        <v>371</v>
      </c>
      <c r="B85" s="252" t="s">
        <v>999</v>
      </c>
      <c r="C85" s="252" t="s">
        <v>1000</v>
      </c>
      <c r="D85" s="252" t="s">
        <v>1001</v>
      </c>
      <c r="E85" s="252"/>
      <c r="F85" s="252"/>
      <c r="G85" s="252"/>
      <c r="H85" s="253">
        <f t="shared" si="5"/>
        <v>46161</v>
      </c>
      <c r="I85" s="254" t="s">
        <v>7</v>
      </c>
      <c r="J85" s="252"/>
      <c r="K85" s="255"/>
      <c r="L85" s="267" t="s">
        <v>744</v>
      </c>
    </row>
    <row r="86" s="227" customFormat="1" ht="13.9" customHeight="1" spans="1:12">
      <c r="A86" s="264" t="s">
        <v>1002</v>
      </c>
      <c r="B86" s="265"/>
      <c r="C86" s="265"/>
      <c r="D86" s="265"/>
      <c r="E86" s="265"/>
      <c r="F86" s="265"/>
      <c r="G86" s="265"/>
      <c r="H86" s="265"/>
      <c r="I86" s="265"/>
      <c r="J86" s="265"/>
      <c r="K86" s="265"/>
      <c r="L86" s="266"/>
    </row>
    <row r="87" s="227" customFormat="1" ht="50.4" spans="1:12">
      <c r="A87" s="251" t="s">
        <v>375</v>
      </c>
      <c r="B87" s="252" t="s">
        <v>1003</v>
      </c>
      <c r="C87" s="252" t="s">
        <v>1004</v>
      </c>
      <c r="D87" s="252" t="s">
        <v>1005</v>
      </c>
      <c r="E87" s="252"/>
      <c r="F87" s="252"/>
      <c r="G87" s="252"/>
      <c r="H87" s="253">
        <f>DATEVALUE("05/30/2026")</f>
        <v>46172</v>
      </c>
      <c r="I87" s="254" t="s">
        <v>7</v>
      </c>
      <c r="J87" s="252" t="s">
        <v>1006</v>
      </c>
      <c r="K87" s="255"/>
      <c r="L87" s="268" t="s">
        <v>744</v>
      </c>
    </row>
    <row r="88" s="227" customFormat="1" ht="33.6" spans="1:12">
      <c r="A88" s="251" t="s">
        <v>379</v>
      </c>
      <c r="B88" s="252" t="s">
        <v>1007</v>
      </c>
      <c r="C88" s="252" t="s">
        <v>1008</v>
      </c>
      <c r="D88" s="252" t="s">
        <v>1009</v>
      </c>
      <c r="E88" s="252"/>
      <c r="F88" s="252"/>
      <c r="G88" s="252"/>
      <c r="H88" s="253">
        <f t="shared" ref="H88:H96" si="6">DATEVALUE("05/30/2026")</f>
        <v>46172</v>
      </c>
      <c r="I88" s="254" t="s">
        <v>7</v>
      </c>
      <c r="J88" s="252"/>
      <c r="K88" s="255"/>
      <c r="L88" s="268" t="s">
        <v>744</v>
      </c>
    </row>
    <row r="89" s="227" customFormat="1" ht="33.6" spans="1:12">
      <c r="A89" s="251" t="s">
        <v>383</v>
      </c>
      <c r="B89" s="252" t="s">
        <v>1010</v>
      </c>
      <c r="C89" s="252" t="s">
        <v>1011</v>
      </c>
      <c r="D89" s="252" t="s">
        <v>1012</v>
      </c>
      <c r="E89" s="252"/>
      <c r="F89" s="252"/>
      <c r="G89" s="252"/>
      <c r="H89" s="253">
        <f t="shared" si="6"/>
        <v>46172</v>
      </c>
      <c r="I89" s="254" t="s">
        <v>7</v>
      </c>
      <c r="J89" s="252"/>
      <c r="K89" s="255"/>
      <c r="L89" s="268" t="s">
        <v>744</v>
      </c>
    </row>
    <row r="90" s="227" customFormat="1" ht="33.6" spans="1:12">
      <c r="A90" s="251" t="s">
        <v>387</v>
      </c>
      <c r="B90" s="252" t="s">
        <v>1013</v>
      </c>
      <c r="C90" s="252" t="s">
        <v>1014</v>
      </c>
      <c r="D90" s="252" t="s">
        <v>1015</v>
      </c>
      <c r="E90" s="252"/>
      <c r="F90" s="252"/>
      <c r="G90" s="252"/>
      <c r="H90" s="253">
        <f t="shared" si="6"/>
        <v>46172</v>
      </c>
      <c r="I90" s="254" t="s">
        <v>7</v>
      </c>
      <c r="J90" s="252"/>
      <c r="K90" s="255"/>
      <c r="L90" s="268" t="s">
        <v>744</v>
      </c>
    </row>
    <row r="91" s="227" customFormat="1" ht="67.2" spans="1:12">
      <c r="A91" s="251" t="s">
        <v>391</v>
      </c>
      <c r="B91" s="252" t="s">
        <v>1016</v>
      </c>
      <c r="C91" s="252" t="s">
        <v>1017</v>
      </c>
      <c r="D91" s="252" t="s">
        <v>1018</v>
      </c>
      <c r="E91" s="252"/>
      <c r="F91" s="252"/>
      <c r="G91" s="252"/>
      <c r="H91" s="253">
        <f t="shared" si="6"/>
        <v>46172</v>
      </c>
      <c r="I91" s="254" t="s">
        <v>7</v>
      </c>
      <c r="J91" s="252"/>
      <c r="K91" s="255"/>
      <c r="L91" s="268" t="s">
        <v>744</v>
      </c>
    </row>
    <row r="92" s="227" customFormat="1" ht="33.6" spans="1:12">
      <c r="A92" s="251" t="s">
        <v>395</v>
      </c>
      <c r="B92" s="252" t="s">
        <v>1019</v>
      </c>
      <c r="C92" s="252" t="s">
        <v>1020</v>
      </c>
      <c r="D92" s="252" t="s">
        <v>1021</v>
      </c>
      <c r="E92" s="252"/>
      <c r="F92" s="252"/>
      <c r="G92" s="252"/>
      <c r="H92" s="253">
        <f t="shared" si="6"/>
        <v>46172</v>
      </c>
      <c r="I92" s="254" t="s">
        <v>7</v>
      </c>
      <c r="J92" s="252"/>
      <c r="K92" s="255"/>
      <c r="L92" s="268" t="s">
        <v>744</v>
      </c>
    </row>
    <row r="93" s="227" customFormat="1" ht="33.6" spans="1:12">
      <c r="A93" s="251" t="s">
        <v>399</v>
      </c>
      <c r="B93" s="252" t="s">
        <v>1022</v>
      </c>
      <c r="C93" s="252" t="s">
        <v>1023</v>
      </c>
      <c r="D93" s="252" t="s">
        <v>1024</v>
      </c>
      <c r="E93" s="252"/>
      <c r="F93" s="252"/>
      <c r="G93" s="252"/>
      <c r="H93" s="253">
        <f t="shared" si="6"/>
        <v>46172</v>
      </c>
      <c r="I93" s="254" t="s">
        <v>7</v>
      </c>
      <c r="J93" s="252"/>
      <c r="K93" s="255"/>
      <c r="L93" s="268" t="s">
        <v>744</v>
      </c>
    </row>
    <row r="94" s="227" customFormat="1" ht="33.6" spans="1:12">
      <c r="A94" s="251" t="s">
        <v>403</v>
      </c>
      <c r="B94" s="252" t="s">
        <v>1025</v>
      </c>
      <c r="C94" s="252" t="s">
        <v>1026</v>
      </c>
      <c r="D94" s="252" t="s">
        <v>1027</v>
      </c>
      <c r="E94" s="252"/>
      <c r="F94" s="252"/>
      <c r="G94" s="252"/>
      <c r="H94" s="253">
        <f t="shared" si="6"/>
        <v>46172</v>
      </c>
      <c r="I94" s="254" t="s">
        <v>7</v>
      </c>
      <c r="J94" s="252"/>
      <c r="K94" s="255"/>
      <c r="L94" s="268" t="s">
        <v>744</v>
      </c>
    </row>
    <row r="95" s="227" customFormat="1" ht="33.6" spans="1:12">
      <c r="A95" s="251" t="s">
        <v>407</v>
      </c>
      <c r="B95" s="252" t="s">
        <v>1028</v>
      </c>
      <c r="C95" s="252" t="s">
        <v>1029</v>
      </c>
      <c r="D95" s="252" t="s">
        <v>1030</v>
      </c>
      <c r="E95" s="252"/>
      <c r="F95" s="252"/>
      <c r="G95" s="252"/>
      <c r="H95" s="253">
        <f t="shared" si="6"/>
        <v>46172</v>
      </c>
      <c r="I95" s="254" t="s">
        <v>7</v>
      </c>
      <c r="J95" s="252"/>
      <c r="K95" s="255"/>
      <c r="L95" s="268" t="s">
        <v>744</v>
      </c>
    </row>
    <row r="96" s="227" customFormat="1" ht="33.6" spans="1:12">
      <c r="A96" s="251" t="s">
        <v>411</v>
      </c>
      <c r="B96" s="252" t="s">
        <v>1031</v>
      </c>
      <c r="C96" s="252" t="s">
        <v>1032</v>
      </c>
      <c r="D96" s="252" t="s">
        <v>1033</v>
      </c>
      <c r="E96" s="252"/>
      <c r="F96" s="252"/>
      <c r="G96" s="252"/>
      <c r="H96" s="253">
        <f t="shared" si="6"/>
        <v>46172</v>
      </c>
      <c r="I96" s="254" t="s">
        <v>7</v>
      </c>
      <c r="J96" s="252"/>
      <c r="K96" s="255"/>
      <c r="L96" s="269" t="s">
        <v>744</v>
      </c>
    </row>
    <row r="97" spans="12:12">
      <c r="L97" s="270"/>
    </row>
    <row r="98" spans="12:12">
      <c r="L98" s="270"/>
    </row>
  </sheetData>
  <mergeCells count="12">
    <mergeCell ref="A1:L1"/>
    <mergeCell ref="B5:D5"/>
    <mergeCell ref="E5:G5"/>
    <mergeCell ref="A27:K27"/>
    <mergeCell ref="A43:K43"/>
    <mergeCell ref="A64:L64"/>
    <mergeCell ref="A75:L75"/>
    <mergeCell ref="A86:L86"/>
    <mergeCell ref="J30:J33"/>
    <mergeCell ref="J34:J35"/>
    <mergeCell ref="L9:L10"/>
    <mergeCell ref="A10:K11"/>
  </mergeCells>
  <conditionalFormatting sqref="I12:I26 I28:I42 I44:I63 I65:I74 I76:I85 I87:I96">
    <cfRule type="expression" dxfId="0" priority="3">
      <formula>I12="Pending"</formula>
    </cfRule>
    <cfRule type="expression" dxfId="1" priority="2">
      <formula>I12="Fail"</formula>
    </cfRule>
    <cfRule type="expression" dxfId="2" priority="1">
      <formula>I12="Pass"</formula>
    </cfRule>
  </conditionalFormatting>
  <dataValidations count="1">
    <dataValidation type="list" sqref="I12:I26 I28:I42 I44:I63 I65:I74 I76:I85 I87:I96">
      <formula1>"Pass,Fail,Pending,Need Verify,Not Implemented"</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C14750"/>
  <sheetViews>
    <sheetView zoomScale="70" zoomScaleNormal="70" topLeftCell="A4" workbookViewId="0">
      <selection activeCell="D7" sqref="D7"/>
    </sheetView>
  </sheetViews>
  <sheetFormatPr defaultColWidth="8.88888888888889" defaultRowHeight="16.8"/>
  <cols>
    <col min="1" max="1" width="11.8888888888889" style="105" customWidth="1"/>
    <col min="2" max="2" width="42.2222222222222" style="105" customWidth="1"/>
    <col min="3" max="3" width="42.1111111111111" style="105" customWidth="1"/>
    <col min="4" max="5" width="8.88888888888889" style="105"/>
    <col min="6" max="6" width="23.6666666666667" style="105" customWidth="1"/>
    <col min="7" max="7" width="18.4444444444444" style="105" hidden="1" customWidth="1"/>
    <col min="8" max="8" width="17.1111111111111" style="105" customWidth="1"/>
    <col min="9" max="9" width="9" style="105" customWidth="1"/>
    <col min="10" max="10" width="30.4444444444444" style="105" customWidth="1"/>
    <col min="11" max="11" width="41.0648148148148" style="9" customWidth="1"/>
    <col min="12" max="12" width="29.1666666666667" style="9" customWidth="1"/>
    <col min="13" max="16384" width="8.88888888888889" style="105"/>
  </cols>
  <sheetData>
    <row r="1" s="96" customFormat="1" ht="12.75" customHeight="1" spans="1:1024 1025:1771">
      <c r="A1" s="106" t="s">
        <v>20</v>
      </c>
      <c r="B1" s="107"/>
      <c r="C1" s="107"/>
      <c r="D1" s="107"/>
      <c r="E1" s="108"/>
      <c r="F1" s="108"/>
      <c r="G1" s="108"/>
      <c r="H1" s="108"/>
      <c r="I1" s="109"/>
      <c r="J1" s="108"/>
      <c r="K1" s="110"/>
      <c r="L1" s="14"/>
    </row>
    <row r="2" s="96" customFormat="1" ht="11.25" customHeight="1" spans="1:1024 1025:1771">
      <c r="A2" s="111"/>
      <c r="B2" s="112"/>
      <c r="C2" s="112"/>
      <c r="D2" s="112"/>
      <c r="E2" s="108"/>
      <c r="F2" s="108"/>
      <c r="G2" s="108"/>
      <c r="H2" s="108"/>
      <c r="I2" s="109"/>
      <c r="J2" s="108"/>
      <c r="K2" s="110"/>
      <c r="L2" s="14"/>
    </row>
    <row r="3" s="97" customFormat="1" ht="15" customHeight="1" spans="1:1024 1025:1771">
      <c r="A3" s="113" t="s">
        <v>415</v>
      </c>
      <c r="B3" s="114" t="s">
        <v>22</v>
      </c>
      <c r="C3" s="115"/>
      <c r="D3" s="116"/>
      <c r="E3" s="117"/>
      <c r="F3" s="117"/>
      <c r="G3" s="117"/>
      <c r="H3" s="118"/>
      <c r="I3" s="118"/>
      <c r="J3" s="118"/>
      <c r="K3" s="110"/>
      <c r="L3" s="14"/>
    </row>
    <row r="4" s="97" customFormat="1" ht="29.1" customHeight="1" spans="1:1024 1025:1771">
      <c r="A4" s="119" t="s">
        <v>416</v>
      </c>
      <c r="B4" s="120" t="s">
        <v>1034</v>
      </c>
      <c r="C4" s="121"/>
      <c r="D4" s="122"/>
      <c r="E4" s="117"/>
      <c r="F4" s="117"/>
      <c r="G4" s="117"/>
      <c r="H4" s="118"/>
      <c r="I4" s="118"/>
      <c r="J4" s="118"/>
      <c r="K4" s="110"/>
      <c r="L4" s="14"/>
    </row>
    <row r="5" s="98" customFormat="1" ht="42" customHeight="1" spans="1:1024 1025:1771">
      <c r="A5" s="119" t="s">
        <v>25</v>
      </c>
      <c r="B5" s="123" t="s">
        <v>1035</v>
      </c>
      <c r="C5" s="121"/>
      <c r="D5" s="122"/>
      <c r="E5" s="124"/>
      <c r="F5" s="124"/>
      <c r="G5" s="124"/>
      <c r="H5" s="125"/>
      <c r="I5" s="125"/>
      <c r="J5" s="125"/>
      <c r="K5" s="27"/>
      <c r="L5" s="2"/>
    </row>
    <row r="6" s="97" customFormat="1" ht="15" customHeight="1" spans="1:1024 1025:1771">
      <c r="A6" s="126" t="s">
        <v>7</v>
      </c>
      <c r="B6" s="127">
        <f>COUNTIF(I12:I96,"Pass")</f>
        <v>44</v>
      </c>
      <c r="C6" s="128" t="s">
        <v>9</v>
      </c>
      <c r="D6" s="129">
        <f>COUNTIF(I12:I96,"Pending")</f>
        <v>3</v>
      </c>
      <c r="E6" s="118"/>
      <c r="F6" s="118"/>
      <c r="G6" s="118"/>
      <c r="H6" s="118"/>
      <c r="I6" s="118"/>
      <c r="J6" s="118"/>
      <c r="K6" s="110"/>
      <c r="L6" s="14"/>
    </row>
    <row r="7" s="97" customFormat="1" ht="15" customHeight="1" spans="1:1024 1025:1771">
      <c r="A7" s="130" t="s">
        <v>8</v>
      </c>
      <c r="B7" s="131">
        <f>COUNTIF(I12:I96,"Fail")</f>
        <v>23</v>
      </c>
      <c r="C7" s="132" t="s">
        <v>28</v>
      </c>
      <c r="D7" s="133">
        <f>COUNTIF(A12:A96,"*TC*")</f>
        <v>70</v>
      </c>
      <c r="E7" s="134"/>
      <c r="F7" s="134" t="s">
        <v>1036</v>
      </c>
      <c r="G7" s="134"/>
      <c r="H7" s="118"/>
      <c r="I7" s="118"/>
      <c r="J7" s="118"/>
      <c r="K7" s="110"/>
      <c r="L7" s="14"/>
    </row>
    <row r="8" s="97" customFormat="1" ht="15" customHeight="1" spans="1:1024 1025:1771">
      <c r="A8" s="135"/>
      <c r="B8" s="115"/>
      <c r="C8" s="115"/>
      <c r="D8" s="115"/>
      <c r="E8" s="118"/>
      <c r="F8" s="118"/>
      <c r="G8" s="118"/>
      <c r="H8" s="118"/>
      <c r="I8" s="136"/>
      <c r="J8" s="136"/>
      <c r="K8" s="110"/>
      <c r="L8" s="14"/>
    </row>
    <row r="9" s="99" customFormat="1" ht="12" customHeight="1" spans="1:1024 1025:1771">
      <c r="A9" s="137" t="s">
        <v>29</v>
      </c>
      <c r="B9" s="138" t="s">
        <v>30</v>
      </c>
      <c r="C9" s="137" t="s">
        <v>31</v>
      </c>
      <c r="D9" s="137" t="s">
        <v>32</v>
      </c>
      <c r="E9" s="139"/>
      <c r="F9" s="139"/>
      <c r="G9" s="140"/>
      <c r="H9" s="141" t="s">
        <v>33</v>
      </c>
      <c r="I9" s="142" t="s">
        <v>34</v>
      </c>
      <c r="J9" s="142" t="s">
        <v>35</v>
      </c>
      <c r="K9" s="41" t="s">
        <v>36</v>
      </c>
      <c r="L9" s="41" t="s">
        <v>37</v>
      </c>
    </row>
    <row r="10" s="97" customFormat="1" ht="12" customHeight="1" spans="1:1024 1025:1771">
      <c r="A10" s="143"/>
      <c r="B10" s="143"/>
      <c r="C10" s="143"/>
      <c r="D10" s="144"/>
      <c r="E10" s="145"/>
      <c r="F10" s="145"/>
      <c r="G10" s="146"/>
      <c r="H10" s="144"/>
      <c r="I10" s="143"/>
      <c r="J10" s="143"/>
      <c r="K10" s="41"/>
      <c r="L10" s="43"/>
    </row>
    <row r="11" s="100" customFormat="1" ht="15" customHeight="1" spans="1:1024 1025:1771">
      <c r="A11" s="147" t="s">
        <v>1037</v>
      </c>
      <c r="B11" s="148"/>
      <c r="C11" s="148"/>
      <c r="D11" s="148"/>
      <c r="E11" s="148"/>
      <c r="F11" s="148"/>
      <c r="G11" s="148"/>
      <c r="H11" s="148"/>
      <c r="I11" s="148"/>
      <c r="J11" s="148"/>
      <c r="K11" s="148"/>
      <c r="L11" s="149"/>
    </row>
    <row r="12" s="101" customFormat="1" ht="131.4" customHeight="1" spans="1:1024 1025:1771">
      <c r="A12" s="150" t="s">
        <v>39</v>
      </c>
      <c r="B12" s="151" t="s">
        <v>1038</v>
      </c>
      <c r="C12" s="152" t="s">
        <v>1039</v>
      </c>
      <c r="D12" s="153" t="s">
        <v>1040</v>
      </c>
      <c r="E12" s="154"/>
      <c r="F12" s="154"/>
      <c r="G12" s="154"/>
      <c r="H12" s="155">
        <v>46137</v>
      </c>
      <c r="I12" s="156" t="s">
        <v>7</v>
      </c>
      <c r="J12" s="153"/>
      <c r="K12" s="5"/>
      <c r="L12" s="5" t="s">
        <v>1041</v>
      </c>
    </row>
    <row r="13" s="101" customFormat="1" ht="75" customHeight="1" outlineLevel="1" spans="1:1024 1025:1771">
      <c r="A13" s="157" t="s">
        <v>44</v>
      </c>
      <c r="B13" s="151" t="s">
        <v>1042</v>
      </c>
      <c r="C13" s="158" t="s">
        <v>1043</v>
      </c>
      <c r="D13" s="153" t="s">
        <v>1044</v>
      </c>
      <c r="E13" s="154"/>
      <c r="F13" s="159"/>
      <c r="G13" s="160"/>
      <c r="H13" s="155">
        <v>46137</v>
      </c>
      <c r="I13" s="156" t="s">
        <v>7</v>
      </c>
      <c r="J13" s="153"/>
      <c r="K13" s="5"/>
      <c r="L13" s="5" t="s">
        <v>1041</v>
      </c>
    </row>
    <row r="14" s="101" customFormat="1" ht="75" customHeight="1" outlineLevel="1" spans="1:1024 1025:1771">
      <c r="A14" s="157" t="s">
        <v>48</v>
      </c>
      <c r="B14" s="151" t="s">
        <v>1045</v>
      </c>
      <c r="C14" s="158" t="s">
        <v>1046</v>
      </c>
      <c r="D14" s="153" t="s">
        <v>1044</v>
      </c>
      <c r="E14" s="154"/>
      <c r="F14" s="159"/>
      <c r="G14" s="160"/>
      <c r="H14" s="155">
        <v>46137</v>
      </c>
      <c r="I14" s="156" t="s">
        <v>7</v>
      </c>
      <c r="J14" s="153"/>
      <c r="K14" s="5"/>
      <c r="L14" s="5" t="s">
        <v>1041</v>
      </c>
    </row>
    <row r="15" s="101" customFormat="1" ht="75" customHeight="1" outlineLevel="1" spans="1:1024 1025:1771">
      <c r="A15" s="157" t="s">
        <v>52</v>
      </c>
      <c r="B15" s="151" t="s">
        <v>1047</v>
      </c>
      <c r="C15" s="158" t="s">
        <v>1048</v>
      </c>
      <c r="D15" s="153" t="s">
        <v>1044</v>
      </c>
      <c r="E15" s="154"/>
      <c r="F15" s="159"/>
      <c r="G15" s="160"/>
      <c r="H15" s="155">
        <v>46137</v>
      </c>
      <c r="I15" s="156" t="s">
        <v>7</v>
      </c>
      <c r="J15" s="153"/>
      <c r="K15" s="5"/>
      <c r="L15" s="5" t="s">
        <v>1041</v>
      </c>
    </row>
    <row r="16" s="102" customFormat="1" ht="75" customHeight="1" outlineLevel="1" spans="1:1024 1025:1771">
      <c r="A16" s="157" t="s">
        <v>56</v>
      </c>
      <c r="B16" s="151" t="s">
        <v>1049</v>
      </c>
      <c r="C16" s="158" t="s">
        <v>1050</v>
      </c>
      <c r="D16" s="153" t="s">
        <v>1044</v>
      </c>
      <c r="E16" s="154"/>
      <c r="F16" s="159"/>
      <c r="G16" s="160"/>
      <c r="H16" s="155">
        <v>46137</v>
      </c>
      <c r="I16" s="156" t="s">
        <v>7</v>
      </c>
      <c r="J16" s="153"/>
      <c r="K16" s="5"/>
      <c r="L16" s="5" t="s">
        <v>1041</v>
      </c>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c r="DK16" s="101"/>
      <c r="DL16" s="101"/>
      <c r="DM16" s="101"/>
      <c r="DN16" s="101"/>
      <c r="DO16" s="101"/>
      <c r="DP16" s="101"/>
      <c r="DQ16" s="101"/>
      <c r="DR16" s="101"/>
      <c r="DS16" s="101"/>
      <c r="DT16" s="101"/>
      <c r="DU16" s="101"/>
      <c r="DV16" s="101"/>
      <c r="DW16" s="101"/>
      <c r="DX16" s="101"/>
      <c r="DY16" s="101"/>
      <c r="DZ16" s="101"/>
      <c r="EA16" s="101"/>
      <c r="EB16" s="101"/>
      <c r="EC16" s="101"/>
      <c r="ED16" s="101"/>
      <c r="EE16" s="101"/>
      <c r="EF16" s="101"/>
      <c r="EG16" s="101"/>
      <c r="EH16" s="101"/>
      <c r="EI16" s="101"/>
      <c r="EJ16" s="101"/>
      <c r="EK16" s="101"/>
      <c r="EL16" s="101"/>
      <c r="EM16" s="101"/>
      <c r="EN16" s="101"/>
      <c r="EO16" s="101"/>
      <c r="EP16" s="101"/>
      <c r="EQ16" s="101"/>
      <c r="ER16" s="101"/>
      <c r="ES16" s="101"/>
      <c r="ET16" s="101"/>
      <c r="EU16" s="101"/>
      <c r="EV16" s="101"/>
      <c r="EW16" s="101"/>
      <c r="EX16" s="101"/>
      <c r="EY16" s="101"/>
      <c r="EZ16" s="101"/>
      <c r="FA16" s="101"/>
      <c r="FB16" s="101"/>
      <c r="FC16" s="101"/>
      <c r="FD16" s="101"/>
      <c r="FE16" s="101"/>
      <c r="FF16" s="101"/>
      <c r="FG16" s="101"/>
      <c r="FH16" s="101"/>
      <c r="FI16" s="101"/>
      <c r="FJ16" s="101"/>
      <c r="FK16" s="101"/>
      <c r="FL16" s="101"/>
      <c r="FM16" s="101"/>
      <c r="FN16" s="101"/>
      <c r="FO16" s="101"/>
      <c r="FP16" s="101"/>
      <c r="FQ16" s="101"/>
      <c r="FR16" s="101"/>
      <c r="FS16" s="101"/>
      <c r="FT16" s="101"/>
      <c r="FU16" s="101"/>
      <c r="FV16" s="101"/>
      <c r="FW16" s="101"/>
      <c r="FX16" s="101"/>
      <c r="FY16" s="101"/>
      <c r="FZ16" s="101"/>
      <c r="GA16" s="101"/>
      <c r="GB16" s="101"/>
      <c r="GC16" s="101"/>
      <c r="GD16" s="101"/>
      <c r="GE16" s="101"/>
      <c r="GF16" s="101"/>
      <c r="GG16" s="101"/>
      <c r="GH16" s="101"/>
      <c r="GI16" s="101"/>
      <c r="GJ16" s="101"/>
      <c r="GK16" s="101"/>
      <c r="GL16" s="101"/>
      <c r="GM16" s="101"/>
      <c r="GN16" s="101"/>
      <c r="GO16" s="101"/>
      <c r="GP16" s="101"/>
      <c r="GQ16" s="101"/>
      <c r="GR16" s="101"/>
      <c r="GS16" s="101"/>
      <c r="GT16" s="101"/>
      <c r="GU16" s="101"/>
      <c r="GV16" s="101"/>
      <c r="GW16" s="101"/>
      <c r="GX16" s="101"/>
      <c r="GY16" s="101"/>
      <c r="GZ16" s="101"/>
      <c r="HA16" s="101"/>
      <c r="HB16" s="101"/>
      <c r="HC16" s="101"/>
      <c r="HD16" s="101"/>
      <c r="HE16" s="101"/>
      <c r="HF16" s="101"/>
      <c r="HG16" s="101"/>
      <c r="HH16" s="101"/>
      <c r="HI16" s="101"/>
      <c r="HJ16" s="101"/>
      <c r="HK16" s="101"/>
      <c r="HL16" s="101"/>
      <c r="HM16" s="101"/>
      <c r="HN16" s="101"/>
      <c r="HO16" s="101"/>
      <c r="HP16" s="101"/>
      <c r="HQ16" s="101"/>
      <c r="HR16" s="101"/>
      <c r="HS16" s="101"/>
      <c r="HT16" s="101"/>
      <c r="HU16" s="101"/>
      <c r="HV16" s="101"/>
      <c r="HW16" s="101"/>
      <c r="HX16" s="101"/>
      <c r="HY16" s="101"/>
      <c r="HZ16" s="101"/>
      <c r="IA16" s="101"/>
      <c r="IB16" s="101"/>
      <c r="IC16" s="101"/>
      <c r="ID16" s="101"/>
      <c r="IE16" s="101"/>
      <c r="IF16" s="101"/>
      <c r="IG16" s="101"/>
      <c r="IH16" s="101"/>
      <c r="II16" s="101"/>
      <c r="IJ16" s="101"/>
      <c r="IK16" s="101"/>
      <c r="IL16" s="101"/>
      <c r="IM16" s="101"/>
      <c r="IN16" s="101"/>
      <c r="IO16" s="101"/>
      <c r="IP16" s="101"/>
      <c r="IQ16" s="101"/>
      <c r="IR16" s="101"/>
      <c r="IS16" s="101"/>
      <c r="IT16" s="101"/>
      <c r="IU16" s="101"/>
      <c r="IV16" s="101"/>
      <c r="IW16" s="101"/>
      <c r="IX16" s="101"/>
      <c r="IY16" s="101"/>
      <c r="IZ16" s="101"/>
      <c r="JA16" s="101"/>
      <c r="JB16" s="101"/>
      <c r="JC16" s="101"/>
      <c r="JD16" s="101"/>
      <c r="JE16" s="101"/>
      <c r="JF16" s="101"/>
      <c r="JG16" s="101"/>
      <c r="JH16" s="101"/>
      <c r="JI16" s="101"/>
      <c r="JJ16" s="101"/>
      <c r="JK16" s="101"/>
      <c r="JL16" s="101"/>
      <c r="JM16" s="101"/>
      <c r="JN16" s="101"/>
      <c r="JO16" s="101"/>
      <c r="JP16" s="101"/>
      <c r="JQ16" s="101"/>
      <c r="JR16" s="101"/>
      <c r="JS16" s="101"/>
      <c r="JT16" s="101"/>
      <c r="JU16" s="101"/>
      <c r="JV16" s="101"/>
      <c r="JW16" s="101"/>
      <c r="JX16" s="101"/>
      <c r="JY16" s="101"/>
      <c r="JZ16" s="101"/>
      <c r="KA16" s="101"/>
      <c r="KB16" s="101"/>
      <c r="KC16" s="101"/>
      <c r="KD16" s="101"/>
      <c r="KE16" s="101"/>
      <c r="KF16" s="101"/>
      <c r="KG16" s="101"/>
      <c r="KH16" s="101"/>
      <c r="KI16" s="101"/>
      <c r="KJ16" s="101"/>
      <c r="KK16" s="101"/>
      <c r="KL16" s="101"/>
      <c r="KM16" s="101"/>
      <c r="KN16" s="101"/>
      <c r="KO16" s="101"/>
      <c r="KP16" s="101"/>
      <c r="KQ16" s="101"/>
      <c r="KR16" s="101"/>
      <c r="KS16" s="101"/>
      <c r="KT16" s="101"/>
      <c r="KU16" s="101"/>
      <c r="KV16" s="101"/>
      <c r="KW16" s="101"/>
      <c r="KX16" s="101"/>
      <c r="KY16" s="101"/>
      <c r="KZ16" s="101"/>
      <c r="LA16" s="101"/>
      <c r="LB16" s="101"/>
      <c r="LC16" s="101"/>
      <c r="LD16" s="101"/>
      <c r="LE16" s="101"/>
      <c r="LF16" s="101"/>
      <c r="LG16" s="101"/>
      <c r="LH16" s="101"/>
      <c r="LI16" s="101"/>
      <c r="LJ16" s="101"/>
      <c r="LK16" s="101"/>
      <c r="LL16" s="101"/>
      <c r="LM16" s="101"/>
      <c r="LN16" s="101"/>
      <c r="LO16" s="101"/>
      <c r="LP16" s="101"/>
      <c r="LQ16" s="101"/>
      <c r="LR16" s="101"/>
      <c r="LS16" s="101"/>
      <c r="LT16" s="101"/>
      <c r="LU16" s="101"/>
      <c r="LV16" s="101"/>
      <c r="LW16" s="101"/>
      <c r="LX16" s="101"/>
      <c r="LY16" s="101"/>
      <c r="LZ16" s="101"/>
      <c r="MA16" s="101"/>
      <c r="MB16" s="101"/>
      <c r="MC16" s="101"/>
      <c r="MD16" s="101"/>
      <c r="ME16" s="101"/>
      <c r="MF16" s="101"/>
      <c r="MG16" s="101"/>
      <c r="MH16" s="101"/>
      <c r="MI16" s="101"/>
      <c r="MJ16" s="101"/>
      <c r="MK16" s="101"/>
      <c r="ML16" s="101"/>
      <c r="MM16" s="101"/>
      <c r="MN16" s="101"/>
      <c r="MO16" s="101"/>
      <c r="MP16" s="101"/>
      <c r="MQ16" s="101"/>
      <c r="MR16" s="101"/>
      <c r="MS16" s="101"/>
      <c r="MT16" s="101"/>
      <c r="MU16" s="101"/>
      <c r="MV16" s="101"/>
      <c r="MW16" s="101"/>
      <c r="MX16" s="101"/>
      <c r="MY16" s="101"/>
      <c r="MZ16" s="101"/>
      <c r="NA16" s="101"/>
      <c r="NB16" s="101"/>
      <c r="NC16" s="101"/>
      <c r="ND16" s="101"/>
      <c r="NE16" s="101"/>
      <c r="NF16" s="101"/>
      <c r="NG16" s="101"/>
      <c r="NH16" s="101"/>
      <c r="NI16" s="101"/>
      <c r="NJ16" s="101"/>
      <c r="NK16" s="101"/>
      <c r="NL16" s="101"/>
      <c r="NM16" s="101"/>
      <c r="NN16" s="101"/>
      <c r="NO16" s="101"/>
      <c r="NP16" s="101"/>
      <c r="NQ16" s="101"/>
      <c r="NR16" s="101"/>
      <c r="NS16" s="101"/>
      <c r="NT16" s="101"/>
      <c r="NU16" s="101"/>
      <c r="NV16" s="101"/>
      <c r="NW16" s="101"/>
      <c r="NX16" s="101"/>
      <c r="NY16" s="101"/>
      <c r="NZ16" s="101"/>
      <c r="OA16" s="101"/>
      <c r="OB16" s="101"/>
      <c r="OC16" s="101"/>
      <c r="OD16" s="101"/>
      <c r="OE16" s="101"/>
      <c r="OF16" s="101"/>
      <c r="OG16" s="101"/>
      <c r="OH16" s="101"/>
      <c r="OI16" s="101"/>
      <c r="OJ16" s="101"/>
      <c r="OK16" s="101"/>
      <c r="OL16" s="101"/>
      <c r="OM16" s="101"/>
      <c r="ON16" s="101"/>
      <c r="OO16" s="101"/>
      <c r="OP16" s="101"/>
      <c r="OQ16" s="101"/>
      <c r="OR16" s="101"/>
      <c r="OS16" s="101"/>
      <c r="OT16" s="101"/>
      <c r="OU16" s="101"/>
      <c r="OV16" s="101"/>
      <c r="OW16" s="101"/>
      <c r="OX16" s="101"/>
      <c r="OY16" s="101"/>
      <c r="OZ16" s="101"/>
      <c r="PA16" s="101"/>
      <c r="PB16" s="101"/>
      <c r="PC16" s="101"/>
      <c r="PD16" s="101"/>
      <c r="PE16" s="101"/>
      <c r="PF16" s="101"/>
      <c r="PG16" s="101"/>
      <c r="PH16" s="101"/>
      <c r="PI16" s="101"/>
      <c r="PJ16" s="101"/>
      <c r="PK16" s="101"/>
      <c r="PL16" s="101"/>
      <c r="PM16" s="101"/>
      <c r="PN16" s="101"/>
      <c r="PO16" s="101"/>
      <c r="PP16" s="101"/>
      <c r="PQ16" s="101"/>
      <c r="PR16" s="101"/>
      <c r="PS16" s="101"/>
      <c r="PT16" s="101"/>
      <c r="PU16" s="101"/>
      <c r="PV16" s="101"/>
      <c r="PW16" s="101"/>
      <c r="PX16" s="101"/>
      <c r="PY16" s="101"/>
      <c r="PZ16" s="101"/>
      <c r="QA16" s="101"/>
      <c r="QB16" s="101"/>
      <c r="QC16" s="101"/>
      <c r="QD16" s="101"/>
      <c r="QE16" s="101"/>
      <c r="QF16" s="101"/>
      <c r="QG16" s="101"/>
      <c r="QH16" s="101"/>
      <c r="QI16" s="101"/>
      <c r="QJ16" s="101"/>
      <c r="QK16" s="101"/>
      <c r="QL16" s="101"/>
      <c r="QM16" s="101"/>
      <c r="QN16" s="101"/>
      <c r="QO16" s="101"/>
      <c r="QP16" s="101"/>
      <c r="QQ16" s="101"/>
      <c r="QR16" s="101"/>
      <c r="QS16" s="101"/>
      <c r="QT16" s="101"/>
      <c r="QU16" s="101"/>
      <c r="QV16" s="101"/>
      <c r="QW16" s="101"/>
      <c r="QX16" s="101"/>
      <c r="QY16" s="101"/>
      <c r="QZ16" s="101"/>
      <c r="RA16" s="101"/>
      <c r="RB16" s="101"/>
      <c r="RC16" s="101"/>
      <c r="RD16" s="101"/>
      <c r="RE16" s="101"/>
      <c r="RF16" s="101"/>
      <c r="RG16" s="101"/>
      <c r="RH16" s="101"/>
      <c r="RI16" s="101"/>
      <c r="RJ16" s="101"/>
      <c r="RK16" s="101"/>
      <c r="RL16" s="101"/>
      <c r="RM16" s="101"/>
      <c r="RN16" s="101"/>
      <c r="RO16" s="101"/>
      <c r="RP16" s="101"/>
      <c r="RQ16" s="101"/>
      <c r="RR16" s="101"/>
      <c r="RS16" s="101"/>
      <c r="RT16" s="101"/>
      <c r="RU16" s="101"/>
      <c r="RV16" s="101"/>
      <c r="RW16" s="101"/>
      <c r="RX16" s="101"/>
      <c r="RY16" s="101"/>
      <c r="RZ16" s="101"/>
      <c r="SA16" s="101"/>
      <c r="SB16" s="101"/>
      <c r="SC16" s="101"/>
      <c r="SD16" s="101"/>
      <c r="SE16" s="101"/>
      <c r="SF16" s="101"/>
      <c r="SG16" s="101"/>
      <c r="SH16" s="101"/>
      <c r="SI16" s="101"/>
      <c r="SJ16" s="101"/>
      <c r="SK16" s="101"/>
      <c r="SL16" s="101"/>
      <c r="SM16" s="101"/>
      <c r="SN16" s="101"/>
      <c r="SO16" s="101"/>
      <c r="SP16" s="101"/>
      <c r="SQ16" s="101"/>
      <c r="SR16" s="101"/>
      <c r="SS16" s="101"/>
      <c r="ST16" s="101"/>
      <c r="SU16" s="101"/>
      <c r="SV16" s="101"/>
      <c r="SW16" s="101"/>
      <c r="SX16" s="101"/>
      <c r="SY16" s="101"/>
      <c r="SZ16" s="101"/>
      <c r="TA16" s="101"/>
      <c r="TB16" s="101"/>
      <c r="TC16" s="101"/>
      <c r="TD16" s="101"/>
      <c r="TE16" s="101"/>
      <c r="TF16" s="101"/>
      <c r="TG16" s="101"/>
      <c r="TH16" s="101"/>
      <c r="TI16" s="101"/>
      <c r="TJ16" s="101"/>
      <c r="TK16" s="101"/>
      <c r="TL16" s="101"/>
      <c r="TM16" s="101"/>
      <c r="TN16" s="101"/>
      <c r="TO16" s="101"/>
      <c r="TP16" s="101"/>
      <c r="TQ16" s="101"/>
      <c r="TR16" s="101"/>
      <c r="TS16" s="101"/>
      <c r="TT16" s="101"/>
      <c r="TU16" s="101"/>
      <c r="TV16" s="101"/>
      <c r="TW16" s="101"/>
      <c r="TX16" s="101"/>
      <c r="TY16" s="101"/>
      <c r="TZ16" s="101"/>
      <c r="UA16" s="101"/>
      <c r="UB16" s="101"/>
      <c r="UC16" s="101"/>
      <c r="UD16" s="101"/>
      <c r="UE16" s="101"/>
      <c r="UF16" s="101"/>
      <c r="UG16" s="101"/>
      <c r="UH16" s="101"/>
      <c r="UI16" s="101"/>
      <c r="UJ16" s="101"/>
      <c r="UK16" s="101"/>
      <c r="UL16" s="101"/>
      <c r="UM16" s="101"/>
      <c r="UN16" s="101"/>
      <c r="UO16" s="101"/>
      <c r="UP16" s="101"/>
      <c r="UQ16" s="101"/>
      <c r="UR16" s="101"/>
      <c r="US16" s="101"/>
      <c r="UT16" s="101"/>
      <c r="UU16" s="101"/>
      <c r="UV16" s="101"/>
      <c r="UW16" s="101"/>
      <c r="UX16" s="101"/>
      <c r="UY16" s="101"/>
      <c r="UZ16" s="101"/>
      <c r="VA16" s="101"/>
      <c r="VB16" s="101"/>
      <c r="VC16" s="101"/>
      <c r="VD16" s="101"/>
      <c r="VE16" s="101"/>
      <c r="VF16" s="101"/>
      <c r="VG16" s="101"/>
      <c r="VH16" s="101"/>
      <c r="VI16" s="101"/>
      <c r="VJ16" s="101"/>
      <c r="VK16" s="101"/>
      <c r="VL16" s="101"/>
      <c r="VM16" s="101"/>
      <c r="VN16" s="101"/>
      <c r="VO16" s="101"/>
      <c r="VP16" s="101"/>
      <c r="VQ16" s="101"/>
      <c r="VR16" s="101"/>
      <c r="VS16" s="101"/>
      <c r="VT16" s="101"/>
      <c r="VU16" s="101"/>
      <c r="VV16" s="101"/>
      <c r="VW16" s="101"/>
      <c r="VX16" s="101"/>
      <c r="VY16" s="101"/>
      <c r="VZ16" s="101"/>
      <c r="WA16" s="101"/>
      <c r="WB16" s="101"/>
      <c r="WC16" s="101"/>
      <c r="WD16" s="101"/>
      <c r="WE16" s="101"/>
      <c r="WF16" s="101"/>
      <c r="WG16" s="101"/>
      <c r="WH16" s="101"/>
      <c r="WI16" s="101"/>
      <c r="WJ16" s="101"/>
      <c r="WK16" s="101"/>
      <c r="WL16" s="101"/>
      <c r="WM16" s="101"/>
      <c r="WN16" s="101"/>
      <c r="WO16" s="101"/>
      <c r="WP16" s="101"/>
      <c r="WQ16" s="101"/>
      <c r="WR16" s="101"/>
      <c r="WS16" s="101"/>
      <c r="WT16" s="101"/>
      <c r="WU16" s="101"/>
      <c r="WV16" s="101"/>
      <c r="WW16" s="101"/>
      <c r="WX16" s="101"/>
      <c r="WY16" s="101"/>
      <c r="WZ16" s="101"/>
      <c r="XA16" s="101"/>
      <c r="XB16" s="101"/>
      <c r="XC16" s="101"/>
      <c r="XD16" s="101"/>
      <c r="XE16" s="101"/>
      <c r="XF16" s="101"/>
      <c r="XG16" s="101"/>
      <c r="XH16" s="101"/>
      <c r="XI16" s="101"/>
      <c r="XJ16" s="101"/>
      <c r="XK16" s="101"/>
      <c r="XL16" s="101"/>
      <c r="XM16" s="101"/>
      <c r="XN16" s="101"/>
      <c r="XO16" s="101"/>
      <c r="XP16" s="101"/>
      <c r="XQ16" s="101"/>
      <c r="XR16" s="101"/>
      <c r="XS16" s="101"/>
      <c r="XT16" s="101"/>
      <c r="XU16" s="101"/>
      <c r="XV16" s="101"/>
      <c r="XW16" s="101"/>
      <c r="XX16" s="101"/>
      <c r="XY16" s="101"/>
      <c r="XZ16" s="101"/>
      <c r="YA16" s="101"/>
      <c r="YB16" s="101"/>
      <c r="YC16" s="101"/>
      <c r="YD16" s="101"/>
      <c r="YE16" s="101"/>
      <c r="YF16" s="101"/>
      <c r="YG16" s="101"/>
      <c r="YH16" s="101"/>
      <c r="YI16" s="101"/>
      <c r="YJ16" s="101"/>
      <c r="YK16" s="101"/>
      <c r="YL16" s="101"/>
      <c r="YM16" s="101"/>
      <c r="YN16" s="101"/>
      <c r="YO16" s="101"/>
      <c r="YP16" s="101"/>
      <c r="YQ16" s="101"/>
      <c r="YR16" s="101"/>
      <c r="YS16" s="101"/>
      <c r="YT16" s="101"/>
      <c r="YU16" s="101"/>
      <c r="YV16" s="101"/>
      <c r="YW16" s="101"/>
      <c r="YX16" s="101"/>
      <c r="YY16" s="101"/>
      <c r="YZ16" s="101"/>
      <c r="ZA16" s="101"/>
      <c r="ZB16" s="101"/>
      <c r="ZC16" s="101"/>
      <c r="ZD16" s="101"/>
      <c r="ZE16" s="101"/>
      <c r="ZF16" s="101"/>
      <c r="ZG16" s="101"/>
      <c r="ZH16" s="101"/>
      <c r="ZI16" s="101"/>
      <c r="ZJ16" s="101"/>
      <c r="ZK16" s="101"/>
      <c r="ZL16" s="101"/>
      <c r="ZM16" s="101"/>
      <c r="ZN16" s="101"/>
      <c r="ZO16" s="101"/>
      <c r="ZP16" s="101"/>
      <c r="ZQ16" s="101"/>
      <c r="ZR16" s="101"/>
      <c r="ZS16" s="101"/>
      <c r="ZT16" s="101"/>
      <c r="ZU16" s="101"/>
      <c r="ZV16" s="101"/>
      <c r="ZW16" s="101"/>
      <c r="ZX16" s="101"/>
      <c r="ZY16" s="101"/>
      <c r="ZZ16" s="101"/>
      <c r="AAA16" s="101"/>
      <c r="AAB16" s="101"/>
      <c r="AAC16" s="101"/>
      <c r="AAD16" s="101"/>
      <c r="AAE16" s="101"/>
      <c r="AAF16" s="101"/>
      <c r="AAG16" s="101"/>
      <c r="AAH16" s="101"/>
      <c r="AAI16" s="101"/>
      <c r="AAJ16" s="101"/>
      <c r="AAK16" s="101"/>
      <c r="AAL16" s="101"/>
      <c r="AAM16" s="101"/>
      <c r="AAN16" s="101"/>
      <c r="AAO16" s="101"/>
      <c r="AAP16" s="101"/>
      <c r="AAQ16" s="101"/>
      <c r="AAR16" s="101"/>
      <c r="AAS16" s="101"/>
      <c r="AAT16" s="101"/>
      <c r="AAU16" s="101"/>
      <c r="AAV16" s="101"/>
      <c r="AAW16" s="101"/>
      <c r="AAX16" s="101"/>
      <c r="AAY16" s="101"/>
      <c r="AAZ16" s="101"/>
      <c r="ABA16" s="101"/>
      <c r="ABB16" s="101"/>
      <c r="ABC16" s="101"/>
      <c r="ABD16" s="101"/>
      <c r="ABE16" s="101"/>
      <c r="ABF16" s="101"/>
      <c r="ABG16" s="101"/>
      <c r="ABH16" s="101"/>
      <c r="ABI16" s="101"/>
      <c r="ABJ16" s="101"/>
      <c r="ABK16" s="101"/>
      <c r="ABL16" s="101"/>
      <c r="ABM16" s="101"/>
      <c r="ABN16" s="101"/>
      <c r="ABO16" s="101"/>
      <c r="ABP16" s="101"/>
      <c r="ABQ16" s="101"/>
      <c r="ABR16" s="101"/>
      <c r="ABS16" s="101"/>
      <c r="ABT16" s="101"/>
      <c r="ABU16" s="101"/>
      <c r="ABV16" s="101"/>
      <c r="ABW16" s="101"/>
      <c r="ABX16" s="101"/>
      <c r="ABY16" s="101"/>
      <c r="ABZ16" s="101"/>
      <c r="ACA16" s="101"/>
      <c r="ACB16" s="101"/>
      <c r="ACC16" s="101"/>
      <c r="ACD16" s="101"/>
      <c r="ACE16" s="101"/>
      <c r="ACF16" s="101"/>
      <c r="ACG16" s="101"/>
      <c r="ACH16" s="101"/>
      <c r="ACI16" s="101"/>
      <c r="ACJ16" s="101"/>
      <c r="ACK16" s="101"/>
      <c r="ACL16" s="101"/>
      <c r="ACM16" s="101"/>
      <c r="ACN16" s="101"/>
      <c r="ACO16" s="101"/>
      <c r="ACP16" s="101"/>
      <c r="ACQ16" s="101"/>
      <c r="ACR16" s="101"/>
      <c r="ACS16" s="101"/>
      <c r="ACT16" s="101"/>
      <c r="ACU16" s="101"/>
      <c r="ACV16" s="101"/>
      <c r="ACW16" s="101"/>
      <c r="ACX16" s="101"/>
      <c r="ACY16" s="101"/>
      <c r="ACZ16" s="101"/>
      <c r="ADA16" s="101"/>
      <c r="ADB16" s="101"/>
      <c r="ADC16" s="101"/>
      <c r="ADD16" s="101"/>
      <c r="ADE16" s="101"/>
      <c r="ADF16" s="101"/>
      <c r="ADG16" s="101"/>
      <c r="ADH16" s="101"/>
      <c r="ADI16" s="101"/>
      <c r="ADJ16" s="101"/>
      <c r="ADK16" s="101"/>
      <c r="ADL16" s="101"/>
      <c r="ADM16" s="101"/>
      <c r="ADN16" s="101"/>
      <c r="ADO16" s="101"/>
      <c r="ADP16" s="101"/>
      <c r="ADQ16" s="101"/>
      <c r="ADR16" s="101"/>
      <c r="ADS16" s="101"/>
      <c r="ADT16" s="101"/>
      <c r="ADU16" s="101"/>
      <c r="ADV16" s="101"/>
      <c r="ADW16" s="101"/>
      <c r="ADX16" s="101"/>
      <c r="ADY16" s="101"/>
      <c r="ADZ16" s="101"/>
      <c r="AEA16" s="101"/>
      <c r="AEB16" s="101"/>
      <c r="AEC16" s="101"/>
      <c r="AED16" s="101"/>
      <c r="AEE16" s="101"/>
      <c r="AEF16" s="101"/>
      <c r="AEG16" s="101"/>
      <c r="AEH16" s="101"/>
      <c r="AEI16" s="101"/>
      <c r="AEJ16" s="101"/>
      <c r="AEK16" s="101"/>
      <c r="AEL16" s="101"/>
      <c r="AEM16" s="101"/>
      <c r="AEN16" s="101"/>
      <c r="AEO16" s="101"/>
      <c r="AEP16" s="101"/>
      <c r="AEQ16" s="101"/>
      <c r="AER16" s="101"/>
      <c r="AES16" s="101"/>
      <c r="AET16" s="101"/>
      <c r="AEU16" s="101"/>
      <c r="AEV16" s="101"/>
      <c r="AEW16" s="101"/>
      <c r="AEX16" s="101"/>
      <c r="AEY16" s="101"/>
      <c r="AEZ16" s="101"/>
      <c r="AFA16" s="101"/>
      <c r="AFB16" s="101"/>
      <c r="AFC16" s="101"/>
      <c r="AFD16" s="101"/>
      <c r="AFE16" s="101"/>
      <c r="AFF16" s="101"/>
      <c r="AFG16" s="101"/>
      <c r="AFH16" s="101"/>
      <c r="AFI16" s="101"/>
      <c r="AFJ16" s="101"/>
      <c r="AFK16" s="101"/>
      <c r="AFL16" s="101"/>
      <c r="AFM16" s="101"/>
      <c r="AFN16" s="101"/>
      <c r="AFO16" s="101"/>
      <c r="AFP16" s="101"/>
      <c r="AFQ16" s="101"/>
      <c r="AFR16" s="101"/>
      <c r="AFS16" s="101"/>
      <c r="AFT16" s="101"/>
      <c r="AFU16" s="101"/>
      <c r="AFV16" s="101"/>
      <c r="AFW16" s="101"/>
      <c r="AFX16" s="101"/>
      <c r="AFY16" s="101"/>
      <c r="AFZ16" s="101"/>
      <c r="AGA16" s="101"/>
      <c r="AGB16" s="101"/>
      <c r="AGC16" s="101"/>
      <c r="AGD16" s="101"/>
      <c r="AGE16" s="101"/>
      <c r="AGF16" s="101"/>
      <c r="AGG16" s="101"/>
      <c r="AGH16" s="101"/>
      <c r="AGI16" s="101"/>
      <c r="AGJ16" s="101"/>
      <c r="AGK16" s="101"/>
      <c r="AGL16" s="101"/>
      <c r="AGM16" s="101"/>
      <c r="AGN16" s="101"/>
      <c r="AGO16" s="101"/>
      <c r="AGP16" s="101"/>
      <c r="AGQ16" s="101"/>
      <c r="AGR16" s="101"/>
      <c r="AGS16" s="101"/>
      <c r="AGT16" s="101"/>
      <c r="AGU16" s="101"/>
      <c r="AGV16" s="101"/>
      <c r="AGW16" s="101"/>
      <c r="AGX16" s="101"/>
      <c r="AGY16" s="101"/>
      <c r="AGZ16" s="101"/>
      <c r="AHA16" s="101"/>
      <c r="AHB16" s="101"/>
      <c r="AHC16" s="101"/>
      <c r="AHD16" s="101"/>
      <c r="AHE16" s="101"/>
      <c r="AHF16" s="101"/>
      <c r="AHG16" s="101"/>
      <c r="AHH16" s="101"/>
      <c r="AHI16" s="101"/>
      <c r="AHJ16" s="101"/>
      <c r="AHK16" s="101"/>
      <c r="AHL16" s="101"/>
      <c r="AHM16" s="101"/>
      <c r="AHN16" s="101"/>
      <c r="AHO16" s="101"/>
      <c r="AHP16" s="101"/>
      <c r="AHQ16" s="101"/>
      <c r="AHR16" s="101"/>
      <c r="AHS16" s="101"/>
      <c r="AHT16" s="101"/>
      <c r="AHU16" s="101"/>
      <c r="AHV16" s="101"/>
      <c r="AHW16" s="101"/>
      <c r="AHX16" s="101"/>
      <c r="AHY16" s="101"/>
      <c r="AHZ16" s="101"/>
      <c r="AIA16" s="101"/>
      <c r="AIB16" s="101"/>
      <c r="AIC16" s="101"/>
      <c r="AID16" s="101"/>
      <c r="AIE16" s="101"/>
      <c r="AIF16" s="101"/>
      <c r="AIG16" s="101"/>
      <c r="AIH16" s="101"/>
      <c r="AII16" s="101"/>
      <c r="AIJ16" s="101"/>
      <c r="AIK16" s="101"/>
      <c r="AIL16" s="101"/>
      <c r="AIM16" s="101"/>
      <c r="AIN16" s="101"/>
      <c r="AIO16" s="101"/>
      <c r="AIP16" s="101"/>
      <c r="AIQ16" s="101"/>
      <c r="AIR16" s="101"/>
      <c r="AIS16" s="101"/>
      <c r="AIT16" s="101"/>
      <c r="AIU16" s="101"/>
      <c r="AIV16" s="101"/>
      <c r="AIW16" s="101"/>
      <c r="AIX16" s="101"/>
      <c r="AIY16" s="101"/>
      <c r="AIZ16" s="101"/>
      <c r="AJA16" s="101"/>
      <c r="AJB16" s="101"/>
      <c r="AJC16" s="101"/>
      <c r="AJD16" s="101"/>
      <c r="AJE16" s="101"/>
      <c r="AJF16" s="101"/>
      <c r="AJG16" s="101"/>
      <c r="AJH16" s="101"/>
      <c r="AJI16" s="101"/>
      <c r="AJJ16" s="101"/>
      <c r="AJK16" s="101"/>
      <c r="AJL16" s="101"/>
      <c r="AJM16" s="101"/>
      <c r="AJN16" s="101"/>
      <c r="AJO16" s="101"/>
      <c r="AJP16" s="101"/>
      <c r="AJQ16" s="101"/>
      <c r="AJR16" s="101"/>
      <c r="AJS16" s="101"/>
      <c r="AJT16" s="101"/>
      <c r="AJU16" s="101"/>
      <c r="AJV16" s="101"/>
      <c r="AJW16" s="101"/>
      <c r="AJX16" s="101"/>
      <c r="AJY16" s="101"/>
      <c r="AJZ16" s="101"/>
      <c r="AKA16" s="101"/>
      <c r="AKB16" s="101"/>
      <c r="AKC16" s="101"/>
      <c r="AKD16" s="101"/>
      <c r="AKE16" s="101"/>
      <c r="AKF16" s="101"/>
      <c r="AKG16" s="101"/>
      <c r="AKH16" s="101"/>
      <c r="AKI16" s="101"/>
      <c r="AKJ16" s="101"/>
      <c r="AKK16" s="101"/>
      <c r="AKL16" s="101"/>
      <c r="AKM16" s="101"/>
      <c r="AKN16" s="101"/>
      <c r="AKO16" s="101"/>
      <c r="AKP16" s="101"/>
      <c r="AKQ16" s="101"/>
      <c r="AKR16" s="101"/>
      <c r="AKS16" s="101"/>
      <c r="AKT16" s="101"/>
      <c r="AKU16" s="101"/>
      <c r="AKV16" s="101"/>
      <c r="AKW16" s="101"/>
      <c r="AKX16" s="101"/>
      <c r="AKY16" s="101"/>
      <c r="AKZ16" s="101"/>
      <c r="ALA16" s="101"/>
      <c r="ALB16" s="101"/>
      <c r="ALC16" s="101"/>
      <c r="ALD16" s="101"/>
      <c r="ALE16" s="101"/>
      <c r="ALF16" s="101"/>
      <c r="ALG16" s="101"/>
      <c r="ALH16" s="101"/>
      <c r="ALI16" s="101"/>
      <c r="ALJ16" s="101"/>
      <c r="ALK16" s="101"/>
      <c r="ALL16" s="101"/>
      <c r="ALM16" s="101"/>
      <c r="ALN16" s="101"/>
      <c r="ALO16" s="101"/>
      <c r="ALP16" s="101"/>
      <c r="ALQ16" s="101"/>
      <c r="ALR16" s="101"/>
      <c r="ALS16" s="101"/>
      <c r="ALT16" s="101"/>
      <c r="ALU16" s="101"/>
      <c r="ALV16" s="101"/>
      <c r="ALW16" s="101"/>
      <c r="ALX16" s="101"/>
      <c r="ALY16" s="101"/>
      <c r="ALZ16" s="101"/>
      <c r="AMA16" s="101"/>
      <c r="AMB16" s="101"/>
      <c r="AMC16" s="101"/>
      <c r="AMD16" s="101"/>
      <c r="AME16" s="101"/>
      <c r="AMF16" s="101"/>
      <c r="AMG16" s="101"/>
      <c r="AMH16" s="101"/>
      <c r="AMI16" s="101"/>
      <c r="AMJ16" s="101"/>
      <c r="AMK16" s="101"/>
      <c r="AML16" s="101"/>
      <c r="AMM16" s="101"/>
      <c r="AMN16" s="101"/>
      <c r="AMO16" s="101"/>
      <c r="AMP16" s="101"/>
      <c r="AMQ16" s="101"/>
      <c r="AMR16" s="101"/>
      <c r="AMS16" s="101"/>
      <c r="AMT16" s="101"/>
      <c r="AMU16" s="101"/>
      <c r="AMV16" s="101"/>
      <c r="AMW16" s="101"/>
      <c r="AMX16" s="101"/>
      <c r="AMY16" s="101"/>
      <c r="AMZ16" s="101"/>
      <c r="ANA16" s="101"/>
      <c r="ANB16" s="101"/>
      <c r="ANC16" s="101"/>
      <c r="AND16" s="101"/>
      <c r="ANE16" s="101"/>
      <c r="ANF16" s="101"/>
      <c r="ANG16" s="101"/>
      <c r="ANH16" s="101"/>
      <c r="ANI16" s="101"/>
      <c r="ANJ16" s="101"/>
      <c r="ANK16" s="101"/>
      <c r="ANL16" s="101"/>
      <c r="ANM16" s="101"/>
      <c r="ANN16" s="101"/>
      <c r="ANO16" s="101"/>
      <c r="ANP16" s="101"/>
      <c r="ANQ16" s="101"/>
      <c r="ANR16" s="101"/>
      <c r="ANS16" s="101"/>
      <c r="ANT16" s="101"/>
      <c r="ANU16" s="101"/>
      <c r="ANV16" s="101"/>
      <c r="ANW16" s="101"/>
      <c r="ANX16" s="101"/>
      <c r="ANY16" s="101"/>
      <c r="ANZ16" s="101"/>
      <c r="AOA16" s="101"/>
      <c r="AOB16" s="101"/>
      <c r="AOC16" s="101"/>
      <c r="AOD16" s="101"/>
      <c r="AOE16" s="101"/>
      <c r="AOF16" s="101"/>
      <c r="AOG16" s="101"/>
      <c r="AOH16" s="101"/>
      <c r="AOI16" s="101"/>
      <c r="AOJ16" s="101"/>
      <c r="AOK16" s="101"/>
      <c r="AOL16" s="101"/>
      <c r="AOM16" s="101"/>
      <c r="AON16" s="101"/>
      <c r="AOO16" s="101"/>
      <c r="AOP16" s="101"/>
      <c r="AOQ16" s="101"/>
      <c r="AOR16" s="101"/>
      <c r="AOS16" s="101"/>
      <c r="AOT16" s="101"/>
      <c r="AOU16" s="101"/>
      <c r="AOV16" s="101"/>
      <c r="AOW16" s="101"/>
      <c r="AOX16" s="101"/>
      <c r="AOY16" s="101"/>
      <c r="AOZ16" s="101"/>
      <c r="APA16" s="101"/>
      <c r="APB16" s="101"/>
      <c r="APC16" s="101"/>
      <c r="APD16" s="101"/>
      <c r="APE16" s="101"/>
      <c r="APF16" s="101"/>
      <c r="APG16" s="101"/>
      <c r="APH16" s="101"/>
      <c r="API16" s="101"/>
      <c r="APJ16" s="101"/>
      <c r="APK16" s="101"/>
      <c r="APL16" s="101"/>
      <c r="APM16" s="101"/>
      <c r="APN16" s="101"/>
      <c r="APO16" s="101"/>
      <c r="APP16" s="101"/>
      <c r="APQ16" s="101"/>
      <c r="APR16" s="101"/>
      <c r="APS16" s="101"/>
      <c r="APT16" s="101"/>
      <c r="APU16" s="101"/>
      <c r="APV16" s="101"/>
      <c r="APW16" s="101"/>
      <c r="APX16" s="101"/>
      <c r="APY16" s="101"/>
      <c r="APZ16" s="101"/>
      <c r="AQA16" s="101"/>
      <c r="AQB16" s="101"/>
      <c r="AQC16" s="101"/>
      <c r="AQD16" s="101"/>
      <c r="AQE16" s="101"/>
      <c r="AQF16" s="101"/>
      <c r="AQG16" s="101"/>
      <c r="AQH16" s="101"/>
      <c r="AQI16" s="101"/>
      <c r="AQJ16" s="101"/>
      <c r="AQK16" s="101"/>
      <c r="AQL16" s="101"/>
      <c r="AQM16" s="101"/>
      <c r="AQN16" s="101"/>
      <c r="AQO16" s="101"/>
      <c r="AQP16" s="101"/>
      <c r="AQQ16" s="101"/>
      <c r="AQR16" s="101"/>
      <c r="AQS16" s="101"/>
      <c r="AQT16" s="101"/>
      <c r="AQU16" s="101"/>
      <c r="AQV16" s="101"/>
      <c r="AQW16" s="101"/>
      <c r="AQX16" s="101"/>
      <c r="AQY16" s="101"/>
      <c r="AQZ16" s="101"/>
      <c r="ARA16" s="101"/>
      <c r="ARB16" s="101"/>
      <c r="ARC16" s="101"/>
      <c r="ARD16" s="101"/>
      <c r="ARE16" s="101"/>
      <c r="ARF16" s="101"/>
      <c r="ARG16" s="101"/>
      <c r="ARH16" s="101"/>
      <c r="ARI16" s="101"/>
      <c r="ARJ16" s="101"/>
      <c r="ARK16" s="101"/>
      <c r="ARL16" s="101"/>
      <c r="ARM16" s="101"/>
      <c r="ARN16" s="101"/>
      <c r="ARO16" s="101"/>
      <c r="ARP16" s="101"/>
      <c r="ARQ16" s="101"/>
      <c r="ARR16" s="101"/>
      <c r="ARS16" s="101"/>
      <c r="ART16" s="101"/>
      <c r="ARU16" s="101"/>
      <c r="ARV16" s="101"/>
      <c r="ARW16" s="101"/>
      <c r="ARX16" s="101"/>
      <c r="ARY16" s="101"/>
      <c r="ARZ16" s="101"/>
      <c r="ASA16" s="101"/>
      <c r="ASB16" s="101"/>
      <c r="ASC16" s="101"/>
      <c r="ASD16" s="101"/>
      <c r="ASE16" s="101"/>
      <c r="ASF16" s="101"/>
      <c r="ASG16" s="101"/>
      <c r="ASH16" s="101"/>
      <c r="ASI16" s="101"/>
      <c r="ASJ16" s="101"/>
      <c r="ASK16" s="101"/>
      <c r="ASL16" s="101"/>
      <c r="ASM16" s="101"/>
      <c r="ASN16" s="101"/>
      <c r="ASO16" s="101"/>
      <c r="ASP16" s="101"/>
      <c r="ASQ16" s="101"/>
      <c r="ASR16" s="101"/>
      <c r="ASS16" s="101"/>
      <c r="AST16" s="101"/>
      <c r="ASU16" s="101"/>
      <c r="ASV16" s="101"/>
      <c r="ASW16" s="101"/>
      <c r="ASX16" s="101"/>
      <c r="ASY16" s="101"/>
      <c r="ASZ16" s="101"/>
      <c r="ATA16" s="101"/>
      <c r="ATB16" s="101"/>
      <c r="ATC16" s="101"/>
      <c r="ATD16" s="101"/>
      <c r="ATE16" s="101"/>
      <c r="ATF16" s="101"/>
      <c r="ATG16" s="101"/>
      <c r="ATH16" s="101"/>
      <c r="ATI16" s="101"/>
      <c r="ATJ16" s="101"/>
      <c r="ATK16" s="101"/>
      <c r="ATL16" s="101"/>
      <c r="ATM16" s="101"/>
      <c r="ATN16" s="101"/>
      <c r="ATO16" s="101"/>
      <c r="ATP16" s="101"/>
      <c r="ATQ16" s="101"/>
      <c r="ATR16" s="101"/>
      <c r="ATS16" s="101"/>
      <c r="ATT16" s="101"/>
      <c r="ATU16" s="101"/>
      <c r="ATV16" s="101"/>
      <c r="ATW16" s="101"/>
      <c r="ATX16" s="101"/>
      <c r="ATY16" s="101"/>
      <c r="ATZ16" s="101"/>
      <c r="AUA16" s="101"/>
      <c r="AUB16" s="101"/>
      <c r="AUC16" s="101"/>
      <c r="AUD16" s="101"/>
      <c r="AUE16" s="101"/>
      <c r="AUF16" s="101"/>
      <c r="AUG16" s="101"/>
      <c r="AUH16" s="101"/>
      <c r="AUI16" s="101"/>
      <c r="AUJ16" s="101"/>
      <c r="AUK16" s="101"/>
      <c r="AUL16" s="101"/>
      <c r="AUM16" s="101"/>
      <c r="AUN16" s="101"/>
      <c r="AUO16" s="101"/>
      <c r="AUP16" s="101"/>
      <c r="AUQ16" s="101"/>
      <c r="AUR16" s="101"/>
      <c r="AUS16" s="101"/>
      <c r="AUT16" s="101"/>
      <c r="AUU16" s="101"/>
      <c r="AUV16" s="101"/>
      <c r="AUW16" s="101"/>
      <c r="AUX16" s="101"/>
      <c r="AUY16" s="101"/>
      <c r="AUZ16" s="101"/>
      <c r="AVA16" s="101"/>
      <c r="AVB16" s="101"/>
      <c r="AVC16" s="101"/>
      <c r="AVD16" s="101"/>
      <c r="AVE16" s="101"/>
      <c r="AVF16" s="101"/>
      <c r="AVG16" s="101"/>
      <c r="AVH16" s="101"/>
      <c r="AVI16" s="101"/>
      <c r="AVJ16" s="101"/>
      <c r="AVK16" s="101"/>
      <c r="AVL16" s="101"/>
      <c r="AVM16" s="101"/>
      <c r="AVN16" s="101"/>
      <c r="AVO16" s="101"/>
      <c r="AVP16" s="101"/>
      <c r="AVQ16" s="101"/>
      <c r="AVR16" s="101"/>
      <c r="AVS16" s="101"/>
      <c r="AVT16" s="101"/>
      <c r="AVU16" s="101"/>
      <c r="AVV16" s="101"/>
      <c r="AVW16" s="101"/>
      <c r="AVX16" s="101"/>
      <c r="AVY16" s="101"/>
      <c r="AVZ16" s="101"/>
      <c r="AWA16" s="101"/>
      <c r="AWB16" s="101"/>
      <c r="AWC16" s="101"/>
      <c r="AWD16" s="101"/>
      <c r="AWE16" s="101"/>
      <c r="AWF16" s="101"/>
      <c r="AWG16" s="101"/>
      <c r="AWH16" s="101"/>
      <c r="AWI16" s="101"/>
      <c r="AWJ16" s="101"/>
      <c r="AWK16" s="101"/>
      <c r="AWL16" s="101"/>
      <c r="AWM16" s="101"/>
      <c r="AWN16" s="101"/>
      <c r="AWO16" s="101"/>
      <c r="AWP16" s="101"/>
      <c r="AWQ16" s="101"/>
      <c r="AWR16" s="101"/>
      <c r="AWS16" s="101"/>
      <c r="AWT16" s="101"/>
      <c r="AWU16" s="101"/>
      <c r="AWV16" s="101"/>
      <c r="AWW16" s="101"/>
      <c r="AWX16" s="101"/>
      <c r="AWY16" s="101"/>
      <c r="AWZ16" s="101"/>
      <c r="AXA16" s="101"/>
      <c r="AXB16" s="101"/>
      <c r="AXC16" s="101"/>
      <c r="AXD16" s="101"/>
      <c r="AXE16" s="101"/>
      <c r="AXF16" s="101"/>
      <c r="AXG16" s="101"/>
      <c r="AXH16" s="101"/>
      <c r="AXI16" s="101"/>
      <c r="AXJ16" s="101"/>
      <c r="AXK16" s="101"/>
      <c r="AXL16" s="101"/>
      <c r="AXM16" s="101"/>
      <c r="AXN16" s="101"/>
      <c r="AXO16" s="101"/>
      <c r="AXP16" s="101"/>
      <c r="AXQ16" s="101"/>
      <c r="AXR16" s="101"/>
      <c r="AXS16" s="101"/>
      <c r="AXT16" s="101"/>
      <c r="AXU16" s="101"/>
      <c r="AXV16" s="101"/>
      <c r="AXW16" s="101"/>
      <c r="AXX16" s="101"/>
      <c r="AXY16" s="101"/>
      <c r="AXZ16" s="101"/>
      <c r="AYA16" s="101"/>
      <c r="AYB16" s="101"/>
      <c r="AYC16" s="101"/>
      <c r="AYD16" s="101"/>
      <c r="AYE16" s="101"/>
      <c r="AYF16" s="101"/>
      <c r="AYG16" s="101"/>
      <c r="AYH16" s="101"/>
      <c r="AYI16" s="101"/>
      <c r="AYJ16" s="101"/>
      <c r="AYK16" s="101"/>
      <c r="AYL16" s="101"/>
      <c r="AYM16" s="101"/>
      <c r="AYN16" s="101"/>
      <c r="AYO16" s="101"/>
      <c r="AYP16" s="101"/>
      <c r="AYQ16" s="101"/>
      <c r="AYR16" s="101"/>
      <c r="AYS16" s="101"/>
      <c r="AYT16" s="101"/>
      <c r="AYU16" s="101"/>
      <c r="AYV16" s="101"/>
      <c r="AYW16" s="101"/>
      <c r="AYX16" s="101"/>
      <c r="AYY16" s="101"/>
      <c r="AYZ16" s="101"/>
      <c r="AZA16" s="101"/>
      <c r="AZB16" s="101"/>
      <c r="AZC16" s="101"/>
      <c r="AZD16" s="101"/>
      <c r="AZE16" s="101"/>
      <c r="AZF16" s="101"/>
      <c r="AZG16" s="101"/>
      <c r="AZH16" s="101"/>
      <c r="AZI16" s="101"/>
      <c r="AZJ16" s="101"/>
      <c r="AZK16" s="101"/>
      <c r="AZL16" s="101"/>
      <c r="AZM16" s="101"/>
      <c r="AZN16" s="101"/>
      <c r="AZO16" s="101"/>
      <c r="AZP16" s="101"/>
      <c r="AZQ16" s="101"/>
      <c r="AZR16" s="101"/>
      <c r="AZS16" s="101"/>
      <c r="AZT16" s="101"/>
      <c r="AZU16" s="101"/>
      <c r="AZV16" s="101"/>
      <c r="AZW16" s="101"/>
      <c r="AZX16" s="101"/>
      <c r="AZY16" s="101"/>
      <c r="AZZ16" s="101"/>
      <c r="BAA16" s="101"/>
      <c r="BAB16" s="101"/>
      <c r="BAC16" s="101"/>
      <c r="BAD16" s="101"/>
      <c r="BAE16" s="101"/>
      <c r="BAF16" s="101"/>
      <c r="BAG16" s="101"/>
      <c r="BAH16" s="101"/>
      <c r="BAI16" s="101"/>
      <c r="BAJ16" s="101"/>
      <c r="BAK16" s="101"/>
      <c r="BAL16" s="101"/>
      <c r="BAM16" s="101"/>
      <c r="BAN16" s="101"/>
      <c r="BAO16" s="101"/>
      <c r="BAP16" s="101"/>
      <c r="BAQ16" s="101"/>
      <c r="BAR16" s="101"/>
      <c r="BAS16" s="101"/>
      <c r="BAT16" s="101"/>
      <c r="BAU16" s="101"/>
      <c r="BAV16" s="101"/>
      <c r="BAW16" s="101"/>
      <c r="BAX16" s="101"/>
      <c r="BAY16" s="101"/>
      <c r="BAZ16" s="101"/>
      <c r="BBA16" s="101"/>
      <c r="BBB16" s="101"/>
      <c r="BBC16" s="101"/>
      <c r="BBD16" s="101"/>
      <c r="BBE16" s="101"/>
      <c r="BBF16" s="101"/>
      <c r="BBG16" s="101"/>
      <c r="BBH16" s="101"/>
      <c r="BBI16" s="101"/>
      <c r="BBJ16" s="101"/>
      <c r="BBK16" s="101"/>
      <c r="BBL16" s="101"/>
      <c r="BBM16" s="101"/>
      <c r="BBN16" s="101"/>
      <c r="BBO16" s="101"/>
      <c r="BBP16" s="101"/>
      <c r="BBQ16" s="101"/>
      <c r="BBR16" s="101"/>
      <c r="BBS16" s="101"/>
      <c r="BBT16" s="101"/>
      <c r="BBU16" s="101"/>
      <c r="BBV16" s="101"/>
      <c r="BBW16" s="101"/>
      <c r="BBX16" s="101"/>
      <c r="BBY16" s="101"/>
      <c r="BBZ16" s="101"/>
      <c r="BCA16" s="101"/>
      <c r="BCB16" s="101"/>
      <c r="BCC16" s="101"/>
      <c r="BCD16" s="101"/>
      <c r="BCE16" s="101"/>
      <c r="BCF16" s="101"/>
      <c r="BCG16" s="101"/>
      <c r="BCH16" s="101"/>
      <c r="BCI16" s="101"/>
      <c r="BCJ16" s="101"/>
      <c r="BCK16" s="101"/>
      <c r="BCL16" s="101"/>
      <c r="BCM16" s="101"/>
      <c r="BCN16" s="101"/>
      <c r="BCO16" s="101"/>
      <c r="BCP16" s="101"/>
      <c r="BCQ16" s="101"/>
      <c r="BCR16" s="101"/>
      <c r="BCS16" s="101"/>
      <c r="BCT16" s="101"/>
      <c r="BCU16" s="101"/>
      <c r="BCV16" s="101"/>
      <c r="BCW16" s="101"/>
      <c r="BCX16" s="101"/>
      <c r="BCY16" s="101"/>
      <c r="BCZ16" s="101"/>
      <c r="BDA16" s="101"/>
      <c r="BDB16" s="101"/>
      <c r="BDC16" s="101"/>
      <c r="BDD16" s="101"/>
      <c r="BDE16" s="101"/>
      <c r="BDF16" s="101"/>
      <c r="BDG16" s="101"/>
      <c r="BDH16" s="101"/>
      <c r="BDI16" s="101"/>
      <c r="BDJ16" s="101"/>
      <c r="BDK16" s="101"/>
      <c r="BDL16" s="101"/>
      <c r="BDM16" s="101"/>
      <c r="BDN16" s="101"/>
      <c r="BDO16" s="101"/>
      <c r="BDP16" s="101"/>
      <c r="BDQ16" s="101"/>
      <c r="BDR16" s="101"/>
      <c r="BDS16" s="101"/>
      <c r="BDT16" s="101"/>
      <c r="BDU16" s="101"/>
      <c r="BDV16" s="101"/>
      <c r="BDW16" s="101"/>
      <c r="BDX16" s="101"/>
      <c r="BDY16" s="101"/>
      <c r="BDZ16" s="101"/>
      <c r="BEA16" s="101"/>
      <c r="BEB16" s="101"/>
      <c r="BEC16" s="101"/>
      <c r="BED16" s="101"/>
      <c r="BEE16" s="101"/>
      <c r="BEF16" s="101"/>
      <c r="BEG16" s="101"/>
      <c r="BEH16" s="101"/>
      <c r="BEI16" s="101"/>
      <c r="BEJ16" s="101"/>
      <c r="BEK16" s="101"/>
      <c r="BEL16" s="101"/>
      <c r="BEM16" s="101"/>
      <c r="BEN16" s="101"/>
      <c r="BEO16" s="101"/>
      <c r="BEP16" s="101"/>
      <c r="BEQ16" s="101"/>
      <c r="BER16" s="101"/>
      <c r="BES16" s="101"/>
      <c r="BET16" s="101"/>
      <c r="BEU16" s="101"/>
      <c r="BEV16" s="101"/>
      <c r="BEW16" s="101"/>
      <c r="BEX16" s="101"/>
      <c r="BEY16" s="101"/>
      <c r="BEZ16" s="101"/>
      <c r="BFA16" s="101"/>
      <c r="BFB16" s="101"/>
      <c r="BFC16" s="101"/>
      <c r="BFD16" s="101"/>
      <c r="BFE16" s="101"/>
      <c r="BFF16" s="101"/>
      <c r="BFG16" s="101"/>
      <c r="BFH16" s="101"/>
      <c r="BFI16" s="101"/>
      <c r="BFJ16" s="101"/>
      <c r="BFK16" s="101"/>
      <c r="BFL16" s="101"/>
      <c r="BFM16" s="101"/>
      <c r="BFN16" s="101"/>
      <c r="BFO16" s="101"/>
      <c r="BFP16" s="101"/>
      <c r="BFQ16" s="101"/>
      <c r="BFR16" s="101"/>
      <c r="BFS16" s="101"/>
      <c r="BFT16" s="101"/>
      <c r="BFU16" s="101"/>
      <c r="BFV16" s="101"/>
      <c r="BFW16" s="101"/>
      <c r="BFX16" s="101"/>
      <c r="BFY16" s="101"/>
      <c r="BFZ16" s="101"/>
      <c r="BGA16" s="101"/>
      <c r="BGB16" s="101"/>
      <c r="BGC16" s="101"/>
      <c r="BGD16" s="101"/>
      <c r="BGE16" s="101"/>
      <c r="BGF16" s="101"/>
      <c r="BGG16" s="101"/>
      <c r="BGH16" s="101"/>
      <c r="BGI16" s="101"/>
      <c r="BGJ16" s="101"/>
      <c r="BGK16" s="101"/>
      <c r="BGL16" s="101"/>
      <c r="BGM16" s="101"/>
      <c r="BGN16" s="101"/>
      <c r="BGO16" s="101"/>
      <c r="BGP16" s="101"/>
      <c r="BGQ16" s="101"/>
      <c r="BGR16" s="101"/>
      <c r="BGS16" s="101"/>
      <c r="BGT16" s="101"/>
      <c r="BGU16" s="101"/>
      <c r="BGV16" s="101"/>
      <c r="BGW16" s="101"/>
      <c r="BGX16" s="101"/>
      <c r="BGY16" s="101"/>
      <c r="BGZ16" s="101"/>
      <c r="BHA16" s="101"/>
      <c r="BHB16" s="101"/>
      <c r="BHC16" s="101"/>
      <c r="BHD16" s="101"/>
      <c r="BHE16" s="101"/>
      <c r="BHF16" s="101"/>
      <c r="BHG16" s="101"/>
      <c r="BHH16" s="101"/>
      <c r="BHI16" s="101"/>
      <c r="BHJ16" s="101"/>
      <c r="BHK16" s="101"/>
      <c r="BHL16" s="101"/>
      <c r="BHM16" s="101"/>
      <c r="BHN16" s="101"/>
      <c r="BHO16" s="101"/>
      <c r="BHP16" s="101"/>
      <c r="BHQ16" s="101"/>
      <c r="BHR16" s="101"/>
      <c r="BHS16" s="101"/>
      <c r="BHT16" s="101"/>
      <c r="BHU16" s="101"/>
      <c r="BHV16" s="101"/>
      <c r="BHW16" s="101"/>
      <c r="BHX16" s="101"/>
      <c r="BHY16" s="101"/>
      <c r="BHZ16" s="101"/>
      <c r="BIA16" s="101"/>
      <c r="BIB16" s="101"/>
      <c r="BIC16" s="101"/>
      <c r="BID16" s="101"/>
      <c r="BIE16" s="101"/>
      <c r="BIF16" s="101"/>
      <c r="BIG16" s="101"/>
      <c r="BIH16" s="101"/>
      <c r="BII16" s="101"/>
      <c r="BIJ16" s="101"/>
      <c r="BIK16" s="101"/>
      <c r="BIL16" s="101"/>
      <c r="BIM16" s="101"/>
      <c r="BIN16" s="101"/>
      <c r="BIO16" s="101"/>
      <c r="BIP16" s="101"/>
      <c r="BIQ16" s="101"/>
      <c r="BIR16" s="101"/>
      <c r="BIS16" s="101"/>
      <c r="BIT16" s="101"/>
      <c r="BIU16" s="101"/>
      <c r="BIV16" s="101"/>
      <c r="BIW16" s="101"/>
      <c r="BIX16" s="101"/>
      <c r="BIY16" s="101"/>
      <c r="BIZ16" s="101"/>
      <c r="BJA16" s="101"/>
      <c r="BJB16" s="101"/>
      <c r="BJC16" s="101"/>
      <c r="BJD16" s="101"/>
      <c r="BJE16" s="101"/>
      <c r="BJF16" s="101"/>
      <c r="BJG16" s="101"/>
      <c r="BJH16" s="101"/>
      <c r="BJI16" s="101"/>
      <c r="BJJ16" s="101"/>
      <c r="BJK16" s="101"/>
      <c r="BJL16" s="101"/>
      <c r="BJM16" s="101"/>
      <c r="BJN16" s="101"/>
      <c r="BJO16" s="101"/>
      <c r="BJP16" s="101"/>
      <c r="BJQ16" s="101"/>
      <c r="BJR16" s="101"/>
      <c r="BJS16" s="101"/>
      <c r="BJT16" s="101"/>
      <c r="BJU16" s="101"/>
      <c r="BJV16" s="101"/>
      <c r="BJW16" s="101"/>
      <c r="BJX16" s="101"/>
      <c r="BJY16" s="101"/>
      <c r="BJZ16" s="101"/>
      <c r="BKA16" s="101"/>
      <c r="BKB16" s="101"/>
      <c r="BKC16" s="101"/>
      <c r="BKD16" s="101"/>
      <c r="BKE16" s="101"/>
      <c r="BKF16" s="101"/>
      <c r="BKG16" s="101"/>
      <c r="BKH16" s="101"/>
      <c r="BKI16" s="101"/>
      <c r="BKJ16" s="101"/>
      <c r="BKK16" s="101"/>
      <c r="BKL16" s="101"/>
      <c r="BKM16" s="101"/>
      <c r="BKN16" s="101"/>
      <c r="BKO16" s="101"/>
      <c r="BKP16" s="101"/>
      <c r="BKQ16" s="101"/>
      <c r="BKR16" s="101"/>
      <c r="BKS16" s="101"/>
      <c r="BKT16" s="101"/>
      <c r="BKU16" s="101"/>
      <c r="BKV16" s="101"/>
      <c r="BKW16" s="101"/>
      <c r="BKX16" s="101"/>
      <c r="BKY16" s="101"/>
      <c r="BKZ16" s="101"/>
      <c r="BLA16" s="101"/>
      <c r="BLB16" s="101"/>
      <c r="BLC16" s="101"/>
      <c r="BLD16" s="101"/>
      <c r="BLE16" s="101"/>
      <c r="BLF16" s="101"/>
      <c r="BLG16" s="101"/>
      <c r="BLH16" s="101"/>
      <c r="BLI16" s="101"/>
      <c r="BLJ16" s="101"/>
      <c r="BLK16" s="101"/>
      <c r="BLL16" s="101"/>
      <c r="BLM16" s="101"/>
      <c r="BLN16" s="101"/>
      <c r="BLO16" s="101"/>
      <c r="BLP16" s="101"/>
      <c r="BLQ16" s="101"/>
      <c r="BLR16" s="101"/>
      <c r="BLS16" s="101"/>
      <c r="BLT16" s="101"/>
      <c r="BLU16" s="101"/>
      <c r="BLV16" s="101"/>
      <c r="BLW16" s="101"/>
      <c r="BLX16" s="101"/>
      <c r="BLY16" s="101"/>
      <c r="BLZ16" s="101"/>
      <c r="BMA16" s="101"/>
      <c r="BMB16" s="101"/>
      <c r="BMC16" s="101"/>
      <c r="BMD16" s="101"/>
      <c r="BME16" s="101"/>
      <c r="BMF16" s="101"/>
      <c r="BMG16" s="101"/>
      <c r="BMH16" s="101"/>
      <c r="BMI16" s="101"/>
      <c r="BMJ16" s="101"/>
      <c r="BMK16" s="101"/>
      <c r="BML16" s="101"/>
      <c r="BMM16" s="101"/>
      <c r="BMN16" s="101"/>
      <c r="BMO16" s="101"/>
      <c r="BMP16" s="101"/>
      <c r="BMQ16" s="101"/>
      <c r="BMR16" s="101"/>
      <c r="BMS16" s="101"/>
      <c r="BMT16" s="101"/>
      <c r="BMU16" s="101"/>
      <c r="BMV16" s="101"/>
      <c r="BMW16" s="101"/>
      <c r="BMX16" s="101"/>
      <c r="BMY16" s="101"/>
      <c r="BMZ16" s="101"/>
      <c r="BNA16" s="101"/>
      <c r="BNB16" s="101"/>
      <c r="BNC16" s="101"/>
      <c r="BND16" s="101"/>
      <c r="BNE16" s="101"/>
      <c r="BNF16" s="101"/>
      <c r="BNG16" s="101"/>
      <c r="BNH16" s="101"/>
      <c r="BNI16" s="101"/>
      <c r="BNJ16" s="101"/>
      <c r="BNK16" s="101"/>
      <c r="BNL16" s="101"/>
      <c r="BNM16" s="101"/>
      <c r="BNN16" s="101"/>
      <c r="BNO16" s="101"/>
      <c r="BNP16" s="101"/>
      <c r="BNQ16" s="101"/>
      <c r="BNR16" s="101"/>
      <c r="BNS16" s="101"/>
      <c r="BNT16" s="101"/>
      <c r="BNU16" s="101"/>
      <c r="BNV16" s="101"/>
      <c r="BNW16" s="101"/>
      <c r="BNX16" s="101"/>
      <c r="BNY16" s="101"/>
      <c r="BNZ16" s="101"/>
      <c r="BOA16" s="101"/>
      <c r="BOB16" s="101"/>
      <c r="BOC16" s="101"/>
      <c r="BOD16" s="101"/>
      <c r="BOE16" s="101"/>
      <c r="BOF16" s="101"/>
      <c r="BOG16" s="101"/>
      <c r="BOH16" s="101"/>
      <c r="BOI16" s="101"/>
      <c r="BOJ16" s="101"/>
      <c r="BOK16" s="101"/>
      <c r="BOL16" s="101"/>
      <c r="BOM16" s="101"/>
      <c r="BON16" s="101"/>
      <c r="BOO16" s="101"/>
      <c r="BOP16" s="101"/>
      <c r="BOQ16" s="101"/>
      <c r="BOR16" s="101"/>
      <c r="BOS16" s="101"/>
      <c r="BOT16" s="101"/>
      <c r="BOU16" s="101"/>
      <c r="BOV16" s="101"/>
      <c r="BOW16" s="101"/>
      <c r="BOX16" s="101"/>
      <c r="BOY16" s="101"/>
      <c r="BOZ16" s="101"/>
      <c r="BPA16" s="101"/>
      <c r="BPB16" s="101"/>
      <c r="BPC16" s="161"/>
    </row>
    <row r="17" s="102" customFormat="1" ht="75" customHeight="1" outlineLevel="1" spans="1:1024 1025:1771">
      <c r="A17" s="157" t="s">
        <v>60</v>
      </c>
      <c r="B17" s="151" t="s">
        <v>1051</v>
      </c>
      <c r="C17" s="158" t="s">
        <v>1052</v>
      </c>
      <c r="D17" s="153" t="s">
        <v>1044</v>
      </c>
      <c r="E17" s="154"/>
      <c r="F17" s="159"/>
      <c r="G17" s="160"/>
      <c r="H17" s="155">
        <v>46137</v>
      </c>
      <c r="I17" s="156" t="s">
        <v>7</v>
      </c>
      <c r="J17" s="162"/>
      <c r="K17" s="5"/>
      <c r="L17" s="5" t="s">
        <v>1041</v>
      </c>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c r="DQ17" s="101"/>
      <c r="DR17" s="101"/>
      <c r="DS17" s="101"/>
      <c r="DT17" s="101"/>
      <c r="DU17" s="101"/>
      <c r="DV17" s="101"/>
      <c r="DW17" s="101"/>
      <c r="DX17" s="101"/>
      <c r="DY17" s="101"/>
      <c r="DZ17" s="101"/>
      <c r="EA17" s="101"/>
      <c r="EB17" s="101"/>
      <c r="EC17" s="101"/>
      <c r="ED17" s="101"/>
      <c r="EE17" s="101"/>
      <c r="EF17" s="101"/>
      <c r="EG17" s="101"/>
      <c r="EH17" s="101"/>
      <c r="EI17" s="101"/>
      <c r="EJ17" s="101"/>
      <c r="EK17" s="101"/>
      <c r="EL17" s="101"/>
      <c r="EM17" s="101"/>
      <c r="EN17" s="101"/>
      <c r="EO17" s="101"/>
      <c r="EP17" s="101"/>
      <c r="EQ17" s="101"/>
      <c r="ER17" s="101"/>
      <c r="ES17" s="101"/>
      <c r="ET17" s="101"/>
      <c r="EU17" s="101"/>
      <c r="EV17" s="101"/>
      <c r="EW17" s="101"/>
      <c r="EX17" s="101"/>
      <c r="EY17" s="101"/>
      <c r="EZ17" s="101"/>
      <c r="FA17" s="101"/>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c r="GW17" s="101"/>
      <c r="GX17" s="101"/>
      <c r="GY17" s="101"/>
      <c r="GZ17" s="101"/>
      <c r="HA17" s="101"/>
      <c r="HB17" s="101"/>
      <c r="HC17" s="101"/>
      <c r="HD17" s="101"/>
      <c r="HE17" s="101"/>
      <c r="HF17" s="101"/>
      <c r="HG17" s="101"/>
      <c r="HH17" s="101"/>
      <c r="HI17" s="101"/>
      <c r="HJ17" s="101"/>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101"/>
      <c r="IR17" s="101"/>
      <c r="IS17" s="101"/>
      <c r="IT17" s="101"/>
      <c r="IU17" s="101"/>
      <c r="IV17" s="101"/>
      <c r="IW17" s="101"/>
      <c r="IX17" s="101"/>
      <c r="IY17" s="101"/>
      <c r="IZ17" s="101"/>
      <c r="JA17" s="101"/>
      <c r="JB17" s="101"/>
      <c r="JC17" s="101"/>
      <c r="JD17" s="101"/>
      <c r="JE17" s="101"/>
      <c r="JF17" s="101"/>
      <c r="JG17" s="101"/>
      <c r="JH17" s="101"/>
      <c r="JI17" s="101"/>
      <c r="JJ17" s="101"/>
      <c r="JK17" s="101"/>
      <c r="JL17" s="101"/>
      <c r="JM17" s="101"/>
      <c r="JN17" s="101"/>
      <c r="JO17" s="101"/>
      <c r="JP17" s="101"/>
      <c r="JQ17" s="101"/>
      <c r="JR17" s="101"/>
      <c r="JS17" s="101"/>
      <c r="JT17" s="101"/>
      <c r="JU17" s="101"/>
      <c r="JV17" s="101"/>
      <c r="JW17" s="101"/>
      <c r="JX17" s="101"/>
      <c r="JY17" s="101"/>
      <c r="JZ17" s="101"/>
      <c r="KA17" s="101"/>
      <c r="KB17" s="101"/>
      <c r="KC17" s="101"/>
      <c r="KD17" s="101"/>
      <c r="KE17" s="101"/>
      <c r="KF17" s="101"/>
      <c r="KG17" s="101"/>
      <c r="KH17" s="101"/>
      <c r="KI17" s="101"/>
      <c r="KJ17" s="101"/>
      <c r="KK17" s="101"/>
      <c r="KL17" s="101"/>
      <c r="KM17" s="101"/>
      <c r="KN17" s="101"/>
      <c r="KO17" s="101"/>
      <c r="KP17" s="101"/>
      <c r="KQ17" s="101"/>
      <c r="KR17" s="101"/>
      <c r="KS17" s="101"/>
      <c r="KT17" s="101"/>
      <c r="KU17" s="101"/>
      <c r="KV17" s="101"/>
      <c r="KW17" s="101"/>
      <c r="KX17" s="101"/>
      <c r="KY17" s="101"/>
      <c r="KZ17" s="101"/>
      <c r="LA17" s="101"/>
      <c r="LB17" s="101"/>
      <c r="LC17" s="101"/>
      <c r="LD17" s="101"/>
      <c r="LE17" s="101"/>
      <c r="LF17" s="101"/>
      <c r="LG17" s="101"/>
      <c r="LH17" s="101"/>
      <c r="LI17" s="101"/>
      <c r="LJ17" s="101"/>
      <c r="LK17" s="101"/>
      <c r="LL17" s="101"/>
      <c r="LM17" s="101"/>
      <c r="LN17" s="101"/>
      <c r="LO17" s="101"/>
      <c r="LP17" s="101"/>
      <c r="LQ17" s="101"/>
      <c r="LR17" s="101"/>
      <c r="LS17" s="101"/>
      <c r="LT17" s="101"/>
      <c r="LU17" s="101"/>
      <c r="LV17" s="101"/>
      <c r="LW17" s="101"/>
      <c r="LX17" s="101"/>
      <c r="LY17" s="101"/>
      <c r="LZ17" s="101"/>
      <c r="MA17" s="101"/>
      <c r="MB17" s="101"/>
      <c r="MC17" s="101"/>
      <c r="MD17" s="101"/>
      <c r="ME17" s="101"/>
      <c r="MF17" s="101"/>
      <c r="MG17" s="101"/>
      <c r="MH17" s="101"/>
      <c r="MI17" s="101"/>
      <c r="MJ17" s="101"/>
      <c r="MK17" s="101"/>
      <c r="ML17" s="101"/>
      <c r="MM17" s="101"/>
      <c r="MN17" s="101"/>
      <c r="MO17" s="101"/>
      <c r="MP17" s="101"/>
      <c r="MQ17" s="101"/>
      <c r="MR17" s="101"/>
      <c r="MS17" s="101"/>
      <c r="MT17" s="101"/>
      <c r="MU17" s="101"/>
      <c r="MV17" s="101"/>
      <c r="MW17" s="101"/>
      <c r="MX17" s="101"/>
      <c r="MY17" s="101"/>
      <c r="MZ17" s="101"/>
      <c r="NA17" s="101"/>
      <c r="NB17" s="101"/>
      <c r="NC17" s="101"/>
      <c r="ND17" s="101"/>
      <c r="NE17" s="101"/>
      <c r="NF17" s="101"/>
      <c r="NG17" s="101"/>
      <c r="NH17" s="101"/>
      <c r="NI17" s="101"/>
      <c r="NJ17" s="101"/>
      <c r="NK17" s="101"/>
      <c r="NL17" s="101"/>
      <c r="NM17" s="101"/>
      <c r="NN17" s="101"/>
      <c r="NO17" s="101"/>
      <c r="NP17" s="101"/>
      <c r="NQ17" s="101"/>
      <c r="NR17" s="101"/>
      <c r="NS17" s="101"/>
      <c r="NT17" s="101"/>
      <c r="NU17" s="101"/>
      <c r="NV17" s="101"/>
      <c r="NW17" s="101"/>
      <c r="NX17" s="101"/>
      <c r="NY17" s="101"/>
      <c r="NZ17" s="101"/>
      <c r="OA17" s="101"/>
      <c r="OB17" s="101"/>
      <c r="OC17" s="101"/>
      <c r="OD17" s="101"/>
      <c r="OE17" s="101"/>
      <c r="OF17" s="101"/>
      <c r="OG17" s="101"/>
      <c r="OH17" s="101"/>
      <c r="OI17" s="101"/>
      <c r="OJ17" s="101"/>
      <c r="OK17" s="101"/>
      <c r="OL17" s="101"/>
      <c r="OM17" s="101"/>
      <c r="ON17" s="101"/>
      <c r="OO17" s="101"/>
      <c r="OP17" s="101"/>
      <c r="OQ17" s="101"/>
      <c r="OR17" s="101"/>
      <c r="OS17" s="101"/>
      <c r="OT17" s="101"/>
      <c r="OU17" s="101"/>
      <c r="OV17" s="101"/>
      <c r="OW17" s="101"/>
      <c r="OX17" s="101"/>
      <c r="OY17" s="101"/>
      <c r="OZ17" s="101"/>
      <c r="PA17" s="101"/>
      <c r="PB17" s="101"/>
      <c r="PC17" s="101"/>
      <c r="PD17" s="101"/>
      <c r="PE17" s="101"/>
      <c r="PF17" s="101"/>
      <c r="PG17" s="101"/>
      <c r="PH17" s="101"/>
      <c r="PI17" s="101"/>
      <c r="PJ17" s="101"/>
      <c r="PK17" s="101"/>
      <c r="PL17" s="101"/>
      <c r="PM17" s="101"/>
      <c r="PN17" s="101"/>
      <c r="PO17" s="101"/>
      <c r="PP17" s="101"/>
      <c r="PQ17" s="101"/>
      <c r="PR17" s="101"/>
      <c r="PS17" s="101"/>
      <c r="PT17" s="101"/>
      <c r="PU17" s="101"/>
      <c r="PV17" s="101"/>
      <c r="PW17" s="101"/>
      <c r="PX17" s="101"/>
      <c r="PY17" s="101"/>
      <c r="PZ17" s="101"/>
      <c r="QA17" s="101"/>
      <c r="QB17" s="101"/>
      <c r="QC17" s="101"/>
      <c r="QD17" s="101"/>
      <c r="QE17" s="101"/>
      <c r="QF17" s="101"/>
      <c r="QG17" s="101"/>
      <c r="QH17" s="101"/>
      <c r="QI17" s="101"/>
      <c r="QJ17" s="101"/>
      <c r="QK17" s="101"/>
      <c r="QL17" s="101"/>
      <c r="QM17" s="101"/>
      <c r="QN17" s="101"/>
      <c r="QO17" s="101"/>
      <c r="QP17" s="101"/>
      <c r="QQ17" s="101"/>
      <c r="QR17" s="101"/>
      <c r="QS17" s="101"/>
      <c r="QT17" s="101"/>
      <c r="QU17" s="101"/>
      <c r="QV17" s="101"/>
      <c r="QW17" s="101"/>
      <c r="QX17" s="101"/>
      <c r="QY17" s="101"/>
      <c r="QZ17" s="101"/>
      <c r="RA17" s="101"/>
      <c r="RB17" s="101"/>
      <c r="RC17" s="101"/>
      <c r="RD17" s="101"/>
      <c r="RE17" s="101"/>
      <c r="RF17" s="101"/>
      <c r="RG17" s="101"/>
      <c r="RH17" s="101"/>
      <c r="RI17" s="101"/>
      <c r="RJ17" s="101"/>
      <c r="RK17" s="101"/>
      <c r="RL17" s="101"/>
      <c r="RM17" s="101"/>
      <c r="RN17" s="101"/>
      <c r="RO17" s="101"/>
      <c r="RP17" s="101"/>
      <c r="RQ17" s="101"/>
      <c r="RR17" s="101"/>
      <c r="RS17" s="101"/>
      <c r="RT17" s="101"/>
      <c r="RU17" s="101"/>
      <c r="RV17" s="101"/>
      <c r="RW17" s="101"/>
      <c r="RX17" s="101"/>
      <c r="RY17" s="101"/>
      <c r="RZ17" s="101"/>
      <c r="SA17" s="101"/>
      <c r="SB17" s="101"/>
      <c r="SC17" s="101"/>
      <c r="SD17" s="101"/>
      <c r="SE17" s="101"/>
      <c r="SF17" s="101"/>
      <c r="SG17" s="101"/>
      <c r="SH17" s="101"/>
      <c r="SI17" s="101"/>
      <c r="SJ17" s="101"/>
      <c r="SK17" s="101"/>
      <c r="SL17" s="101"/>
      <c r="SM17" s="101"/>
      <c r="SN17" s="101"/>
      <c r="SO17" s="101"/>
      <c r="SP17" s="101"/>
      <c r="SQ17" s="101"/>
      <c r="SR17" s="101"/>
      <c r="SS17" s="101"/>
      <c r="ST17" s="101"/>
      <c r="SU17" s="101"/>
      <c r="SV17" s="101"/>
      <c r="SW17" s="101"/>
      <c r="SX17" s="101"/>
      <c r="SY17" s="101"/>
      <c r="SZ17" s="101"/>
      <c r="TA17" s="101"/>
      <c r="TB17" s="101"/>
      <c r="TC17" s="101"/>
      <c r="TD17" s="101"/>
      <c r="TE17" s="101"/>
      <c r="TF17" s="101"/>
      <c r="TG17" s="101"/>
      <c r="TH17" s="101"/>
      <c r="TI17" s="101"/>
      <c r="TJ17" s="101"/>
      <c r="TK17" s="101"/>
      <c r="TL17" s="101"/>
      <c r="TM17" s="101"/>
      <c r="TN17" s="101"/>
      <c r="TO17" s="101"/>
      <c r="TP17" s="101"/>
      <c r="TQ17" s="101"/>
      <c r="TR17" s="101"/>
      <c r="TS17" s="101"/>
      <c r="TT17" s="101"/>
      <c r="TU17" s="101"/>
      <c r="TV17" s="101"/>
      <c r="TW17" s="101"/>
      <c r="TX17" s="101"/>
      <c r="TY17" s="101"/>
      <c r="TZ17" s="101"/>
      <c r="UA17" s="101"/>
      <c r="UB17" s="101"/>
      <c r="UC17" s="101"/>
      <c r="UD17" s="101"/>
      <c r="UE17" s="101"/>
      <c r="UF17" s="101"/>
      <c r="UG17" s="101"/>
      <c r="UH17" s="101"/>
      <c r="UI17" s="101"/>
      <c r="UJ17" s="101"/>
      <c r="UK17" s="101"/>
      <c r="UL17" s="101"/>
      <c r="UM17" s="101"/>
      <c r="UN17" s="101"/>
      <c r="UO17" s="101"/>
      <c r="UP17" s="101"/>
      <c r="UQ17" s="101"/>
      <c r="UR17" s="101"/>
      <c r="US17" s="101"/>
      <c r="UT17" s="101"/>
      <c r="UU17" s="101"/>
      <c r="UV17" s="101"/>
      <c r="UW17" s="101"/>
      <c r="UX17" s="101"/>
      <c r="UY17" s="101"/>
      <c r="UZ17" s="101"/>
      <c r="VA17" s="101"/>
      <c r="VB17" s="101"/>
      <c r="VC17" s="101"/>
      <c r="VD17" s="101"/>
      <c r="VE17" s="101"/>
      <c r="VF17" s="101"/>
      <c r="VG17" s="101"/>
      <c r="VH17" s="101"/>
      <c r="VI17" s="101"/>
      <c r="VJ17" s="101"/>
      <c r="VK17" s="101"/>
      <c r="VL17" s="101"/>
      <c r="VM17" s="101"/>
      <c r="VN17" s="101"/>
      <c r="VO17" s="101"/>
      <c r="VP17" s="101"/>
      <c r="VQ17" s="101"/>
      <c r="VR17" s="101"/>
      <c r="VS17" s="101"/>
      <c r="VT17" s="101"/>
      <c r="VU17" s="101"/>
      <c r="VV17" s="101"/>
      <c r="VW17" s="101"/>
      <c r="VX17" s="101"/>
      <c r="VY17" s="101"/>
      <c r="VZ17" s="101"/>
      <c r="WA17" s="101"/>
      <c r="WB17" s="101"/>
      <c r="WC17" s="101"/>
      <c r="WD17" s="101"/>
      <c r="WE17" s="101"/>
      <c r="WF17" s="101"/>
      <c r="WG17" s="101"/>
      <c r="WH17" s="101"/>
      <c r="WI17" s="101"/>
      <c r="WJ17" s="101"/>
      <c r="WK17" s="101"/>
      <c r="WL17" s="101"/>
      <c r="WM17" s="101"/>
      <c r="WN17" s="101"/>
      <c r="WO17" s="101"/>
      <c r="WP17" s="101"/>
      <c r="WQ17" s="101"/>
      <c r="WR17" s="101"/>
      <c r="WS17" s="101"/>
      <c r="WT17" s="101"/>
      <c r="WU17" s="101"/>
      <c r="WV17" s="101"/>
      <c r="WW17" s="101"/>
      <c r="WX17" s="101"/>
      <c r="WY17" s="101"/>
      <c r="WZ17" s="101"/>
      <c r="XA17" s="101"/>
      <c r="XB17" s="101"/>
      <c r="XC17" s="101"/>
      <c r="XD17" s="101"/>
      <c r="XE17" s="101"/>
      <c r="XF17" s="101"/>
      <c r="XG17" s="101"/>
      <c r="XH17" s="101"/>
      <c r="XI17" s="101"/>
      <c r="XJ17" s="101"/>
      <c r="XK17" s="101"/>
      <c r="XL17" s="101"/>
      <c r="XM17" s="101"/>
      <c r="XN17" s="101"/>
      <c r="XO17" s="101"/>
      <c r="XP17" s="101"/>
      <c r="XQ17" s="101"/>
      <c r="XR17" s="101"/>
      <c r="XS17" s="101"/>
      <c r="XT17" s="101"/>
      <c r="XU17" s="101"/>
      <c r="XV17" s="101"/>
      <c r="XW17" s="101"/>
      <c r="XX17" s="101"/>
      <c r="XY17" s="101"/>
      <c r="XZ17" s="101"/>
      <c r="YA17" s="101"/>
      <c r="YB17" s="101"/>
      <c r="YC17" s="101"/>
      <c r="YD17" s="101"/>
      <c r="YE17" s="101"/>
      <c r="YF17" s="101"/>
      <c r="YG17" s="101"/>
      <c r="YH17" s="101"/>
      <c r="YI17" s="101"/>
      <c r="YJ17" s="101"/>
      <c r="YK17" s="101"/>
      <c r="YL17" s="101"/>
      <c r="YM17" s="101"/>
      <c r="YN17" s="101"/>
      <c r="YO17" s="101"/>
      <c r="YP17" s="101"/>
      <c r="YQ17" s="101"/>
      <c r="YR17" s="101"/>
      <c r="YS17" s="101"/>
      <c r="YT17" s="101"/>
      <c r="YU17" s="101"/>
      <c r="YV17" s="101"/>
      <c r="YW17" s="101"/>
      <c r="YX17" s="101"/>
      <c r="YY17" s="101"/>
      <c r="YZ17" s="101"/>
      <c r="ZA17" s="101"/>
      <c r="ZB17" s="101"/>
      <c r="ZC17" s="101"/>
      <c r="ZD17" s="101"/>
      <c r="ZE17" s="101"/>
      <c r="ZF17" s="101"/>
      <c r="ZG17" s="101"/>
      <c r="ZH17" s="101"/>
      <c r="ZI17" s="101"/>
      <c r="ZJ17" s="101"/>
      <c r="ZK17" s="101"/>
      <c r="ZL17" s="101"/>
      <c r="ZM17" s="101"/>
      <c r="ZN17" s="101"/>
      <c r="ZO17" s="101"/>
      <c r="ZP17" s="101"/>
      <c r="ZQ17" s="101"/>
      <c r="ZR17" s="101"/>
      <c r="ZS17" s="101"/>
      <c r="ZT17" s="101"/>
      <c r="ZU17" s="101"/>
      <c r="ZV17" s="101"/>
      <c r="ZW17" s="101"/>
      <c r="ZX17" s="101"/>
      <c r="ZY17" s="101"/>
      <c r="ZZ17" s="101"/>
      <c r="AAA17" s="101"/>
      <c r="AAB17" s="101"/>
      <c r="AAC17" s="101"/>
      <c r="AAD17" s="101"/>
      <c r="AAE17" s="101"/>
      <c r="AAF17" s="101"/>
      <c r="AAG17" s="101"/>
      <c r="AAH17" s="101"/>
      <c r="AAI17" s="101"/>
      <c r="AAJ17" s="101"/>
      <c r="AAK17" s="101"/>
      <c r="AAL17" s="101"/>
      <c r="AAM17" s="101"/>
      <c r="AAN17" s="101"/>
      <c r="AAO17" s="101"/>
      <c r="AAP17" s="101"/>
      <c r="AAQ17" s="101"/>
      <c r="AAR17" s="101"/>
      <c r="AAS17" s="101"/>
      <c r="AAT17" s="101"/>
      <c r="AAU17" s="101"/>
      <c r="AAV17" s="101"/>
      <c r="AAW17" s="101"/>
      <c r="AAX17" s="101"/>
      <c r="AAY17" s="101"/>
      <c r="AAZ17" s="101"/>
      <c r="ABA17" s="101"/>
      <c r="ABB17" s="101"/>
      <c r="ABC17" s="101"/>
      <c r="ABD17" s="101"/>
      <c r="ABE17" s="101"/>
      <c r="ABF17" s="101"/>
      <c r="ABG17" s="101"/>
      <c r="ABH17" s="101"/>
      <c r="ABI17" s="101"/>
      <c r="ABJ17" s="101"/>
      <c r="ABK17" s="101"/>
      <c r="ABL17" s="101"/>
      <c r="ABM17" s="101"/>
      <c r="ABN17" s="101"/>
      <c r="ABO17" s="101"/>
      <c r="ABP17" s="101"/>
      <c r="ABQ17" s="101"/>
      <c r="ABR17" s="101"/>
      <c r="ABS17" s="101"/>
      <c r="ABT17" s="101"/>
      <c r="ABU17" s="101"/>
      <c r="ABV17" s="101"/>
      <c r="ABW17" s="101"/>
      <c r="ABX17" s="101"/>
      <c r="ABY17" s="101"/>
      <c r="ABZ17" s="101"/>
      <c r="ACA17" s="101"/>
      <c r="ACB17" s="101"/>
      <c r="ACC17" s="101"/>
      <c r="ACD17" s="101"/>
      <c r="ACE17" s="101"/>
      <c r="ACF17" s="101"/>
      <c r="ACG17" s="101"/>
      <c r="ACH17" s="101"/>
      <c r="ACI17" s="101"/>
      <c r="ACJ17" s="101"/>
      <c r="ACK17" s="101"/>
      <c r="ACL17" s="101"/>
      <c r="ACM17" s="101"/>
      <c r="ACN17" s="101"/>
      <c r="ACO17" s="101"/>
      <c r="ACP17" s="101"/>
      <c r="ACQ17" s="101"/>
      <c r="ACR17" s="101"/>
      <c r="ACS17" s="101"/>
      <c r="ACT17" s="101"/>
      <c r="ACU17" s="101"/>
      <c r="ACV17" s="101"/>
      <c r="ACW17" s="101"/>
      <c r="ACX17" s="101"/>
      <c r="ACY17" s="101"/>
      <c r="ACZ17" s="101"/>
      <c r="ADA17" s="101"/>
      <c r="ADB17" s="101"/>
      <c r="ADC17" s="101"/>
      <c r="ADD17" s="101"/>
      <c r="ADE17" s="101"/>
      <c r="ADF17" s="101"/>
      <c r="ADG17" s="101"/>
      <c r="ADH17" s="101"/>
      <c r="ADI17" s="101"/>
      <c r="ADJ17" s="101"/>
      <c r="ADK17" s="101"/>
      <c r="ADL17" s="101"/>
      <c r="ADM17" s="101"/>
      <c r="ADN17" s="101"/>
      <c r="ADO17" s="101"/>
      <c r="ADP17" s="101"/>
      <c r="ADQ17" s="101"/>
      <c r="ADR17" s="101"/>
      <c r="ADS17" s="101"/>
      <c r="ADT17" s="101"/>
      <c r="ADU17" s="101"/>
      <c r="ADV17" s="101"/>
      <c r="ADW17" s="101"/>
      <c r="ADX17" s="101"/>
      <c r="ADY17" s="101"/>
      <c r="ADZ17" s="101"/>
      <c r="AEA17" s="101"/>
      <c r="AEB17" s="101"/>
      <c r="AEC17" s="101"/>
      <c r="AED17" s="101"/>
      <c r="AEE17" s="101"/>
      <c r="AEF17" s="101"/>
      <c r="AEG17" s="101"/>
      <c r="AEH17" s="101"/>
      <c r="AEI17" s="101"/>
      <c r="AEJ17" s="101"/>
      <c r="AEK17" s="101"/>
      <c r="AEL17" s="101"/>
      <c r="AEM17" s="101"/>
      <c r="AEN17" s="101"/>
      <c r="AEO17" s="101"/>
      <c r="AEP17" s="101"/>
      <c r="AEQ17" s="101"/>
      <c r="AER17" s="101"/>
      <c r="AES17" s="101"/>
      <c r="AET17" s="101"/>
      <c r="AEU17" s="101"/>
      <c r="AEV17" s="101"/>
      <c r="AEW17" s="101"/>
      <c r="AEX17" s="101"/>
      <c r="AEY17" s="101"/>
      <c r="AEZ17" s="101"/>
      <c r="AFA17" s="101"/>
      <c r="AFB17" s="101"/>
      <c r="AFC17" s="101"/>
      <c r="AFD17" s="101"/>
      <c r="AFE17" s="101"/>
      <c r="AFF17" s="101"/>
      <c r="AFG17" s="101"/>
      <c r="AFH17" s="101"/>
      <c r="AFI17" s="101"/>
      <c r="AFJ17" s="101"/>
      <c r="AFK17" s="101"/>
      <c r="AFL17" s="101"/>
      <c r="AFM17" s="101"/>
      <c r="AFN17" s="101"/>
      <c r="AFO17" s="101"/>
      <c r="AFP17" s="101"/>
      <c r="AFQ17" s="101"/>
      <c r="AFR17" s="101"/>
      <c r="AFS17" s="101"/>
      <c r="AFT17" s="101"/>
      <c r="AFU17" s="101"/>
      <c r="AFV17" s="101"/>
      <c r="AFW17" s="101"/>
      <c r="AFX17" s="101"/>
      <c r="AFY17" s="101"/>
      <c r="AFZ17" s="101"/>
      <c r="AGA17" s="101"/>
      <c r="AGB17" s="101"/>
      <c r="AGC17" s="101"/>
      <c r="AGD17" s="101"/>
      <c r="AGE17" s="101"/>
      <c r="AGF17" s="101"/>
      <c r="AGG17" s="101"/>
      <c r="AGH17" s="101"/>
      <c r="AGI17" s="101"/>
      <c r="AGJ17" s="101"/>
      <c r="AGK17" s="101"/>
      <c r="AGL17" s="101"/>
      <c r="AGM17" s="101"/>
      <c r="AGN17" s="101"/>
      <c r="AGO17" s="101"/>
      <c r="AGP17" s="101"/>
      <c r="AGQ17" s="101"/>
      <c r="AGR17" s="101"/>
      <c r="AGS17" s="101"/>
      <c r="AGT17" s="101"/>
      <c r="AGU17" s="101"/>
      <c r="AGV17" s="101"/>
      <c r="AGW17" s="101"/>
      <c r="AGX17" s="101"/>
      <c r="AGY17" s="101"/>
      <c r="AGZ17" s="101"/>
      <c r="AHA17" s="101"/>
      <c r="AHB17" s="101"/>
      <c r="AHC17" s="101"/>
      <c r="AHD17" s="101"/>
      <c r="AHE17" s="101"/>
      <c r="AHF17" s="101"/>
      <c r="AHG17" s="101"/>
      <c r="AHH17" s="101"/>
      <c r="AHI17" s="101"/>
      <c r="AHJ17" s="101"/>
      <c r="AHK17" s="101"/>
      <c r="AHL17" s="101"/>
      <c r="AHM17" s="101"/>
      <c r="AHN17" s="101"/>
      <c r="AHO17" s="101"/>
      <c r="AHP17" s="101"/>
      <c r="AHQ17" s="101"/>
      <c r="AHR17" s="101"/>
      <c r="AHS17" s="101"/>
      <c r="AHT17" s="101"/>
      <c r="AHU17" s="101"/>
      <c r="AHV17" s="101"/>
      <c r="AHW17" s="101"/>
      <c r="AHX17" s="101"/>
      <c r="AHY17" s="101"/>
      <c r="AHZ17" s="101"/>
      <c r="AIA17" s="101"/>
      <c r="AIB17" s="101"/>
      <c r="AIC17" s="101"/>
      <c r="AID17" s="101"/>
      <c r="AIE17" s="101"/>
      <c r="AIF17" s="101"/>
      <c r="AIG17" s="101"/>
      <c r="AIH17" s="101"/>
      <c r="AII17" s="101"/>
      <c r="AIJ17" s="101"/>
      <c r="AIK17" s="101"/>
      <c r="AIL17" s="101"/>
      <c r="AIM17" s="101"/>
      <c r="AIN17" s="101"/>
      <c r="AIO17" s="101"/>
      <c r="AIP17" s="101"/>
      <c r="AIQ17" s="101"/>
      <c r="AIR17" s="101"/>
      <c r="AIS17" s="101"/>
      <c r="AIT17" s="101"/>
      <c r="AIU17" s="101"/>
      <c r="AIV17" s="101"/>
      <c r="AIW17" s="101"/>
      <c r="AIX17" s="101"/>
      <c r="AIY17" s="101"/>
      <c r="AIZ17" s="101"/>
      <c r="AJA17" s="101"/>
      <c r="AJB17" s="101"/>
      <c r="AJC17" s="101"/>
      <c r="AJD17" s="101"/>
      <c r="AJE17" s="101"/>
      <c r="AJF17" s="101"/>
      <c r="AJG17" s="101"/>
      <c r="AJH17" s="101"/>
      <c r="AJI17" s="101"/>
      <c r="AJJ17" s="101"/>
      <c r="AJK17" s="101"/>
      <c r="AJL17" s="101"/>
      <c r="AJM17" s="101"/>
      <c r="AJN17" s="101"/>
      <c r="AJO17" s="101"/>
      <c r="AJP17" s="101"/>
      <c r="AJQ17" s="101"/>
      <c r="AJR17" s="101"/>
      <c r="AJS17" s="101"/>
      <c r="AJT17" s="101"/>
      <c r="AJU17" s="101"/>
      <c r="AJV17" s="101"/>
      <c r="AJW17" s="101"/>
      <c r="AJX17" s="101"/>
      <c r="AJY17" s="101"/>
      <c r="AJZ17" s="101"/>
      <c r="AKA17" s="101"/>
      <c r="AKB17" s="101"/>
      <c r="AKC17" s="101"/>
      <c r="AKD17" s="101"/>
      <c r="AKE17" s="101"/>
      <c r="AKF17" s="101"/>
      <c r="AKG17" s="101"/>
      <c r="AKH17" s="101"/>
      <c r="AKI17" s="101"/>
      <c r="AKJ17" s="101"/>
      <c r="AKK17" s="101"/>
      <c r="AKL17" s="101"/>
      <c r="AKM17" s="101"/>
      <c r="AKN17" s="101"/>
      <c r="AKO17" s="101"/>
      <c r="AKP17" s="101"/>
      <c r="AKQ17" s="101"/>
      <c r="AKR17" s="101"/>
      <c r="AKS17" s="101"/>
      <c r="AKT17" s="101"/>
      <c r="AKU17" s="101"/>
      <c r="AKV17" s="101"/>
      <c r="AKW17" s="101"/>
      <c r="AKX17" s="101"/>
      <c r="AKY17" s="101"/>
      <c r="AKZ17" s="101"/>
      <c r="ALA17" s="101"/>
      <c r="ALB17" s="101"/>
      <c r="ALC17" s="101"/>
      <c r="ALD17" s="101"/>
      <c r="ALE17" s="101"/>
      <c r="ALF17" s="101"/>
      <c r="ALG17" s="101"/>
      <c r="ALH17" s="101"/>
      <c r="ALI17" s="101"/>
      <c r="ALJ17" s="101"/>
      <c r="ALK17" s="101"/>
      <c r="ALL17" s="101"/>
      <c r="ALM17" s="101"/>
      <c r="ALN17" s="101"/>
      <c r="ALO17" s="101"/>
      <c r="ALP17" s="101"/>
      <c r="ALQ17" s="101"/>
      <c r="ALR17" s="101"/>
      <c r="ALS17" s="101"/>
      <c r="ALT17" s="101"/>
      <c r="ALU17" s="101"/>
      <c r="ALV17" s="101"/>
      <c r="ALW17" s="101"/>
      <c r="ALX17" s="101"/>
      <c r="ALY17" s="101"/>
      <c r="ALZ17" s="101"/>
      <c r="AMA17" s="101"/>
      <c r="AMB17" s="101"/>
      <c r="AMC17" s="101"/>
      <c r="AMD17" s="101"/>
      <c r="AME17" s="101"/>
      <c r="AMF17" s="101"/>
      <c r="AMG17" s="101"/>
      <c r="AMH17" s="101"/>
      <c r="AMI17" s="101"/>
      <c r="AMJ17" s="101"/>
      <c r="AMK17" s="101"/>
      <c r="AML17" s="101"/>
      <c r="AMM17" s="101"/>
      <c r="AMN17" s="101"/>
      <c r="AMO17" s="101"/>
      <c r="AMP17" s="101"/>
      <c r="AMQ17" s="101"/>
      <c r="AMR17" s="101"/>
      <c r="AMS17" s="101"/>
      <c r="AMT17" s="101"/>
      <c r="AMU17" s="101"/>
      <c r="AMV17" s="101"/>
      <c r="AMW17" s="101"/>
      <c r="AMX17" s="101"/>
      <c r="AMY17" s="101"/>
      <c r="AMZ17" s="101"/>
      <c r="ANA17" s="101"/>
      <c r="ANB17" s="101"/>
      <c r="ANC17" s="101"/>
      <c r="AND17" s="101"/>
      <c r="ANE17" s="101"/>
      <c r="ANF17" s="101"/>
      <c r="ANG17" s="101"/>
      <c r="ANH17" s="101"/>
      <c r="ANI17" s="101"/>
      <c r="ANJ17" s="101"/>
      <c r="ANK17" s="101"/>
      <c r="ANL17" s="101"/>
      <c r="ANM17" s="101"/>
      <c r="ANN17" s="101"/>
      <c r="ANO17" s="101"/>
      <c r="ANP17" s="101"/>
      <c r="ANQ17" s="101"/>
      <c r="ANR17" s="101"/>
      <c r="ANS17" s="101"/>
      <c r="ANT17" s="101"/>
      <c r="ANU17" s="101"/>
      <c r="ANV17" s="101"/>
      <c r="ANW17" s="101"/>
      <c r="ANX17" s="101"/>
      <c r="ANY17" s="101"/>
      <c r="ANZ17" s="101"/>
      <c r="AOA17" s="101"/>
      <c r="AOB17" s="101"/>
      <c r="AOC17" s="101"/>
      <c r="AOD17" s="101"/>
      <c r="AOE17" s="101"/>
      <c r="AOF17" s="101"/>
      <c r="AOG17" s="101"/>
      <c r="AOH17" s="101"/>
      <c r="AOI17" s="101"/>
      <c r="AOJ17" s="101"/>
      <c r="AOK17" s="101"/>
      <c r="AOL17" s="101"/>
      <c r="AOM17" s="101"/>
      <c r="AON17" s="101"/>
      <c r="AOO17" s="101"/>
      <c r="AOP17" s="101"/>
      <c r="AOQ17" s="101"/>
      <c r="AOR17" s="101"/>
      <c r="AOS17" s="101"/>
      <c r="AOT17" s="101"/>
      <c r="AOU17" s="101"/>
      <c r="AOV17" s="101"/>
      <c r="AOW17" s="101"/>
      <c r="AOX17" s="101"/>
      <c r="AOY17" s="101"/>
      <c r="AOZ17" s="101"/>
      <c r="APA17" s="101"/>
      <c r="APB17" s="101"/>
      <c r="APC17" s="101"/>
      <c r="APD17" s="101"/>
      <c r="APE17" s="101"/>
      <c r="APF17" s="101"/>
      <c r="APG17" s="101"/>
      <c r="APH17" s="101"/>
      <c r="API17" s="101"/>
      <c r="APJ17" s="101"/>
      <c r="APK17" s="101"/>
      <c r="APL17" s="101"/>
      <c r="APM17" s="101"/>
      <c r="APN17" s="101"/>
      <c r="APO17" s="101"/>
      <c r="APP17" s="101"/>
      <c r="APQ17" s="101"/>
      <c r="APR17" s="101"/>
      <c r="APS17" s="101"/>
      <c r="APT17" s="101"/>
      <c r="APU17" s="101"/>
      <c r="APV17" s="101"/>
      <c r="APW17" s="101"/>
      <c r="APX17" s="101"/>
      <c r="APY17" s="101"/>
      <c r="APZ17" s="101"/>
      <c r="AQA17" s="101"/>
      <c r="AQB17" s="101"/>
      <c r="AQC17" s="101"/>
      <c r="AQD17" s="101"/>
      <c r="AQE17" s="101"/>
      <c r="AQF17" s="101"/>
      <c r="AQG17" s="101"/>
      <c r="AQH17" s="101"/>
      <c r="AQI17" s="101"/>
      <c r="AQJ17" s="101"/>
      <c r="AQK17" s="101"/>
      <c r="AQL17" s="101"/>
      <c r="AQM17" s="101"/>
      <c r="AQN17" s="101"/>
      <c r="AQO17" s="101"/>
      <c r="AQP17" s="101"/>
      <c r="AQQ17" s="101"/>
      <c r="AQR17" s="101"/>
      <c r="AQS17" s="101"/>
      <c r="AQT17" s="101"/>
      <c r="AQU17" s="101"/>
      <c r="AQV17" s="101"/>
      <c r="AQW17" s="101"/>
      <c r="AQX17" s="101"/>
      <c r="AQY17" s="101"/>
      <c r="AQZ17" s="101"/>
      <c r="ARA17" s="101"/>
      <c r="ARB17" s="101"/>
      <c r="ARC17" s="101"/>
      <c r="ARD17" s="101"/>
      <c r="ARE17" s="101"/>
      <c r="ARF17" s="101"/>
      <c r="ARG17" s="101"/>
      <c r="ARH17" s="101"/>
      <c r="ARI17" s="101"/>
      <c r="ARJ17" s="101"/>
      <c r="ARK17" s="101"/>
      <c r="ARL17" s="101"/>
      <c r="ARM17" s="101"/>
      <c r="ARN17" s="101"/>
      <c r="ARO17" s="101"/>
      <c r="ARP17" s="101"/>
      <c r="ARQ17" s="101"/>
      <c r="ARR17" s="101"/>
      <c r="ARS17" s="101"/>
      <c r="ART17" s="101"/>
      <c r="ARU17" s="101"/>
      <c r="ARV17" s="101"/>
      <c r="ARW17" s="101"/>
      <c r="ARX17" s="101"/>
      <c r="ARY17" s="101"/>
      <c r="ARZ17" s="101"/>
      <c r="ASA17" s="101"/>
      <c r="ASB17" s="101"/>
      <c r="ASC17" s="101"/>
      <c r="ASD17" s="101"/>
      <c r="ASE17" s="101"/>
      <c r="ASF17" s="101"/>
      <c r="ASG17" s="101"/>
      <c r="ASH17" s="101"/>
      <c r="ASI17" s="101"/>
      <c r="ASJ17" s="101"/>
      <c r="ASK17" s="101"/>
      <c r="ASL17" s="101"/>
      <c r="ASM17" s="101"/>
      <c r="ASN17" s="101"/>
      <c r="ASO17" s="101"/>
      <c r="ASP17" s="101"/>
      <c r="ASQ17" s="101"/>
      <c r="ASR17" s="101"/>
      <c r="ASS17" s="101"/>
      <c r="AST17" s="101"/>
      <c r="ASU17" s="101"/>
      <c r="ASV17" s="101"/>
      <c r="ASW17" s="101"/>
      <c r="ASX17" s="101"/>
      <c r="ASY17" s="101"/>
      <c r="ASZ17" s="101"/>
      <c r="ATA17" s="101"/>
      <c r="ATB17" s="101"/>
      <c r="ATC17" s="101"/>
      <c r="ATD17" s="101"/>
      <c r="ATE17" s="101"/>
      <c r="ATF17" s="101"/>
      <c r="ATG17" s="101"/>
      <c r="ATH17" s="101"/>
      <c r="ATI17" s="101"/>
      <c r="ATJ17" s="101"/>
      <c r="ATK17" s="101"/>
      <c r="ATL17" s="101"/>
      <c r="ATM17" s="101"/>
      <c r="ATN17" s="101"/>
      <c r="ATO17" s="101"/>
      <c r="ATP17" s="101"/>
      <c r="ATQ17" s="101"/>
      <c r="ATR17" s="101"/>
      <c r="ATS17" s="101"/>
      <c r="ATT17" s="101"/>
      <c r="ATU17" s="101"/>
      <c r="ATV17" s="101"/>
      <c r="ATW17" s="101"/>
      <c r="ATX17" s="101"/>
      <c r="ATY17" s="101"/>
      <c r="ATZ17" s="101"/>
      <c r="AUA17" s="101"/>
      <c r="AUB17" s="101"/>
      <c r="AUC17" s="101"/>
      <c r="AUD17" s="101"/>
      <c r="AUE17" s="101"/>
      <c r="AUF17" s="101"/>
      <c r="AUG17" s="101"/>
      <c r="AUH17" s="101"/>
      <c r="AUI17" s="101"/>
      <c r="AUJ17" s="101"/>
      <c r="AUK17" s="101"/>
      <c r="AUL17" s="101"/>
      <c r="AUM17" s="101"/>
      <c r="AUN17" s="101"/>
      <c r="AUO17" s="101"/>
      <c r="AUP17" s="101"/>
      <c r="AUQ17" s="101"/>
      <c r="AUR17" s="101"/>
      <c r="AUS17" s="101"/>
      <c r="AUT17" s="101"/>
      <c r="AUU17" s="101"/>
      <c r="AUV17" s="101"/>
      <c r="AUW17" s="101"/>
      <c r="AUX17" s="101"/>
      <c r="AUY17" s="101"/>
      <c r="AUZ17" s="101"/>
      <c r="AVA17" s="101"/>
      <c r="AVB17" s="101"/>
      <c r="AVC17" s="101"/>
      <c r="AVD17" s="101"/>
      <c r="AVE17" s="101"/>
      <c r="AVF17" s="101"/>
      <c r="AVG17" s="101"/>
      <c r="AVH17" s="101"/>
      <c r="AVI17" s="101"/>
      <c r="AVJ17" s="101"/>
      <c r="AVK17" s="101"/>
      <c r="AVL17" s="101"/>
      <c r="AVM17" s="101"/>
      <c r="AVN17" s="101"/>
      <c r="AVO17" s="101"/>
      <c r="AVP17" s="101"/>
      <c r="AVQ17" s="101"/>
      <c r="AVR17" s="101"/>
      <c r="AVS17" s="101"/>
      <c r="AVT17" s="101"/>
      <c r="AVU17" s="101"/>
      <c r="AVV17" s="101"/>
      <c r="AVW17" s="101"/>
      <c r="AVX17" s="101"/>
      <c r="AVY17" s="101"/>
      <c r="AVZ17" s="101"/>
      <c r="AWA17" s="101"/>
      <c r="AWB17" s="101"/>
      <c r="AWC17" s="101"/>
      <c r="AWD17" s="101"/>
      <c r="AWE17" s="101"/>
      <c r="AWF17" s="101"/>
      <c r="AWG17" s="101"/>
      <c r="AWH17" s="101"/>
      <c r="AWI17" s="101"/>
      <c r="AWJ17" s="101"/>
      <c r="AWK17" s="101"/>
      <c r="AWL17" s="101"/>
      <c r="AWM17" s="101"/>
      <c r="AWN17" s="101"/>
      <c r="AWO17" s="101"/>
      <c r="AWP17" s="101"/>
      <c r="AWQ17" s="101"/>
      <c r="AWR17" s="101"/>
      <c r="AWS17" s="101"/>
      <c r="AWT17" s="101"/>
      <c r="AWU17" s="101"/>
      <c r="AWV17" s="101"/>
      <c r="AWW17" s="101"/>
      <c r="AWX17" s="101"/>
      <c r="AWY17" s="101"/>
      <c r="AWZ17" s="101"/>
      <c r="AXA17" s="101"/>
      <c r="AXB17" s="101"/>
      <c r="AXC17" s="101"/>
      <c r="AXD17" s="101"/>
      <c r="AXE17" s="101"/>
      <c r="AXF17" s="101"/>
      <c r="AXG17" s="101"/>
      <c r="AXH17" s="101"/>
      <c r="AXI17" s="101"/>
      <c r="AXJ17" s="101"/>
      <c r="AXK17" s="101"/>
      <c r="AXL17" s="101"/>
      <c r="AXM17" s="101"/>
      <c r="AXN17" s="101"/>
      <c r="AXO17" s="101"/>
      <c r="AXP17" s="101"/>
      <c r="AXQ17" s="101"/>
      <c r="AXR17" s="101"/>
      <c r="AXS17" s="101"/>
      <c r="AXT17" s="101"/>
      <c r="AXU17" s="101"/>
      <c r="AXV17" s="101"/>
      <c r="AXW17" s="101"/>
      <c r="AXX17" s="101"/>
      <c r="AXY17" s="101"/>
      <c r="AXZ17" s="101"/>
      <c r="AYA17" s="101"/>
      <c r="AYB17" s="101"/>
      <c r="AYC17" s="101"/>
      <c r="AYD17" s="101"/>
      <c r="AYE17" s="101"/>
      <c r="AYF17" s="101"/>
      <c r="AYG17" s="101"/>
      <c r="AYH17" s="101"/>
      <c r="AYI17" s="101"/>
      <c r="AYJ17" s="101"/>
      <c r="AYK17" s="101"/>
      <c r="AYL17" s="101"/>
      <c r="AYM17" s="101"/>
      <c r="AYN17" s="101"/>
      <c r="AYO17" s="101"/>
      <c r="AYP17" s="101"/>
      <c r="AYQ17" s="101"/>
      <c r="AYR17" s="101"/>
      <c r="AYS17" s="101"/>
      <c r="AYT17" s="101"/>
      <c r="AYU17" s="101"/>
      <c r="AYV17" s="101"/>
      <c r="AYW17" s="101"/>
      <c r="AYX17" s="101"/>
      <c r="AYY17" s="101"/>
      <c r="AYZ17" s="101"/>
      <c r="AZA17" s="101"/>
      <c r="AZB17" s="101"/>
      <c r="AZC17" s="101"/>
      <c r="AZD17" s="101"/>
      <c r="AZE17" s="101"/>
      <c r="AZF17" s="101"/>
      <c r="AZG17" s="101"/>
      <c r="AZH17" s="101"/>
      <c r="AZI17" s="101"/>
      <c r="AZJ17" s="101"/>
      <c r="AZK17" s="101"/>
      <c r="AZL17" s="101"/>
      <c r="AZM17" s="101"/>
      <c r="AZN17" s="101"/>
      <c r="AZO17" s="101"/>
      <c r="AZP17" s="101"/>
      <c r="AZQ17" s="101"/>
      <c r="AZR17" s="101"/>
      <c r="AZS17" s="101"/>
      <c r="AZT17" s="101"/>
      <c r="AZU17" s="101"/>
      <c r="AZV17" s="101"/>
      <c r="AZW17" s="101"/>
      <c r="AZX17" s="101"/>
      <c r="AZY17" s="101"/>
      <c r="AZZ17" s="101"/>
      <c r="BAA17" s="101"/>
      <c r="BAB17" s="101"/>
      <c r="BAC17" s="101"/>
      <c r="BAD17" s="101"/>
      <c r="BAE17" s="101"/>
      <c r="BAF17" s="101"/>
      <c r="BAG17" s="101"/>
      <c r="BAH17" s="101"/>
      <c r="BAI17" s="101"/>
      <c r="BAJ17" s="101"/>
      <c r="BAK17" s="101"/>
      <c r="BAL17" s="101"/>
      <c r="BAM17" s="101"/>
      <c r="BAN17" s="101"/>
      <c r="BAO17" s="101"/>
      <c r="BAP17" s="101"/>
      <c r="BAQ17" s="101"/>
      <c r="BAR17" s="101"/>
      <c r="BAS17" s="101"/>
      <c r="BAT17" s="101"/>
      <c r="BAU17" s="101"/>
      <c r="BAV17" s="101"/>
      <c r="BAW17" s="101"/>
      <c r="BAX17" s="101"/>
      <c r="BAY17" s="101"/>
      <c r="BAZ17" s="101"/>
      <c r="BBA17" s="101"/>
      <c r="BBB17" s="101"/>
      <c r="BBC17" s="101"/>
      <c r="BBD17" s="101"/>
      <c r="BBE17" s="101"/>
      <c r="BBF17" s="101"/>
      <c r="BBG17" s="101"/>
      <c r="BBH17" s="101"/>
      <c r="BBI17" s="101"/>
      <c r="BBJ17" s="101"/>
      <c r="BBK17" s="101"/>
      <c r="BBL17" s="101"/>
      <c r="BBM17" s="101"/>
      <c r="BBN17" s="101"/>
      <c r="BBO17" s="101"/>
      <c r="BBP17" s="101"/>
      <c r="BBQ17" s="101"/>
      <c r="BBR17" s="101"/>
      <c r="BBS17" s="101"/>
      <c r="BBT17" s="101"/>
      <c r="BBU17" s="101"/>
      <c r="BBV17" s="101"/>
      <c r="BBW17" s="101"/>
      <c r="BBX17" s="101"/>
      <c r="BBY17" s="101"/>
      <c r="BBZ17" s="101"/>
      <c r="BCA17" s="101"/>
      <c r="BCB17" s="101"/>
      <c r="BCC17" s="101"/>
      <c r="BCD17" s="101"/>
      <c r="BCE17" s="101"/>
      <c r="BCF17" s="101"/>
      <c r="BCG17" s="101"/>
      <c r="BCH17" s="101"/>
      <c r="BCI17" s="101"/>
      <c r="BCJ17" s="101"/>
      <c r="BCK17" s="101"/>
      <c r="BCL17" s="101"/>
      <c r="BCM17" s="101"/>
      <c r="BCN17" s="101"/>
      <c r="BCO17" s="101"/>
      <c r="BCP17" s="101"/>
      <c r="BCQ17" s="101"/>
      <c r="BCR17" s="101"/>
      <c r="BCS17" s="101"/>
      <c r="BCT17" s="101"/>
      <c r="BCU17" s="101"/>
      <c r="BCV17" s="101"/>
      <c r="BCW17" s="101"/>
      <c r="BCX17" s="101"/>
      <c r="BCY17" s="101"/>
      <c r="BCZ17" s="101"/>
      <c r="BDA17" s="101"/>
      <c r="BDB17" s="101"/>
      <c r="BDC17" s="101"/>
      <c r="BDD17" s="101"/>
      <c r="BDE17" s="101"/>
      <c r="BDF17" s="101"/>
      <c r="BDG17" s="101"/>
      <c r="BDH17" s="101"/>
      <c r="BDI17" s="101"/>
      <c r="BDJ17" s="101"/>
      <c r="BDK17" s="101"/>
      <c r="BDL17" s="101"/>
      <c r="BDM17" s="101"/>
      <c r="BDN17" s="101"/>
      <c r="BDO17" s="101"/>
      <c r="BDP17" s="101"/>
      <c r="BDQ17" s="101"/>
      <c r="BDR17" s="101"/>
      <c r="BDS17" s="101"/>
      <c r="BDT17" s="101"/>
      <c r="BDU17" s="101"/>
      <c r="BDV17" s="101"/>
      <c r="BDW17" s="101"/>
      <c r="BDX17" s="101"/>
      <c r="BDY17" s="101"/>
      <c r="BDZ17" s="101"/>
      <c r="BEA17" s="101"/>
      <c r="BEB17" s="101"/>
      <c r="BEC17" s="101"/>
      <c r="BED17" s="101"/>
      <c r="BEE17" s="101"/>
      <c r="BEF17" s="101"/>
      <c r="BEG17" s="101"/>
      <c r="BEH17" s="101"/>
      <c r="BEI17" s="101"/>
      <c r="BEJ17" s="101"/>
      <c r="BEK17" s="101"/>
      <c r="BEL17" s="101"/>
      <c r="BEM17" s="101"/>
      <c r="BEN17" s="101"/>
      <c r="BEO17" s="101"/>
      <c r="BEP17" s="101"/>
      <c r="BEQ17" s="101"/>
      <c r="BER17" s="101"/>
      <c r="BES17" s="101"/>
      <c r="BET17" s="101"/>
      <c r="BEU17" s="101"/>
      <c r="BEV17" s="101"/>
      <c r="BEW17" s="101"/>
      <c r="BEX17" s="101"/>
      <c r="BEY17" s="101"/>
      <c r="BEZ17" s="101"/>
      <c r="BFA17" s="101"/>
      <c r="BFB17" s="101"/>
      <c r="BFC17" s="101"/>
      <c r="BFD17" s="101"/>
      <c r="BFE17" s="101"/>
      <c r="BFF17" s="101"/>
      <c r="BFG17" s="101"/>
      <c r="BFH17" s="101"/>
      <c r="BFI17" s="101"/>
      <c r="BFJ17" s="101"/>
      <c r="BFK17" s="101"/>
      <c r="BFL17" s="101"/>
      <c r="BFM17" s="101"/>
      <c r="BFN17" s="101"/>
      <c r="BFO17" s="101"/>
      <c r="BFP17" s="101"/>
      <c r="BFQ17" s="101"/>
      <c r="BFR17" s="101"/>
      <c r="BFS17" s="101"/>
      <c r="BFT17" s="101"/>
      <c r="BFU17" s="101"/>
      <c r="BFV17" s="101"/>
      <c r="BFW17" s="101"/>
      <c r="BFX17" s="101"/>
      <c r="BFY17" s="101"/>
      <c r="BFZ17" s="101"/>
      <c r="BGA17" s="101"/>
      <c r="BGB17" s="101"/>
      <c r="BGC17" s="101"/>
      <c r="BGD17" s="101"/>
      <c r="BGE17" s="101"/>
      <c r="BGF17" s="101"/>
      <c r="BGG17" s="101"/>
      <c r="BGH17" s="101"/>
      <c r="BGI17" s="101"/>
      <c r="BGJ17" s="101"/>
      <c r="BGK17" s="101"/>
      <c r="BGL17" s="101"/>
      <c r="BGM17" s="101"/>
      <c r="BGN17" s="101"/>
      <c r="BGO17" s="101"/>
      <c r="BGP17" s="101"/>
      <c r="BGQ17" s="101"/>
      <c r="BGR17" s="101"/>
      <c r="BGS17" s="101"/>
      <c r="BGT17" s="101"/>
      <c r="BGU17" s="101"/>
      <c r="BGV17" s="101"/>
      <c r="BGW17" s="101"/>
      <c r="BGX17" s="101"/>
      <c r="BGY17" s="101"/>
      <c r="BGZ17" s="101"/>
      <c r="BHA17" s="101"/>
      <c r="BHB17" s="101"/>
      <c r="BHC17" s="101"/>
      <c r="BHD17" s="101"/>
      <c r="BHE17" s="101"/>
      <c r="BHF17" s="101"/>
      <c r="BHG17" s="101"/>
      <c r="BHH17" s="101"/>
      <c r="BHI17" s="101"/>
      <c r="BHJ17" s="101"/>
      <c r="BHK17" s="101"/>
      <c r="BHL17" s="101"/>
      <c r="BHM17" s="101"/>
      <c r="BHN17" s="101"/>
      <c r="BHO17" s="101"/>
      <c r="BHP17" s="101"/>
      <c r="BHQ17" s="101"/>
      <c r="BHR17" s="101"/>
      <c r="BHS17" s="101"/>
      <c r="BHT17" s="101"/>
      <c r="BHU17" s="101"/>
      <c r="BHV17" s="101"/>
      <c r="BHW17" s="101"/>
      <c r="BHX17" s="101"/>
      <c r="BHY17" s="101"/>
      <c r="BHZ17" s="101"/>
      <c r="BIA17" s="101"/>
      <c r="BIB17" s="101"/>
      <c r="BIC17" s="101"/>
      <c r="BID17" s="101"/>
      <c r="BIE17" s="101"/>
      <c r="BIF17" s="101"/>
      <c r="BIG17" s="101"/>
      <c r="BIH17" s="101"/>
      <c r="BII17" s="101"/>
      <c r="BIJ17" s="101"/>
      <c r="BIK17" s="101"/>
      <c r="BIL17" s="101"/>
      <c r="BIM17" s="101"/>
      <c r="BIN17" s="101"/>
      <c r="BIO17" s="101"/>
      <c r="BIP17" s="101"/>
      <c r="BIQ17" s="101"/>
      <c r="BIR17" s="101"/>
      <c r="BIS17" s="101"/>
      <c r="BIT17" s="101"/>
      <c r="BIU17" s="101"/>
      <c r="BIV17" s="101"/>
      <c r="BIW17" s="101"/>
      <c r="BIX17" s="101"/>
      <c r="BIY17" s="101"/>
      <c r="BIZ17" s="101"/>
      <c r="BJA17" s="101"/>
      <c r="BJB17" s="101"/>
      <c r="BJC17" s="101"/>
      <c r="BJD17" s="101"/>
      <c r="BJE17" s="101"/>
      <c r="BJF17" s="101"/>
      <c r="BJG17" s="101"/>
      <c r="BJH17" s="101"/>
      <c r="BJI17" s="101"/>
      <c r="BJJ17" s="101"/>
      <c r="BJK17" s="101"/>
      <c r="BJL17" s="101"/>
      <c r="BJM17" s="101"/>
      <c r="BJN17" s="101"/>
      <c r="BJO17" s="101"/>
      <c r="BJP17" s="101"/>
      <c r="BJQ17" s="101"/>
      <c r="BJR17" s="101"/>
      <c r="BJS17" s="101"/>
      <c r="BJT17" s="101"/>
      <c r="BJU17" s="101"/>
      <c r="BJV17" s="101"/>
      <c r="BJW17" s="101"/>
      <c r="BJX17" s="101"/>
      <c r="BJY17" s="101"/>
      <c r="BJZ17" s="101"/>
      <c r="BKA17" s="101"/>
      <c r="BKB17" s="101"/>
      <c r="BKC17" s="101"/>
      <c r="BKD17" s="101"/>
      <c r="BKE17" s="101"/>
      <c r="BKF17" s="101"/>
      <c r="BKG17" s="101"/>
      <c r="BKH17" s="101"/>
      <c r="BKI17" s="101"/>
      <c r="BKJ17" s="101"/>
      <c r="BKK17" s="101"/>
      <c r="BKL17" s="101"/>
      <c r="BKM17" s="101"/>
      <c r="BKN17" s="101"/>
      <c r="BKO17" s="101"/>
      <c r="BKP17" s="101"/>
      <c r="BKQ17" s="101"/>
      <c r="BKR17" s="101"/>
      <c r="BKS17" s="101"/>
      <c r="BKT17" s="101"/>
      <c r="BKU17" s="101"/>
      <c r="BKV17" s="101"/>
      <c r="BKW17" s="101"/>
      <c r="BKX17" s="101"/>
      <c r="BKY17" s="101"/>
      <c r="BKZ17" s="101"/>
      <c r="BLA17" s="101"/>
      <c r="BLB17" s="101"/>
      <c r="BLC17" s="101"/>
      <c r="BLD17" s="101"/>
      <c r="BLE17" s="101"/>
      <c r="BLF17" s="101"/>
      <c r="BLG17" s="101"/>
      <c r="BLH17" s="101"/>
      <c r="BLI17" s="101"/>
      <c r="BLJ17" s="101"/>
      <c r="BLK17" s="101"/>
      <c r="BLL17" s="101"/>
      <c r="BLM17" s="101"/>
      <c r="BLN17" s="101"/>
      <c r="BLO17" s="101"/>
      <c r="BLP17" s="101"/>
      <c r="BLQ17" s="101"/>
      <c r="BLR17" s="101"/>
      <c r="BLS17" s="101"/>
      <c r="BLT17" s="101"/>
      <c r="BLU17" s="101"/>
      <c r="BLV17" s="101"/>
      <c r="BLW17" s="101"/>
      <c r="BLX17" s="101"/>
      <c r="BLY17" s="101"/>
      <c r="BLZ17" s="101"/>
      <c r="BMA17" s="101"/>
      <c r="BMB17" s="101"/>
      <c r="BMC17" s="101"/>
      <c r="BMD17" s="101"/>
      <c r="BME17" s="101"/>
      <c r="BMF17" s="101"/>
      <c r="BMG17" s="101"/>
      <c r="BMH17" s="101"/>
      <c r="BMI17" s="101"/>
      <c r="BMJ17" s="101"/>
      <c r="BMK17" s="101"/>
      <c r="BML17" s="101"/>
      <c r="BMM17" s="101"/>
      <c r="BMN17" s="101"/>
      <c r="BMO17" s="101"/>
      <c r="BMP17" s="101"/>
      <c r="BMQ17" s="101"/>
      <c r="BMR17" s="101"/>
      <c r="BMS17" s="101"/>
      <c r="BMT17" s="101"/>
      <c r="BMU17" s="101"/>
      <c r="BMV17" s="101"/>
      <c r="BMW17" s="101"/>
      <c r="BMX17" s="101"/>
      <c r="BMY17" s="101"/>
      <c r="BMZ17" s="101"/>
      <c r="BNA17" s="101"/>
      <c r="BNB17" s="101"/>
      <c r="BNC17" s="101"/>
      <c r="BND17" s="101"/>
      <c r="BNE17" s="101"/>
      <c r="BNF17" s="101"/>
      <c r="BNG17" s="101"/>
      <c r="BNH17" s="101"/>
      <c r="BNI17" s="101"/>
      <c r="BNJ17" s="101"/>
      <c r="BNK17" s="101"/>
      <c r="BNL17" s="101"/>
      <c r="BNM17" s="101"/>
      <c r="BNN17" s="101"/>
      <c r="BNO17" s="101"/>
      <c r="BNP17" s="101"/>
      <c r="BNQ17" s="101"/>
      <c r="BNR17" s="101"/>
      <c r="BNS17" s="101"/>
      <c r="BNT17" s="101"/>
      <c r="BNU17" s="101"/>
      <c r="BNV17" s="101"/>
      <c r="BNW17" s="101"/>
      <c r="BNX17" s="101"/>
      <c r="BNY17" s="101"/>
      <c r="BNZ17" s="101"/>
      <c r="BOA17" s="101"/>
      <c r="BOB17" s="101"/>
      <c r="BOC17" s="101"/>
      <c r="BOD17" s="101"/>
      <c r="BOE17" s="101"/>
      <c r="BOF17" s="101"/>
      <c r="BOG17" s="101"/>
      <c r="BOH17" s="101"/>
      <c r="BOI17" s="101"/>
      <c r="BOJ17" s="101"/>
      <c r="BOK17" s="101"/>
      <c r="BOL17" s="101"/>
      <c r="BOM17" s="101"/>
      <c r="BON17" s="101"/>
      <c r="BOO17" s="101"/>
      <c r="BOP17" s="101"/>
      <c r="BOQ17" s="101"/>
      <c r="BOR17" s="101"/>
      <c r="BOS17" s="101"/>
      <c r="BOT17" s="101"/>
      <c r="BOU17" s="101"/>
      <c r="BOV17" s="101"/>
      <c r="BOW17" s="101"/>
      <c r="BOX17" s="101"/>
      <c r="BOY17" s="101"/>
      <c r="BOZ17" s="101"/>
      <c r="BPA17" s="101"/>
      <c r="BPB17" s="101"/>
      <c r="BPC17" s="161"/>
    </row>
    <row r="18" s="102" customFormat="1" ht="75" customHeight="1" outlineLevel="1" spans="1:1024 1025:1771">
      <c r="A18" s="157" t="s">
        <v>64</v>
      </c>
      <c r="B18" s="151" t="s">
        <v>1053</v>
      </c>
      <c r="C18" s="158" t="s">
        <v>1054</v>
      </c>
      <c r="D18" s="153" t="s">
        <v>1044</v>
      </c>
      <c r="E18" s="154"/>
      <c r="F18" s="159"/>
      <c r="G18" s="160"/>
      <c r="H18" s="155">
        <v>46137</v>
      </c>
      <c r="I18" s="156" t="s">
        <v>7</v>
      </c>
      <c r="J18" s="153"/>
      <c r="K18" s="5"/>
      <c r="L18" s="5" t="s">
        <v>1041</v>
      </c>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c r="DK18" s="101"/>
      <c r="DL18" s="101"/>
      <c r="DM18" s="101"/>
      <c r="DN18" s="101"/>
      <c r="DO18" s="101"/>
      <c r="DP18" s="101"/>
      <c r="DQ18" s="101"/>
      <c r="DR18" s="101"/>
      <c r="DS18" s="101"/>
      <c r="DT18" s="101"/>
      <c r="DU18" s="101"/>
      <c r="DV18" s="101"/>
      <c r="DW18" s="101"/>
      <c r="DX18" s="101"/>
      <c r="DY18" s="101"/>
      <c r="DZ18" s="101"/>
      <c r="EA18" s="101"/>
      <c r="EB18" s="101"/>
      <c r="EC18" s="101"/>
      <c r="ED18" s="101"/>
      <c r="EE18" s="101"/>
      <c r="EF18" s="101"/>
      <c r="EG18" s="101"/>
      <c r="EH18" s="101"/>
      <c r="EI18" s="101"/>
      <c r="EJ18" s="101"/>
      <c r="EK18" s="101"/>
      <c r="EL18" s="101"/>
      <c r="EM18" s="101"/>
      <c r="EN18" s="101"/>
      <c r="EO18" s="101"/>
      <c r="EP18" s="101"/>
      <c r="EQ18" s="101"/>
      <c r="ER18" s="101"/>
      <c r="ES18" s="101"/>
      <c r="ET18" s="101"/>
      <c r="EU18" s="101"/>
      <c r="EV18" s="101"/>
      <c r="EW18" s="101"/>
      <c r="EX18" s="101"/>
      <c r="EY18" s="101"/>
      <c r="EZ18" s="101"/>
      <c r="FA18" s="101"/>
      <c r="FB18" s="101"/>
      <c r="FC18" s="101"/>
      <c r="FD18" s="101"/>
      <c r="FE18" s="101"/>
      <c r="FF18" s="101"/>
      <c r="FG18" s="101"/>
      <c r="FH18" s="101"/>
      <c r="FI18" s="101"/>
      <c r="FJ18" s="101"/>
      <c r="FK18" s="101"/>
      <c r="FL18" s="101"/>
      <c r="FM18" s="101"/>
      <c r="FN18" s="101"/>
      <c r="FO18" s="101"/>
      <c r="FP18" s="101"/>
      <c r="FQ18" s="101"/>
      <c r="FR18" s="101"/>
      <c r="FS18" s="101"/>
      <c r="FT18" s="101"/>
      <c r="FU18" s="101"/>
      <c r="FV18" s="101"/>
      <c r="FW18" s="101"/>
      <c r="FX18" s="101"/>
      <c r="FY18" s="101"/>
      <c r="FZ18" s="101"/>
      <c r="GA18" s="101"/>
      <c r="GB18" s="101"/>
      <c r="GC18" s="101"/>
      <c r="GD18" s="101"/>
      <c r="GE18" s="101"/>
      <c r="GF18" s="101"/>
      <c r="GG18" s="101"/>
      <c r="GH18" s="101"/>
      <c r="GI18" s="101"/>
      <c r="GJ18" s="101"/>
      <c r="GK18" s="101"/>
      <c r="GL18" s="101"/>
      <c r="GM18" s="101"/>
      <c r="GN18" s="101"/>
      <c r="GO18" s="101"/>
      <c r="GP18" s="101"/>
      <c r="GQ18" s="101"/>
      <c r="GR18" s="101"/>
      <c r="GS18" s="101"/>
      <c r="GT18" s="101"/>
      <c r="GU18" s="101"/>
      <c r="GV18" s="101"/>
      <c r="GW18" s="101"/>
      <c r="GX18" s="101"/>
      <c r="GY18" s="101"/>
      <c r="GZ18" s="101"/>
      <c r="HA18" s="101"/>
      <c r="HB18" s="101"/>
      <c r="HC18" s="101"/>
      <c r="HD18" s="101"/>
      <c r="HE18" s="101"/>
      <c r="HF18" s="101"/>
      <c r="HG18" s="101"/>
      <c r="HH18" s="101"/>
      <c r="HI18" s="101"/>
      <c r="HJ18" s="101"/>
      <c r="HK18" s="101"/>
      <c r="HL18" s="101"/>
      <c r="HM18" s="101"/>
      <c r="HN18" s="101"/>
      <c r="HO18" s="101"/>
      <c r="HP18" s="101"/>
      <c r="HQ18" s="101"/>
      <c r="HR18" s="101"/>
      <c r="HS18" s="101"/>
      <c r="HT18" s="101"/>
      <c r="HU18" s="101"/>
      <c r="HV18" s="101"/>
      <c r="HW18" s="101"/>
      <c r="HX18" s="101"/>
      <c r="HY18" s="101"/>
      <c r="HZ18" s="101"/>
      <c r="IA18" s="101"/>
      <c r="IB18" s="101"/>
      <c r="IC18" s="101"/>
      <c r="ID18" s="101"/>
      <c r="IE18" s="101"/>
      <c r="IF18" s="101"/>
      <c r="IG18" s="101"/>
      <c r="IH18" s="101"/>
      <c r="II18" s="101"/>
      <c r="IJ18" s="101"/>
      <c r="IK18" s="101"/>
      <c r="IL18" s="101"/>
      <c r="IM18" s="101"/>
      <c r="IN18" s="101"/>
      <c r="IO18" s="101"/>
      <c r="IP18" s="101"/>
      <c r="IQ18" s="101"/>
      <c r="IR18" s="101"/>
      <c r="IS18" s="101"/>
      <c r="IT18" s="101"/>
      <c r="IU18" s="101"/>
      <c r="IV18" s="101"/>
      <c r="IW18" s="101"/>
      <c r="IX18" s="101"/>
      <c r="IY18" s="101"/>
      <c r="IZ18" s="101"/>
      <c r="JA18" s="101"/>
      <c r="JB18" s="101"/>
      <c r="JC18" s="101"/>
      <c r="JD18" s="101"/>
      <c r="JE18" s="101"/>
      <c r="JF18" s="101"/>
      <c r="JG18" s="101"/>
      <c r="JH18" s="101"/>
      <c r="JI18" s="101"/>
      <c r="JJ18" s="101"/>
      <c r="JK18" s="101"/>
      <c r="JL18" s="101"/>
      <c r="JM18" s="101"/>
      <c r="JN18" s="101"/>
      <c r="JO18" s="101"/>
      <c r="JP18" s="101"/>
      <c r="JQ18" s="101"/>
      <c r="JR18" s="101"/>
      <c r="JS18" s="101"/>
      <c r="JT18" s="101"/>
      <c r="JU18" s="101"/>
      <c r="JV18" s="101"/>
      <c r="JW18" s="101"/>
      <c r="JX18" s="101"/>
      <c r="JY18" s="101"/>
      <c r="JZ18" s="101"/>
      <c r="KA18" s="101"/>
      <c r="KB18" s="101"/>
      <c r="KC18" s="101"/>
      <c r="KD18" s="101"/>
      <c r="KE18" s="101"/>
      <c r="KF18" s="101"/>
      <c r="KG18" s="101"/>
      <c r="KH18" s="101"/>
      <c r="KI18" s="101"/>
      <c r="KJ18" s="101"/>
      <c r="KK18" s="101"/>
      <c r="KL18" s="101"/>
      <c r="KM18" s="101"/>
      <c r="KN18" s="101"/>
      <c r="KO18" s="101"/>
      <c r="KP18" s="101"/>
      <c r="KQ18" s="101"/>
      <c r="KR18" s="101"/>
      <c r="KS18" s="101"/>
      <c r="KT18" s="101"/>
      <c r="KU18" s="101"/>
      <c r="KV18" s="101"/>
      <c r="KW18" s="101"/>
      <c r="KX18" s="101"/>
      <c r="KY18" s="101"/>
      <c r="KZ18" s="101"/>
      <c r="LA18" s="101"/>
      <c r="LB18" s="101"/>
      <c r="LC18" s="101"/>
      <c r="LD18" s="101"/>
      <c r="LE18" s="101"/>
      <c r="LF18" s="101"/>
      <c r="LG18" s="101"/>
      <c r="LH18" s="101"/>
      <c r="LI18" s="101"/>
      <c r="LJ18" s="101"/>
      <c r="LK18" s="101"/>
      <c r="LL18" s="101"/>
      <c r="LM18" s="101"/>
      <c r="LN18" s="101"/>
      <c r="LO18" s="101"/>
      <c r="LP18" s="101"/>
      <c r="LQ18" s="101"/>
      <c r="LR18" s="101"/>
      <c r="LS18" s="101"/>
      <c r="LT18" s="101"/>
      <c r="LU18" s="101"/>
      <c r="LV18" s="101"/>
      <c r="LW18" s="101"/>
      <c r="LX18" s="101"/>
      <c r="LY18" s="101"/>
      <c r="LZ18" s="101"/>
      <c r="MA18" s="101"/>
      <c r="MB18" s="101"/>
      <c r="MC18" s="101"/>
      <c r="MD18" s="101"/>
      <c r="ME18" s="101"/>
      <c r="MF18" s="101"/>
      <c r="MG18" s="101"/>
      <c r="MH18" s="101"/>
      <c r="MI18" s="101"/>
      <c r="MJ18" s="101"/>
      <c r="MK18" s="101"/>
      <c r="ML18" s="101"/>
      <c r="MM18" s="101"/>
      <c r="MN18" s="101"/>
      <c r="MO18" s="101"/>
      <c r="MP18" s="101"/>
      <c r="MQ18" s="101"/>
      <c r="MR18" s="101"/>
      <c r="MS18" s="101"/>
      <c r="MT18" s="101"/>
      <c r="MU18" s="101"/>
      <c r="MV18" s="101"/>
      <c r="MW18" s="101"/>
      <c r="MX18" s="101"/>
      <c r="MY18" s="101"/>
      <c r="MZ18" s="101"/>
      <c r="NA18" s="101"/>
      <c r="NB18" s="101"/>
      <c r="NC18" s="101"/>
      <c r="ND18" s="101"/>
      <c r="NE18" s="101"/>
      <c r="NF18" s="101"/>
      <c r="NG18" s="101"/>
      <c r="NH18" s="101"/>
      <c r="NI18" s="101"/>
      <c r="NJ18" s="101"/>
      <c r="NK18" s="101"/>
      <c r="NL18" s="101"/>
      <c r="NM18" s="101"/>
      <c r="NN18" s="101"/>
      <c r="NO18" s="101"/>
      <c r="NP18" s="101"/>
      <c r="NQ18" s="101"/>
      <c r="NR18" s="101"/>
      <c r="NS18" s="101"/>
      <c r="NT18" s="101"/>
      <c r="NU18" s="101"/>
      <c r="NV18" s="101"/>
      <c r="NW18" s="101"/>
      <c r="NX18" s="101"/>
      <c r="NY18" s="101"/>
      <c r="NZ18" s="101"/>
      <c r="OA18" s="101"/>
      <c r="OB18" s="101"/>
      <c r="OC18" s="101"/>
      <c r="OD18" s="101"/>
      <c r="OE18" s="101"/>
      <c r="OF18" s="101"/>
      <c r="OG18" s="101"/>
      <c r="OH18" s="101"/>
      <c r="OI18" s="101"/>
      <c r="OJ18" s="101"/>
      <c r="OK18" s="101"/>
      <c r="OL18" s="101"/>
      <c r="OM18" s="101"/>
      <c r="ON18" s="101"/>
      <c r="OO18" s="101"/>
      <c r="OP18" s="101"/>
      <c r="OQ18" s="101"/>
      <c r="OR18" s="101"/>
      <c r="OS18" s="101"/>
      <c r="OT18" s="101"/>
      <c r="OU18" s="101"/>
      <c r="OV18" s="101"/>
      <c r="OW18" s="101"/>
      <c r="OX18" s="101"/>
      <c r="OY18" s="101"/>
      <c r="OZ18" s="101"/>
      <c r="PA18" s="101"/>
      <c r="PB18" s="101"/>
      <c r="PC18" s="101"/>
      <c r="PD18" s="101"/>
      <c r="PE18" s="101"/>
      <c r="PF18" s="101"/>
      <c r="PG18" s="101"/>
      <c r="PH18" s="101"/>
      <c r="PI18" s="101"/>
      <c r="PJ18" s="101"/>
      <c r="PK18" s="101"/>
      <c r="PL18" s="101"/>
      <c r="PM18" s="101"/>
      <c r="PN18" s="101"/>
      <c r="PO18" s="101"/>
      <c r="PP18" s="101"/>
      <c r="PQ18" s="101"/>
      <c r="PR18" s="101"/>
      <c r="PS18" s="101"/>
      <c r="PT18" s="101"/>
      <c r="PU18" s="101"/>
      <c r="PV18" s="101"/>
      <c r="PW18" s="101"/>
      <c r="PX18" s="101"/>
      <c r="PY18" s="101"/>
      <c r="PZ18" s="101"/>
      <c r="QA18" s="101"/>
      <c r="QB18" s="101"/>
      <c r="QC18" s="101"/>
      <c r="QD18" s="101"/>
      <c r="QE18" s="101"/>
      <c r="QF18" s="101"/>
      <c r="QG18" s="101"/>
      <c r="QH18" s="101"/>
      <c r="QI18" s="101"/>
      <c r="QJ18" s="101"/>
      <c r="QK18" s="101"/>
      <c r="QL18" s="101"/>
      <c r="QM18" s="101"/>
      <c r="QN18" s="101"/>
      <c r="QO18" s="101"/>
      <c r="QP18" s="101"/>
      <c r="QQ18" s="101"/>
      <c r="QR18" s="101"/>
      <c r="QS18" s="101"/>
      <c r="QT18" s="101"/>
      <c r="QU18" s="101"/>
      <c r="QV18" s="101"/>
      <c r="QW18" s="101"/>
      <c r="QX18" s="101"/>
      <c r="QY18" s="101"/>
      <c r="QZ18" s="101"/>
      <c r="RA18" s="101"/>
      <c r="RB18" s="101"/>
      <c r="RC18" s="101"/>
      <c r="RD18" s="101"/>
      <c r="RE18" s="101"/>
      <c r="RF18" s="101"/>
      <c r="RG18" s="101"/>
      <c r="RH18" s="101"/>
      <c r="RI18" s="101"/>
      <c r="RJ18" s="101"/>
      <c r="RK18" s="101"/>
      <c r="RL18" s="101"/>
      <c r="RM18" s="101"/>
      <c r="RN18" s="101"/>
      <c r="RO18" s="101"/>
      <c r="RP18" s="101"/>
      <c r="RQ18" s="101"/>
      <c r="RR18" s="101"/>
      <c r="RS18" s="101"/>
      <c r="RT18" s="101"/>
      <c r="RU18" s="101"/>
      <c r="RV18" s="101"/>
      <c r="RW18" s="101"/>
      <c r="RX18" s="101"/>
      <c r="RY18" s="101"/>
      <c r="RZ18" s="101"/>
      <c r="SA18" s="101"/>
      <c r="SB18" s="101"/>
      <c r="SC18" s="101"/>
      <c r="SD18" s="101"/>
      <c r="SE18" s="101"/>
      <c r="SF18" s="101"/>
      <c r="SG18" s="101"/>
      <c r="SH18" s="101"/>
      <c r="SI18" s="101"/>
      <c r="SJ18" s="101"/>
      <c r="SK18" s="101"/>
      <c r="SL18" s="101"/>
      <c r="SM18" s="101"/>
      <c r="SN18" s="101"/>
      <c r="SO18" s="101"/>
      <c r="SP18" s="101"/>
      <c r="SQ18" s="101"/>
      <c r="SR18" s="101"/>
      <c r="SS18" s="101"/>
      <c r="ST18" s="101"/>
      <c r="SU18" s="101"/>
      <c r="SV18" s="101"/>
      <c r="SW18" s="101"/>
      <c r="SX18" s="101"/>
      <c r="SY18" s="101"/>
      <c r="SZ18" s="101"/>
      <c r="TA18" s="101"/>
      <c r="TB18" s="101"/>
      <c r="TC18" s="101"/>
      <c r="TD18" s="101"/>
      <c r="TE18" s="101"/>
      <c r="TF18" s="101"/>
      <c r="TG18" s="101"/>
      <c r="TH18" s="101"/>
      <c r="TI18" s="101"/>
      <c r="TJ18" s="101"/>
      <c r="TK18" s="101"/>
      <c r="TL18" s="101"/>
      <c r="TM18" s="101"/>
      <c r="TN18" s="101"/>
      <c r="TO18" s="101"/>
      <c r="TP18" s="101"/>
      <c r="TQ18" s="101"/>
      <c r="TR18" s="101"/>
      <c r="TS18" s="101"/>
      <c r="TT18" s="101"/>
      <c r="TU18" s="101"/>
      <c r="TV18" s="101"/>
      <c r="TW18" s="101"/>
      <c r="TX18" s="101"/>
      <c r="TY18" s="101"/>
      <c r="TZ18" s="101"/>
      <c r="UA18" s="101"/>
      <c r="UB18" s="101"/>
      <c r="UC18" s="101"/>
      <c r="UD18" s="101"/>
      <c r="UE18" s="101"/>
      <c r="UF18" s="101"/>
      <c r="UG18" s="101"/>
      <c r="UH18" s="101"/>
      <c r="UI18" s="101"/>
      <c r="UJ18" s="101"/>
      <c r="UK18" s="101"/>
      <c r="UL18" s="101"/>
      <c r="UM18" s="101"/>
      <c r="UN18" s="101"/>
      <c r="UO18" s="101"/>
      <c r="UP18" s="101"/>
      <c r="UQ18" s="101"/>
      <c r="UR18" s="101"/>
      <c r="US18" s="101"/>
      <c r="UT18" s="101"/>
      <c r="UU18" s="101"/>
      <c r="UV18" s="101"/>
      <c r="UW18" s="101"/>
      <c r="UX18" s="101"/>
      <c r="UY18" s="101"/>
      <c r="UZ18" s="101"/>
      <c r="VA18" s="101"/>
      <c r="VB18" s="101"/>
      <c r="VC18" s="101"/>
      <c r="VD18" s="101"/>
      <c r="VE18" s="101"/>
      <c r="VF18" s="101"/>
      <c r="VG18" s="101"/>
      <c r="VH18" s="101"/>
      <c r="VI18" s="101"/>
      <c r="VJ18" s="101"/>
      <c r="VK18" s="101"/>
      <c r="VL18" s="101"/>
      <c r="VM18" s="101"/>
      <c r="VN18" s="101"/>
      <c r="VO18" s="101"/>
      <c r="VP18" s="101"/>
      <c r="VQ18" s="101"/>
      <c r="VR18" s="101"/>
      <c r="VS18" s="101"/>
      <c r="VT18" s="101"/>
      <c r="VU18" s="101"/>
      <c r="VV18" s="101"/>
      <c r="VW18" s="101"/>
      <c r="VX18" s="101"/>
      <c r="VY18" s="101"/>
      <c r="VZ18" s="101"/>
      <c r="WA18" s="101"/>
      <c r="WB18" s="101"/>
      <c r="WC18" s="101"/>
      <c r="WD18" s="101"/>
      <c r="WE18" s="101"/>
      <c r="WF18" s="101"/>
      <c r="WG18" s="101"/>
      <c r="WH18" s="101"/>
      <c r="WI18" s="101"/>
      <c r="WJ18" s="101"/>
      <c r="WK18" s="101"/>
      <c r="WL18" s="101"/>
      <c r="WM18" s="101"/>
      <c r="WN18" s="101"/>
      <c r="WO18" s="101"/>
      <c r="WP18" s="101"/>
      <c r="WQ18" s="101"/>
      <c r="WR18" s="101"/>
      <c r="WS18" s="101"/>
      <c r="WT18" s="101"/>
      <c r="WU18" s="101"/>
      <c r="WV18" s="101"/>
      <c r="WW18" s="101"/>
      <c r="WX18" s="101"/>
      <c r="WY18" s="101"/>
      <c r="WZ18" s="101"/>
      <c r="XA18" s="101"/>
      <c r="XB18" s="101"/>
      <c r="XC18" s="101"/>
      <c r="XD18" s="101"/>
      <c r="XE18" s="101"/>
      <c r="XF18" s="101"/>
      <c r="XG18" s="101"/>
      <c r="XH18" s="101"/>
      <c r="XI18" s="101"/>
      <c r="XJ18" s="101"/>
      <c r="XK18" s="101"/>
      <c r="XL18" s="101"/>
      <c r="XM18" s="101"/>
      <c r="XN18" s="101"/>
      <c r="XO18" s="101"/>
      <c r="XP18" s="101"/>
      <c r="XQ18" s="101"/>
      <c r="XR18" s="101"/>
      <c r="XS18" s="101"/>
      <c r="XT18" s="101"/>
      <c r="XU18" s="101"/>
      <c r="XV18" s="101"/>
      <c r="XW18" s="101"/>
      <c r="XX18" s="101"/>
      <c r="XY18" s="101"/>
      <c r="XZ18" s="101"/>
      <c r="YA18" s="101"/>
      <c r="YB18" s="101"/>
      <c r="YC18" s="101"/>
      <c r="YD18" s="101"/>
      <c r="YE18" s="101"/>
      <c r="YF18" s="101"/>
      <c r="YG18" s="101"/>
      <c r="YH18" s="101"/>
      <c r="YI18" s="101"/>
      <c r="YJ18" s="101"/>
      <c r="YK18" s="101"/>
      <c r="YL18" s="101"/>
      <c r="YM18" s="101"/>
      <c r="YN18" s="101"/>
      <c r="YO18" s="101"/>
      <c r="YP18" s="101"/>
      <c r="YQ18" s="101"/>
      <c r="YR18" s="101"/>
      <c r="YS18" s="101"/>
      <c r="YT18" s="101"/>
      <c r="YU18" s="101"/>
      <c r="YV18" s="101"/>
      <c r="YW18" s="101"/>
      <c r="YX18" s="101"/>
      <c r="YY18" s="101"/>
      <c r="YZ18" s="101"/>
      <c r="ZA18" s="101"/>
      <c r="ZB18" s="101"/>
      <c r="ZC18" s="101"/>
      <c r="ZD18" s="101"/>
      <c r="ZE18" s="101"/>
      <c r="ZF18" s="101"/>
      <c r="ZG18" s="101"/>
      <c r="ZH18" s="101"/>
      <c r="ZI18" s="101"/>
      <c r="ZJ18" s="101"/>
      <c r="ZK18" s="101"/>
      <c r="ZL18" s="101"/>
      <c r="ZM18" s="101"/>
      <c r="ZN18" s="101"/>
      <c r="ZO18" s="101"/>
      <c r="ZP18" s="101"/>
      <c r="ZQ18" s="101"/>
      <c r="ZR18" s="101"/>
      <c r="ZS18" s="101"/>
      <c r="ZT18" s="101"/>
      <c r="ZU18" s="101"/>
      <c r="ZV18" s="101"/>
      <c r="ZW18" s="101"/>
      <c r="ZX18" s="101"/>
      <c r="ZY18" s="101"/>
      <c r="ZZ18" s="101"/>
      <c r="AAA18" s="101"/>
      <c r="AAB18" s="101"/>
      <c r="AAC18" s="101"/>
      <c r="AAD18" s="101"/>
      <c r="AAE18" s="101"/>
      <c r="AAF18" s="101"/>
      <c r="AAG18" s="101"/>
      <c r="AAH18" s="101"/>
      <c r="AAI18" s="101"/>
      <c r="AAJ18" s="101"/>
      <c r="AAK18" s="101"/>
      <c r="AAL18" s="101"/>
      <c r="AAM18" s="101"/>
      <c r="AAN18" s="101"/>
      <c r="AAO18" s="101"/>
      <c r="AAP18" s="101"/>
      <c r="AAQ18" s="101"/>
      <c r="AAR18" s="101"/>
      <c r="AAS18" s="101"/>
      <c r="AAT18" s="101"/>
      <c r="AAU18" s="101"/>
      <c r="AAV18" s="101"/>
      <c r="AAW18" s="101"/>
      <c r="AAX18" s="101"/>
      <c r="AAY18" s="101"/>
      <c r="AAZ18" s="101"/>
      <c r="ABA18" s="101"/>
      <c r="ABB18" s="101"/>
      <c r="ABC18" s="101"/>
      <c r="ABD18" s="101"/>
      <c r="ABE18" s="101"/>
      <c r="ABF18" s="101"/>
      <c r="ABG18" s="101"/>
      <c r="ABH18" s="101"/>
      <c r="ABI18" s="101"/>
      <c r="ABJ18" s="101"/>
      <c r="ABK18" s="101"/>
      <c r="ABL18" s="101"/>
      <c r="ABM18" s="101"/>
      <c r="ABN18" s="101"/>
      <c r="ABO18" s="101"/>
      <c r="ABP18" s="101"/>
      <c r="ABQ18" s="101"/>
      <c r="ABR18" s="101"/>
      <c r="ABS18" s="101"/>
      <c r="ABT18" s="101"/>
      <c r="ABU18" s="101"/>
      <c r="ABV18" s="101"/>
      <c r="ABW18" s="101"/>
      <c r="ABX18" s="101"/>
      <c r="ABY18" s="101"/>
      <c r="ABZ18" s="101"/>
      <c r="ACA18" s="101"/>
      <c r="ACB18" s="101"/>
      <c r="ACC18" s="101"/>
      <c r="ACD18" s="101"/>
      <c r="ACE18" s="101"/>
      <c r="ACF18" s="101"/>
      <c r="ACG18" s="101"/>
      <c r="ACH18" s="101"/>
      <c r="ACI18" s="101"/>
      <c r="ACJ18" s="101"/>
      <c r="ACK18" s="101"/>
      <c r="ACL18" s="101"/>
      <c r="ACM18" s="101"/>
      <c r="ACN18" s="101"/>
      <c r="ACO18" s="101"/>
      <c r="ACP18" s="101"/>
      <c r="ACQ18" s="101"/>
      <c r="ACR18" s="101"/>
      <c r="ACS18" s="101"/>
      <c r="ACT18" s="101"/>
      <c r="ACU18" s="101"/>
      <c r="ACV18" s="101"/>
      <c r="ACW18" s="101"/>
      <c r="ACX18" s="101"/>
      <c r="ACY18" s="101"/>
      <c r="ACZ18" s="101"/>
      <c r="ADA18" s="101"/>
      <c r="ADB18" s="101"/>
      <c r="ADC18" s="101"/>
      <c r="ADD18" s="101"/>
      <c r="ADE18" s="101"/>
      <c r="ADF18" s="101"/>
      <c r="ADG18" s="101"/>
      <c r="ADH18" s="101"/>
      <c r="ADI18" s="101"/>
      <c r="ADJ18" s="101"/>
      <c r="ADK18" s="101"/>
      <c r="ADL18" s="101"/>
      <c r="ADM18" s="101"/>
      <c r="ADN18" s="101"/>
      <c r="ADO18" s="101"/>
      <c r="ADP18" s="101"/>
      <c r="ADQ18" s="101"/>
      <c r="ADR18" s="101"/>
      <c r="ADS18" s="101"/>
      <c r="ADT18" s="101"/>
      <c r="ADU18" s="101"/>
      <c r="ADV18" s="101"/>
      <c r="ADW18" s="101"/>
      <c r="ADX18" s="101"/>
      <c r="ADY18" s="101"/>
      <c r="ADZ18" s="101"/>
      <c r="AEA18" s="101"/>
      <c r="AEB18" s="101"/>
      <c r="AEC18" s="101"/>
      <c r="AED18" s="101"/>
      <c r="AEE18" s="101"/>
      <c r="AEF18" s="101"/>
      <c r="AEG18" s="101"/>
      <c r="AEH18" s="101"/>
      <c r="AEI18" s="101"/>
      <c r="AEJ18" s="101"/>
      <c r="AEK18" s="101"/>
      <c r="AEL18" s="101"/>
      <c r="AEM18" s="101"/>
      <c r="AEN18" s="101"/>
      <c r="AEO18" s="101"/>
      <c r="AEP18" s="101"/>
      <c r="AEQ18" s="101"/>
      <c r="AER18" s="101"/>
      <c r="AES18" s="101"/>
      <c r="AET18" s="101"/>
      <c r="AEU18" s="101"/>
      <c r="AEV18" s="101"/>
      <c r="AEW18" s="101"/>
      <c r="AEX18" s="101"/>
      <c r="AEY18" s="101"/>
      <c r="AEZ18" s="101"/>
      <c r="AFA18" s="101"/>
      <c r="AFB18" s="101"/>
      <c r="AFC18" s="101"/>
      <c r="AFD18" s="101"/>
      <c r="AFE18" s="101"/>
      <c r="AFF18" s="101"/>
      <c r="AFG18" s="101"/>
      <c r="AFH18" s="101"/>
      <c r="AFI18" s="101"/>
      <c r="AFJ18" s="101"/>
      <c r="AFK18" s="101"/>
      <c r="AFL18" s="101"/>
      <c r="AFM18" s="101"/>
      <c r="AFN18" s="101"/>
      <c r="AFO18" s="101"/>
      <c r="AFP18" s="101"/>
      <c r="AFQ18" s="101"/>
      <c r="AFR18" s="101"/>
      <c r="AFS18" s="101"/>
      <c r="AFT18" s="101"/>
      <c r="AFU18" s="101"/>
      <c r="AFV18" s="101"/>
      <c r="AFW18" s="101"/>
      <c r="AFX18" s="101"/>
      <c r="AFY18" s="101"/>
      <c r="AFZ18" s="101"/>
      <c r="AGA18" s="101"/>
      <c r="AGB18" s="101"/>
      <c r="AGC18" s="101"/>
      <c r="AGD18" s="101"/>
      <c r="AGE18" s="101"/>
      <c r="AGF18" s="101"/>
      <c r="AGG18" s="101"/>
      <c r="AGH18" s="101"/>
      <c r="AGI18" s="101"/>
      <c r="AGJ18" s="101"/>
      <c r="AGK18" s="101"/>
      <c r="AGL18" s="101"/>
      <c r="AGM18" s="101"/>
      <c r="AGN18" s="101"/>
      <c r="AGO18" s="101"/>
      <c r="AGP18" s="101"/>
      <c r="AGQ18" s="101"/>
      <c r="AGR18" s="101"/>
      <c r="AGS18" s="101"/>
      <c r="AGT18" s="101"/>
      <c r="AGU18" s="101"/>
      <c r="AGV18" s="101"/>
      <c r="AGW18" s="101"/>
      <c r="AGX18" s="101"/>
      <c r="AGY18" s="101"/>
      <c r="AGZ18" s="101"/>
      <c r="AHA18" s="101"/>
      <c r="AHB18" s="101"/>
      <c r="AHC18" s="101"/>
      <c r="AHD18" s="101"/>
      <c r="AHE18" s="101"/>
      <c r="AHF18" s="101"/>
      <c r="AHG18" s="101"/>
      <c r="AHH18" s="101"/>
      <c r="AHI18" s="101"/>
      <c r="AHJ18" s="101"/>
      <c r="AHK18" s="101"/>
      <c r="AHL18" s="101"/>
      <c r="AHM18" s="101"/>
      <c r="AHN18" s="101"/>
      <c r="AHO18" s="101"/>
      <c r="AHP18" s="101"/>
      <c r="AHQ18" s="101"/>
      <c r="AHR18" s="101"/>
      <c r="AHS18" s="101"/>
      <c r="AHT18" s="101"/>
      <c r="AHU18" s="101"/>
      <c r="AHV18" s="101"/>
      <c r="AHW18" s="101"/>
      <c r="AHX18" s="101"/>
      <c r="AHY18" s="101"/>
      <c r="AHZ18" s="101"/>
      <c r="AIA18" s="101"/>
      <c r="AIB18" s="101"/>
      <c r="AIC18" s="101"/>
      <c r="AID18" s="101"/>
      <c r="AIE18" s="101"/>
      <c r="AIF18" s="101"/>
      <c r="AIG18" s="101"/>
      <c r="AIH18" s="101"/>
      <c r="AII18" s="101"/>
      <c r="AIJ18" s="101"/>
      <c r="AIK18" s="101"/>
      <c r="AIL18" s="101"/>
      <c r="AIM18" s="101"/>
      <c r="AIN18" s="101"/>
      <c r="AIO18" s="101"/>
      <c r="AIP18" s="101"/>
      <c r="AIQ18" s="101"/>
      <c r="AIR18" s="101"/>
      <c r="AIS18" s="101"/>
      <c r="AIT18" s="101"/>
      <c r="AIU18" s="101"/>
      <c r="AIV18" s="101"/>
      <c r="AIW18" s="101"/>
      <c r="AIX18" s="101"/>
      <c r="AIY18" s="101"/>
      <c r="AIZ18" s="101"/>
      <c r="AJA18" s="101"/>
      <c r="AJB18" s="101"/>
      <c r="AJC18" s="101"/>
      <c r="AJD18" s="101"/>
      <c r="AJE18" s="101"/>
      <c r="AJF18" s="101"/>
      <c r="AJG18" s="101"/>
      <c r="AJH18" s="101"/>
      <c r="AJI18" s="101"/>
      <c r="AJJ18" s="101"/>
      <c r="AJK18" s="101"/>
      <c r="AJL18" s="101"/>
      <c r="AJM18" s="101"/>
      <c r="AJN18" s="101"/>
      <c r="AJO18" s="101"/>
      <c r="AJP18" s="101"/>
      <c r="AJQ18" s="101"/>
      <c r="AJR18" s="101"/>
      <c r="AJS18" s="101"/>
      <c r="AJT18" s="101"/>
      <c r="AJU18" s="101"/>
      <c r="AJV18" s="101"/>
      <c r="AJW18" s="101"/>
      <c r="AJX18" s="101"/>
      <c r="AJY18" s="101"/>
      <c r="AJZ18" s="101"/>
      <c r="AKA18" s="101"/>
      <c r="AKB18" s="101"/>
      <c r="AKC18" s="101"/>
      <c r="AKD18" s="101"/>
      <c r="AKE18" s="101"/>
      <c r="AKF18" s="101"/>
      <c r="AKG18" s="101"/>
      <c r="AKH18" s="101"/>
      <c r="AKI18" s="101"/>
      <c r="AKJ18" s="101"/>
      <c r="AKK18" s="101"/>
      <c r="AKL18" s="101"/>
      <c r="AKM18" s="101"/>
      <c r="AKN18" s="101"/>
      <c r="AKO18" s="101"/>
      <c r="AKP18" s="101"/>
      <c r="AKQ18" s="101"/>
      <c r="AKR18" s="101"/>
      <c r="AKS18" s="101"/>
      <c r="AKT18" s="101"/>
      <c r="AKU18" s="101"/>
      <c r="AKV18" s="101"/>
      <c r="AKW18" s="101"/>
      <c r="AKX18" s="101"/>
      <c r="AKY18" s="101"/>
      <c r="AKZ18" s="101"/>
      <c r="ALA18" s="101"/>
      <c r="ALB18" s="101"/>
      <c r="ALC18" s="101"/>
      <c r="ALD18" s="101"/>
      <c r="ALE18" s="101"/>
      <c r="ALF18" s="101"/>
      <c r="ALG18" s="101"/>
      <c r="ALH18" s="101"/>
      <c r="ALI18" s="101"/>
      <c r="ALJ18" s="101"/>
      <c r="ALK18" s="101"/>
      <c r="ALL18" s="101"/>
      <c r="ALM18" s="101"/>
      <c r="ALN18" s="101"/>
      <c r="ALO18" s="101"/>
      <c r="ALP18" s="101"/>
      <c r="ALQ18" s="101"/>
      <c r="ALR18" s="101"/>
      <c r="ALS18" s="101"/>
      <c r="ALT18" s="101"/>
      <c r="ALU18" s="101"/>
      <c r="ALV18" s="101"/>
      <c r="ALW18" s="101"/>
      <c r="ALX18" s="101"/>
      <c r="ALY18" s="101"/>
      <c r="ALZ18" s="101"/>
      <c r="AMA18" s="101"/>
      <c r="AMB18" s="101"/>
      <c r="AMC18" s="101"/>
      <c r="AMD18" s="101"/>
      <c r="AME18" s="101"/>
      <c r="AMF18" s="101"/>
      <c r="AMG18" s="101"/>
      <c r="AMH18" s="101"/>
      <c r="AMI18" s="101"/>
      <c r="AMJ18" s="101"/>
      <c r="AMK18" s="101"/>
      <c r="AML18" s="101"/>
      <c r="AMM18" s="101"/>
      <c r="AMN18" s="101"/>
      <c r="AMO18" s="101"/>
      <c r="AMP18" s="101"/>
      <c r="AMQ18" s="101"/>
      <c r="AMR18" s="101"/>
      <c r="AMS18" s="101"/>
      <c r="AMT18" s="101"/>
      <c r="AMU18" s="101"/>
      <c r="AMV18" s="101"/>
      <c r="AMW18" s="101"/>
      <c r="AMX18" s="101"/>
      <c r="AMY18" s="101"/>
      <c r="AMZ18" s="101"/>
      <c r="ANA18" s="101"/>
      <c r="ANB18" s="101"/>
      <c r="ANC18" s="101"/>
      <c r="AND18" s="101"/>
      <c r="ANE18" s="101"/>
      <c r="ANF18" s="101"/>
      <c r="ANG18" s="101"/>
      <c r="ANH18" s="101"/>
      <c r="ANI18" s="101"/>
      <c r="ANJ18" s="101"/>
      <c r="ANK18" s="101"/>
      <c r="ANL18" s="101"/>
      <c r="ANM18" s="101"/>
      <c r="ANN18" s="101"/>
      <c r="ANO18" s="101"/>
      <c r="ANP18" s="101"/>
      <c r="ANQ18" s="101"/>
      <c r="ANR18" s="101"/>
      <c r="ANS18" s="101"/>
      <c r="ANT18" s="101"/>
      <c r="ANU18" s="101"/>
      <c r="ANV18" s="101"/>
      <c r="ANW18" s="101"/>
      <c r="ANX18" s="101"/>
      <c r="ANY18" s="101"/>
      <c r="ANZ18" s="101"/>
      <c r="AOA18" s="101"/>
      <c r="AOB18" s="101"/>
      <c r="AOC18" s="101"/>
      <c r="AOD18" s="101"/>
      <c r="AOE18" s="101"/>
      <c r="AOF18" s="101"/>
      <c r="AOG18" s="101"/>
      <c r="AOH18" s="101"/>
      <c r="AOI18" s="101"/>
      <c r="AOJ18" s="101"/>
      <c r="AOK18" s="101"/>
      <c r="AOL18" s="101"/>
      <c r="AOM18" s="101"/>
      <c r="AON18" s="101"/>
      <c r="AOO18" s="101"/>
      <c r="AOP18" s="101"/>
      <c r="AOQ18" s="101"/>
      <c r="AOR18" s="101"/>
      <c r="AOS18" s="101"/>
      <c r="AOT18" s="101"/>
      <c r="AOU18" s="101"/>
      <c r="AOV18" s="101"/>
      <c r="AOW18" s="101"/>
      <c r="AOX18" s="101"/>
      <c r="AOY18" s="101"/>
      <c r="AOZ18" s="101"/>
      <c r="APA18" s="101"/>
      <c r="APB18" s="101"/>
      <c r="APC18" s="101"/>
      <c r="APD18" s="101"/>
      <c r="APE18" s="101"/>
      <c r="APF18" s="101"/>
      <c r="APG18" s="101"/>
      <c r="APH18" s="101"/>
      <c r="API18" s="101"/>
      <c r="APJ18" s="101"/>
      <c r="APK18" s="101"/>
      <c r="APL18" s="101"/>
      <c r="APM18" s="101"/>
      <c r="APN18" s="101"/>
      <c r="APO18" s="101"/>
      <c r="APP18" s="101"/>
      <c r="APQ18" s="101"/>
      <c r="APR18" s="101"/>
      <c r="APS18" s="101"/>
      <c r="APT18" s="101"/>
      <c r="APU18" s="101"/>
      <c r="APV18" s="101"/>
      <c r="APW18" s="101"/>
      <c r="APX18" s="101"/>
      <c r="APY18" s="101"/>
      <c r="APZ18" s="101"/>
      <c r="AQA18" s="101"/>
      <c r="AQB18" s="101"/>
      <c r="AQC18" s="101"/>
      <c r="AQD18" s="101"/>
      <c r="AQE18" s="101"/>
      <c r="AQF18" s="101"/>
      <c r="AQG18" s="101"/>
      <c r="AQH18" s="101"/>
      <c r="AQI18" s="101"/>
      <c r="AQJ18" s="101"/>
      <c r="AQK18" s="101"/>
      <c r="AQL18" s="101"/>
      <c r="AQM18" s="101"/>
      <c r="AQN18" s="101"/>
      <c r="AQO18" s="101"/>
      <c r="AQP18" s="101"/>
      <c r="AQQ18" s="101"/>
      <c r="AQR18" s="101"/>
      <c r="AQS18" s="101"/>
      <c r="AQT18" s="101"/>
      <c r="AQU18" s="101"/>
      <c r="AQV18" s="101"/>
      <c r="AQW18" s="101"/>
      <c r="AQX18" s="101"/>
      <c r="AQY18" s="101"/>
      <c r="AQZ18" s="101"/>
      <c r="ARA18" s="101"/>
      <c r="ARB18" s="101"/>
      <c r="ARC18" s="101"/>
      <c r="ARD18" s="101"/>
      <c r="ARE18" s="101"/>
      <c r="ARF18" s="101"/>
      <c r="ARG18" s="101"/>
      <c r="ARH18" s="101"/>
      <c r="ARI18" s="101"/>
      <c r="ARJ18" s="101"/>
      <c r="ARK18" s="101"/>
      <c r="ARL18" s="101"/>
      <c r="ARM18" s="101"/>
      <c r="ARN18" s="101"/>
      <c r="ARO18" s="101"/>
      <c r="ARP18" s="101"/>
      <c r="ARQ18" s="101"/>
      <c r="ARR18" s="101"/>
      <c r="ARS18" s="101"/>
      <c r="ART18" s="101"/>
      <c r="ARU18" s="101"/>
      <c r="ARV18" s="101"/>
      <c r="ARW18" s="101"/>
      <c r="ARX18" s="101"/>
      <c r="ARY18" s="101"/>
      <c r="ARZ18" s="101"/>
      <c r="ASA18" s="101"/>
      <c r="ASB18" s="101"/>
      <c r="ASC18" s="101"/>
      <c r="ASD18" s="101"/>
      <c r="ASE18" s="101"/>
      <c r="ASF18" s="101"/>
      <c r="ASG18" s="101"/>
      <c r="ASH18" s="101"/>
      <c r="ASI18" s="101"/>
      <c r="ASJ18" s="101"/>
      <c r="ASK18" s="101"/>
      <c r="ASL18" s="101"/>
      <c r="ASM18" s="101"/>
      <c r="ASN18" s="101"/>
      <c r="ASO18" s="101"/>
      <c r="ASP18" s="101"/>
      <c r="ASQ18" s="101"/>
      <c r="ASR18" s="101"/>
      <c r="ASS18" s="101"/>
      <c r="AST18" s="101"/>
      <c r="ASU18" s="101"/>
      <c r="ASV18" s="101"/>
      <c r="ASW18" s="101"/>
      <c r="ASX18" s="101"/>
      <c r="ASY18" s="101"/>
      <c r="ASZ18" s="101"/>
      <c r="ATA18" s="101"/>
      <c r="ATB18" s="101"/>
      <c r="ATC18" s="101"/>
      <c r="ATD18" s="101"/>
      <c r="ATE18" s="101"/>
      <c r="ATF18" s="101"/>
      <c r="ATG18" s="101"/>
      <c r="ATH18" s="101"/>
      <c r="ATI18" s="101"/>
      <c r="ATJ18" s="101"/>
      <c r="ATK18" s="101"/>
      <c r="ATL18" s="101"/>
      <c r="ATM18" s="101"/>
      <c r="ATN18" s="101"/>
      <c r="ATO18" s="101"/>
      <c r="ATP18" s="101"/>
      <c r="ATQ18" s="101"/>
      <c r="ATR18" s="101"/>
      <c r="ATS18" s="101"/>
      <c r="ATT18" s="101"/>
      <c r="ATU18" s="101"/>
      <c r="ATV18" s="101"/>
      <c r="ATW18" s="101"/>
      <c r="ATX18" s="101"/>
      <c r="ATY18" s="101"/>
      <c r="ATZ18" s="101"/>
      <c r="AUA18" s="101"/>
      <c r="AUB18" s="101"/>
      <c r="AUC18" s="101"/>
      <c r="AUD18" s="101"/>
      <c r="AUE18" s="101"/>
      <c r="AUF18" s="101"/>
      <c r="AUG18" s="101"/>
      <c r="AUH18" s="101"/>
      <c r="AUI18" s="101"/>
      <c r="AUJ18" s="101"/>
      <c r="AUK18" s="101"/>
      <c r="AUL18" s="101"/>
      <c r="AUM18" s="101"/>
      <c r="AUN18" s="101"/>
      <c r="AUO18" s="101"/>
      <c r="AUP18" s="101"/>
      <c r="AUQ18" s="101"/>
      <c r="AUR18" s="101"/>
      <c r="AUS18" s="101"/>
      <c r="AUT18" s="101"/>
      <c r="AUU18" s="101"/>
      <c r="AUV18" s="101"/>
      <c r="AUW18" s="101"/>
      <c r="AUX18" s="101"/>
      <c r="AUY18" s="101"/>
      <c r="AUZ18" s="101"/>
      <c r="AVA18" s="101"/>
      <c r="AVB18" s="101"/>
      <c r="AVC18" s="101"/>
      <c r="AVD18" s="101"/>
      <c r="AVE18" s="101"/>
      <c r="AVF18" s="101"/>
      <c r="AVG18" s="101"/>
      <c r="AVH18" s="101"/>
      <c r="AVI18" s="101"/>
      <c r="AVJ18" s="101"/>
      <c r="AVK18" s="101"/>
      <c r="AVL18" s="101"/>
      <c r="AVM18" s="101"/>
      <c r="AVN18" s="101"/>
      <c r="AVO18" s="101"/>
      <c r="AVP18" s="101"/>
      <c r="AVQ18" s="101"/>
      <c r="AVR18" s="101"/>
      <c r="AVS18" s="101"/>
      <c r="AVT18" s="101"/>
      <c r="AVU18" s="101"/>
      <c r="AVV18" s="101"/>
      <c r="AVW18" s="101"/>
      <c r="AVX18" s="101"/>
      <c r="AVY18" s="101"/>
      <c r="AVZ18" s="101"/>
      <c r="AWA18" s="101"/>
      <c r="AWB18" s="101"/>
      <c r="AWC18" s="101"/>
      <c r="AWD18" s="101"/>
      <c r="AWE18" s="101"/>
      <c r="AWF18" s="101"/>
      <c r="AWG18" s="101"/>
      <c r="AWH18" s="101"/>
      <c r="AWI18" s="101"/>
      <c r="AWJ18" s="101"/>
      <c r="AWK18" s="101"/>
      <c r="AWL18" s="101"/>
      <c r="AWM18" s="101"/>
      <c r="AWN18" s="101"/>
      <c r="AWO18" s="101"/>
      <c r="AWP18" s="101"/>
      <c r="AWQ18" s="101"/>
      <c r="AWR18" s="101"/>
      <c r="AWS18" s="101"/>
      <c r="AWT18" s="101"/>
      <c r="AWU18" s="101"/>
      <c r="AWV18" s="101"/>
      <c r="AWW18" s="101"/>
      <c r="AWX18" s="101"/>
      <c r="AWY18" s="101"/>
      <c r="AWZ18" s="101"/>
      <c r="AXA18" s="101"/>
      <c r="AXB18" s="101"/>
      <c r="AXC18" s="101"/>
      <c r="AXD18" s="101"/>
      <c r="AXE18" s="101"/>
      <c r="AXF18" s="101"/>
      <c r="AXG18" s="101"/>
      <c r="AXH18" s="101"/>
      <c r="AXI18" s="101"/>
      <c r="AXJ18" s="101"/>
      <c r="AXK18" s="101"/>
      <c r="AXL18" s="101"/>
      <c r="AXM18" s="101"/>
      <c r="AXN18" s="101"/>
      <c r="AXO18" s="101"/>
      <c r="AXP18" s="101"/>
      <c r="AXQ18" s="101"/>
      <c r="AXR18" s="101"/>
      <c r="AXS18" s="101"/>
      <c r="AXT18" s="101"/>
      <c r="AXU18" s="101"/>
      <c r="AXV18" s="101"/>
      <c r="AXW18" s="101"/>
      <c r="AXX18" s="101"/>
      <c r="AXY18" s="101"/>
      <c r="AXZ18" s="101"/>
      <c r="AYA18" s="101"/>
      <c r="AYB18" s="101"/>
      <c r="AYC18" s="101"/>
      <c r="AYD18" s="101"/>
      <c r="AYE18" s="101"/>
      <c r="AYF18" s="101"/>
      <c r="AYG18" s="101"/>
      <c r="AYH18" s="101"/>
      <c r="AYI18" s="101"/>
      <c r="AYJ18" s="101"/>
      <c r="AYK18" s="101"/>
      <c r="AYL18" s="101"/>
      <c r="AYM18" s="101"/>
      <c r="AYN18" s="101"/>
      <c r="AYO18" s="101"/>
      <c r="AYP18" s="101"/>
      <c r="AYQ18" s="101"/>
      <c r="AYR18" s="101"/>
      <c r="AYS18" s="101"/>
      <c r="AYT18" s="101"/>
      <c r="AYU18" s="101"/>
      <c r="AYV18" s="101"/>
      <c r="AYW18" s="101"/>
      <c r="AYX18" s="101"/>
      <c r="AYY18" s="101"/>
      <c r="AYZ18" s="101"/>
      <c r="AZA18" s="101"/>
      <c r="AZB18" s="101"/>
      <c r="AZC18" s="101"/>
      <c r="AZD18" s="101"/>
      <c r="AZE18" s="101"/>
      <c r="AZF18" s="101"/>
      <c r="AZG18" s="101"/>
      <c r="AZH18" s="101"/>
      <c r="AZI18" s="101"/>
      <c r="AZJ18" s="101"/>
      <c r="AZK18" s="101"/>
      <c r="AZL18" s="101"/>
      <c r="AZM18" s="101"/>
      <c r="AZN18" s="101"/>
      <c r="AZO18" s="101"/>
      <c r="AZP18" s="101"/>
      <c r="AZQ18" s="101"/>
      <c r="AZR18" s="101"/>
      <c r="AZS18" s="101"/>
      <c r="AZT18" s="101"/>
      <c r="AZU18" s="101"/>
      <c r="AZV18" s="101"/>
      <c r="AZW18" s="101"/>
      <c r="AZX18" s="101"/>
      <c r="AZY18" s="101"/>
      <c r="AZZ18" s="101"/>
      <c r="BAA18" s="101"/>
      <c r="BAB18" s="101"/>
      <c r="BAC18" s="101"/>
      <c r="BAD18" s="101"/>
      <c r="BAE18" s="101"/>
      <c r="BAF18" s="101"/>
      <c r="BAG18" s="101"/>
      <c r="BAH18" s="101"/>
      <c r="BAI18" s="101"/>
      <c r="BAJ18" s="101"/>
      <c r="BAK18" s="101"/>
      <c r="BAL18" s="101"/>
      <c r="BAM18" s="101"/>
      <c r="BAN18" s="101"/>
      <c r="BAO18" s="101"/>
      <c r="BAP18" s="101"/>
      <c r="BAQ18" s="101"/>
      <c r="BAR18" s="101"/>
      <c r="BAS18" s="101"/>
      <c r="BAT18" s="101"/>
      <c r="BAU18" s="101"/>
      <c r="BAV18" s="101"/>
      <c r="BAW18" s="101"/>
      <c r="BAX18" s="101"/>
      <c r="BAY18" s="101"/>
      <c r="BAZ18" s="101"/>
      <c r="BBA18" s="101"/>
      <c r="BBB18" s="101"/>
      <c r="BBC18" s="101"/>
      <c r="BBD18" s="101"/>
      <c r="BBE18" s="101"/>
      <c r="BBF18" s="101"/>
      <c r="BBG18" s="101"/>
      <c r="BBH18" s="101"/>
      <c r="BBI18" s="101"/>
      <c r="BBJ18" s="101"/>
      <c r="BBK18" s="101"/>
      <c r="BBL18" s="101"/>
      <c r="BBM18" s="101"/>
      <c r="BBN18" s="101"/>
      <c r="BBO18" s="101"/>
      <c r="BBP18" s="101"/>
      <c r="BBQ18" s="101"/>
      <c r="BBR18" s="101"/>
      <c r="BBS18" s="101"/>
      <c r="BBT18" s="101"/>
      <c r="BBU18" s="101"/>
      <c r="BBV18" s="101"/>
      <c r="BBW18" s="101"/>
      <c r="BBX18" s="101"/>
      <c r="BBY18" s="101"/>
      <c r="BBZ18" s="101"/>
      <c r="BCA18" s="101"/>
      <c r="BCB18" s="101"/>
      <c r="BCC18" s="101"/>
      <c r="BCD18" s="101"/>
      <c r="BCE18" s="101"/>
      <c r="BCF18" s="101"/>
      <c r="BCG18" s="101"/>
      <c r="BCH18" s="101"/>
      <c r="BCI18" s="101"/>
      <c r="BCJ18" s="101"/>
      <c r="BCK18" s="101"/>
      <c r="BCL18" s="101"/>
      <c r="BCM18" s="101"/>
      <c r="BCN18" s="101"/>
      <c r="BCO18" s="101"/>
      <c r="BCP18" s="101"/>
      <c r="BCQ18" s="101"/>
      <c r="BCR18" s="101"/>
      <c r="BCS18" s="101"/>
      <c r="BCT18" s="101"/>
      <c r="BCU18" s="101"/>
      <c r="BCV18" s="101"/>
      <c r="BCW18" s="101"/>
      <c r="BCX18" s="101"/>
      <c r="BCY18" s="101"/>
      <c r="BCZ18" s="101"/>
      <c r="BDA18" s="101"/>
      <c r="BDB18" s="101"/>
      <c r="BDC18" s="101"/>
      <c r="BDD18" s="101"/>
      <c r="BDE18" s="101"/>
      <c r="BDF18" s="101"/>
      <c r="BDG18" s="101"/>
      <c r="BDH18" s="101"/>
      <c r="BDI18" s="101"/>
      <c r="BDJ18" s="101"/>
      <c r="BDK18" s="101"/>
      <c r="BDL18" s="101"/>
      <c r="BDM18" s="101"/>
      <c r="BDN18" s="101"/>
      <c r="BDO18" s="101"/>
      <c r="BDP18" s="101"/>
      <c r="BDQ18" s="101"/>
      <c r="BDR18" s="101"/>
      <c r="BDS18" s="101"/>
      <c r="BDT18" s="101"/>
      <c r="BDU18" s="101"/>
      <c r="BDV18" s="101"/>
      <c r="BDW18" s="101"/>
      <c r="BDX18" s="101"/>
      <c r="BDY18" s="101"/>
      <c r="BDZ18" s="101"/>
      <c r="BEA18" s="101"/>
      <c r="BEB18" s="101"/>
      <c r="BEC18" s="101"/>
      <c r="BED18" s="101"/>
      <c r="BEE18" s="101"/>
      <c r="BEF18" s="101"/>
      <c r="BEG18" s="101"/>
      <c r="BEH18" s="101"/>
      <c r="BEI18" s="101"/>
      <c r="BEJ18" s="101"/>
      <c r="BEK18" s="101"/>
      <c r="BEL18" s="101"/>
      <c r="BEM18" s="101"/>
      <c r="BEN18" s="101"/>
      <c r="BEO18" s="101"/>
      <c r="BEP18" s="101"/>
      <c r="BEQ18" s="101"/>
      <c r="BER18" s="101"/>
      <c r="BES18" s="101"/>
      <c r="BET18" s="101"/>
      <c r="BEU18" s="101"/>
      <c r="BEV18" s="101"/>
      <c r="BEW18" s="101"/>
      <c r="BEX18" s="101"/>
      <c r="BEY18" s="101"/>
      <c r="BEZ18" s="101"/>
      <c r="BFA18" s="101"/>
      <c r="BFB18" s="101"/>
      <c r="BFC18" s="101"/>
      <c r="BFD18" s="101"/>
      <c r="BFE18" s="101"/>
      <c r="BFF18" s="101"/>
      <c r="BFG18" s="101"/>
      <c r="BFH18" s="101"/>
      <c r="BFI18" s="101"/>
      <c r="BFJ18" s="101"/>
      <c r="BFK18" s="101"/>
      <c r="BFL18" s="101"/>
      <c r="BFM18" s="101"/>
      <c r="BFN18" s="101"/>
      <c r="BFO18" s="101"/>
      <c r="BFP18" s="101"/>
      <c r="BFQ18" s="101"/>
      <c r="BFR18" s="101"/>
      <c r="BFS18" s="101"/>
      <c r="BFT18" s="101"/>
      <c r="BFU18" s="101"/>
      <c r="BFV18" s="101"/>
      <c r="BFW18" s="101"/>
      <c r="BFX18" s="101"/>
      <c r="BFY18" s="101"/>
      <c r="BFZ18" s="101"/>
      <c r="BGA18" s="101"/>
      <c r="BGB18" s="101"/>
      <c r="BGC18" s="101"/>
      <c r="BGD18" s="101"/>
      <c r="BGE18" s="101"/>
      <c r="BGF18" s="101"/>
      <c r="BGG18" s="101"/>
      <c r="BGH18" s="101"/>
      <c r="BGI18" s="101"/>
      <c r="BGJ18" s="101"/>
      <c r="BGK18" s="101"/>
      <c r="BGL18" s="101"/>
      <c r="BGM18" s="101"/>
      <c r="BGN18" s="101"/>
      <c r="BGO18" s="101"/>
      <c r="BGP18" s="101"/>
      <c r="BGQ18" s="101"/>
      <c r="BGR18" s="101"/>
      <c r="BGS18" s="101"/>
      <c r="BGT18" s="101"/>
      <c r="BGU18" s="101"/>
      <c r="BGV18" s="101"/>
      <c r="BGW18" s="101"/>
      <c r="BGX18" s="101"/>
      <c r="BGY18" s="101"/>
      <c r="BGZ18" s="101"/>
      <c r="BHA18" s="101"/>
      <c r="BHB18" s="101"/>
      <c r="BHC18" s="101"/>
      <c r="BHD18" s="101"/>
      <c r="BHE18" s="101"/>
      <c r="BHF18" s="101"/>
      <c r="BHG18" s="101"/>
      <c r="BHH18" s="101"/>
      <c r="BHI18" s="101"/>
      <c r="BHJ18" s="101"/>
      <c r="BHK18" s="101"/>
      <c r="BHL18" s="101"/>
      <c r="BHM18" s="101"/>
      <c r="BHN18" s="101"/>
      <c r="BHO18" s="101"/>
      <c r="BHP18" s="101"/>
      <c r="BHQ18" s="101"/>
      <c r="BHR18" s="101"/>
      <c r="BHS18" s="101"/>
      <c r="BHT18" s="101"/>
      <c r="BHU18" s="101"/>
      <c r="BHV18" s="101"/>
      <c r="BHW18" s="101"/>
      <c r="BHX18" s="101"/>
      <c r="BHY18" s="101"/>
      <c r="BHZ18" s="101"/>
      <c r="BIA18" s="101"/>
      <c r="BIB18" s="101"/>
      <c r="BIC18" s="101"/>
      <c r="BID18" s="101"/>
      <c r="BIE18" s="101"/>
      <c r="BIF18" s="101"/>
      <c r="BIG18" s="101"/>
      <c r="BIH18" s="101"/>
      <c r="BII18" s="101"/>
      <c r="BIJ18" s="101"/>
      <c r="BIK18" s="101"/>
      <c r="BIL18" s="101"/>
      <c r="BIM18" s="101"/>
      <c r="BIN18" s="101"/>
      <c r="BIO18" s="101"/>
      <c r="BIP18" s="101"/>
      <c r="BIQ18" s="101"/>
      <c r="BIR18" s="101"/>
      <c r="BIS18" s="101"/>
      <c r="BIT18" s="101"/>
      <c r="BIU18" s="101"/>
      <c r="BIV18" s="101"/>
      <c r="BIW18" s="101"/>
      <c r="BIX18" s="101"/>
      <c r="BIY18" s="101"/>
      <c r="BIZ18" s="101"/>
      <c r="BJA18" s="101"/>
      <c r="BJB18" s="101"/>
      <c r="BJC18" s="101"/>
      <c r="BJD18" s="101"/>
      <c r="BJE18" s="101"/>
      <c r="BJF18" s="101"/>
      <c r="BJG18" s="101"/>
      <c r="BJH18" s="101"/>
      <c r="BJI18" s="101"/>
      <c r="BJJ18" s="101"/>
      <c r="BJK18" s="101"/>
      <c r="BJL18" s="101"/>
      <c r="BJM18" s="101"/>
      <c r="BJN18" s="101"/>
      <c r="BJO18" s="101"/>
      <c r="BJP18" s="101"/>
      <c r="BJQ18" s="101"/>
      <c r="BJR18" s="101"/>
      <c r="BJS18" s="101"/>
      <c r="BJT18" s="101"/>
      <c r="BJU18" s="101"/>
      <c r="BJV18" s="101"/>
      <c r="BJW18" s="101"/>
      <c r="BJX18" s="101"/>
      <c r="BJY18" s="101"/>
      <c r="BJZ18" s="101"/>
      <c r="BKA18" s="101"/>
      <c r="BKB18" s="101"/>
      <c r="BKC18" s="101"/>
      <c r="BKD18" s="101"/>
      <c r="BKE18" s="101"/>
      <c r="BKF18" s="101"/>
      <c r="BKG18" s="101"/>
      <c r="BKH18" s="101"/>
      <c r="BKI18" s="101"/>
      <c r="BKJ18" s="101"/>
      <c r="BKK18" s="101"/>
      <c r="BKL18" s="101"/>
      <c r="BKM18" s="101"/>
      <c r="BKN18" s="101"/>
      <c r="BKO18" s="101"/>
      <c r="BKP18" s="101"/>
      <c r="BKQ18" s="101"/>
      <c r="BKR18" s="101"/>
      <c r="BKS18" s="101"/>
      <c r="BKT18" s="101"/>
      <c r="BKU18" s="101"/>
      <c r="BKV18" s="101"/>
      <c r="BKW18" s="101"/>
      <c r="BKX18" s="101"/>
      <c r="BKY18" s="101"/>
      <c r="BKZ18" s="101"/>
      <c r="BLA18" s="101"/>
      <c r="BLB18" s="101"/>
      <c r="BLC18" s="101"/>
      <c r="BLD18" s="101"/>
      <c r="BLE18" s="101"/>
      <c r="BLF18" s="101"/>
      <c r="BLG18" s="101"/>
      <c r="BLH18" s="101"/>
      <c r="BLI18" s="101"/>
      <c r="BLJ18" s="101"/>
      <c r="BLK18" s="101"/>
      <c r="BLL18" s="101"/>
      <c r="BLM18" s="101"/>
      <c r="BLN18" s="101"/>
      <c r="BLO18" s="101"/>
      <c r="BLP18" s="101"/>
      <c r="BLQ18" s="101"/>
      <c r="BLR18" s="101"/>
      <c r="BLS18" s="101"/>
      <c r="BLT18" s="101"/>
      <c r="BLU18" s="101"/>
      <c r="BLV18" s="101"/>
      <c r="BLW18" s="101"/>
      <c r="BLX18" s="101"/>
      <c r="BLY18" s="101"/>
      <c r="BLZ18" s="101"/>
      <c r="BMA18" s="101"/>
      <c r="BMB18" s="101"/>
      <c r="BMC18" s="101"/>
      <c r="BMD18" s="101"/>
      <c r="BME18" s="101"/>
      <c r="BMF18" s="101"/>
      <c r="BMG18" s="101"/>
      <c r="BMH18" s="101"/>
      <c r="BMI18" s="101"/>
      <c r="BMJ18" s="101"/>
      <c r="BMK18" s="101"/>
      <c r="BML18" s="101"/>
      <c r="BMM18" s="101"/>
      <c r="BMN18" s="101"/>
      <c r="BMO18" s="101"/>
      <c r="BMP18" s="101"/>
      <c r="BMQ18" s="101"/>
      <c r="BMR18" s="101"/>
      <c r="BMS18" s="101"/>
      <c r="BMT18" s="101"/>
      <c r="BMU18" s="101"/>
      <c r="BMV18" s="101"/>
      <c r="BMW18" s="101"/>
      <c r="BMX18" s="101"/>
      <c r="BMY18" s="101"/>
      <c r="BMZ18" s="101"/>
      <c r="BNA18" s="101"/>
      <c r="BNB18" s="101"/>
      <c r="BNC18" s="101"/>
      <c r="BND18" s="101"/>
      <c r="BNE18" s="101"/>
      <c r="BNF18" s="101"/>
      <c r="BNG18" s="101"/>
      <c r="BNH18" s="101"/>
      <c r="BNI18" s="101"/>
      <c r="BNJ18" s="101"/>
      <c r="BNK18" s="101"/>
      <c r="BNL18" s="101"/>
      <c r="BNM18" s="101"/>
      <c r="BNN18" s="101"/>
      <c r="BNO18" s="101"/>
      <c r="BNP18" s="101"/>
      <c r="BNQ18" s="101"/>
      <c r="BNR18" s="101"/>
      <c r="BNS18" s="101"/>
      <c r="BNT18" s="101"/>
      <c r="BNU18" s="101"/>
      <c r="BNV18" s="101"/>
      <c r="BNW18" s="101"/>
      <c r="BNX18" s="101"/>
      <c r="BNY18" s="101"/>
      <c r="BNZ18" s="101"/>
      <c r="BOA18" s="101"/>
      <c r="BOB18" s="101"/>
      <c r="BOC18" s="101"/>
      <c r="BOD18" s="101"/>
      <c r="BOE18" s="101"/>
      <c r="BOF18" s="101"/>
      <c r="BOG18" s="101"/>
      <c r="BOH18" s="101"/>
      <c r="BOI18" s="101"/>
      <c r="BOJ18" s="101"/>
      <c r="BOK18" s="101"/>
      <c r="BOL18" s="101"/>
      <c r="BOM18" s="101"/>
      <c r="BON18" s="101"/>
      <c r="BOO18" s="101"/>
      <c r="BOP18" s="101"/>
      <c r="BOQ18" s="101"/>
      <c r="BOR18" s="101"/>
      <c r="BOS18" s="101"/>
      <c r="BOT18" s="101"/>
      <c r="BOU18" s="101"/>
      <c r="BOV18" s="101"/>
      <c r="BOW18" s="101"/>
      <c r="BOX18" s="101"/>
      <c r="BOY18" s="101"/>
      <c r="BOZ18" s="101"/>
      <c r="BPA18" s="101"/>
      <c r="BPB18" s="101"/>
      <c r="BPC18" s="161"/>
    </row>
    <row r="19" s="102" customFormat="1" ht="75" customHeight="1" outlineLevel="1" spans="1:1024 1025:1771">
      <c r="A19" s="157" t="s">
        <v>68</v>
      </c>
      <c r="B19" s="151" t="s">
        <v>1055</v>
      </c>
      <c r="C19" s="158" t="s">
        <v>1056</v>
      </c>
      <c r="D19" s="153" t="s">
        <v>1044</v>
      </c>
      <c r="E19" s="154"/>
      <c r="F19" s="159"/>
      <c r="G19" s="160"/>
      <c r="H19" s="155">
        <v>46137</v>
      </c>
      <c r="I19" s="156" t="s">
        <v>7</v>
      </c>
      <c r="J19" s="153"/>
      <c r="K19" s="5"/>
      <c r="L19" s="5" t="s">
        <v>1041</v>
      </c>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01"/>
      <c r="EJ19" s="101"/>
      <c r="EK19" s="101"/>
      <c r="EL19" s="101"/>
      <c r="EM19" s="101"/>
      <c r="EN19" s="101"/>
      <c r="EO19" s="101"/>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c r="FL19" s="101"/>
      <c r="FM19" s="101"/>
      <c r="FN19" s="101"/>
      <c r="FO19" s="101"/>
      <c r="FP19" s="101"/>
      <c r="FQ19" s="101"/>
      <c r="FR19" s="101"/>
      <c r="FS19" s="101"/>
      <c r="FT19" s="101"/>
      <c r="FU19" s="101"/>
      <c r="FV19" s="101"/>
      <c r="FW19" s="101"/>
      <c r="FX19" s="101"/>
      <c r="FY19" s="101"/>
      <c r="FZ19" s="101"/>
      <c r="GA19" s="101"/>
      <c r="GB19" s="101"/>
      <c r="GC19" s="101"/>
      <c r="GD19" s="101"/>
      <c r="GE19" s="101"/>
      <c r="GF19" s="101"/>
      <c r="GG19" s="101"/>
      <c r="GH19" s="101"/>
      <c r="GI19" s="101"/>
      <c r="GJ19" s="101"/>
      <c r="GK19" s="101"/>
      <c r="GL19" s="101"/>
      <c r="GM19" s="101"/>
      <c r="GN19" s="101"/>
      <c r="GO19" s="101"/>
      <c r="GP19" s="101"/>
      <c r="GQ19" s="101"/>
      <c r="GR19" s="101"/>
      <c r="GS19" s="101"/>
      <c r="GT19" s="101"/>
      <c r="GU19" s="101"/>
      <c r="GV19" s="101"/>
      <c r="GW19" s="101"/>
      <c r="GX19" s="101"/>
      <c r="GY19" s="101"/>
      <c r="GZ19" s="101"/>
      <c r="HA19" s="101"/>
      <c r="HB19" s="101"/>
      <c r="HC19" s="101"/>
      <c r="HD19" s="101"/>
      <c r="HE19" s="101"/>
      <c r="HF19" s="101"/>
      <c r="HG19" s="101"/>
      <c r="HH19" s="101"/>
      <c r="HI19" s="101"/>
      <c r="HJ19" s="101"/>
      <c r="HK19" s="101"/>
      <c r="HL19" s="101"/>
      <c r="HM19" s="101"/>
      <c r="HN19" s="101"/>
      <c r="HO19" s="101"/>
      <c r="HP19" s="101"/>
      <c r="HQ19" s="101"/>
      <c r="HR19" s="101"/>
      <c r="HS19" s="101"/>
      <c r="HT19" s="101"/>
      <c r="HU19" s="101"/>
      <c r="HV19" s="101"/>
      <c r="HW19" s="101"/>
      <c r="HX19" s="101"/>
      <c r="HY19" s="101"/>
      <c r="HZ19" s="101"/>
      <c r="IA19" s="101"/>
      <c r="IB19" s="101"/>
      <c r="IC19" s="101"/>
      <c r="ID19" s="101"/>
      <c r="IE19" s="101"/>
      <c r="IF19" s="101"/>
      <c r="IG19" s="101"/>
      <c r="IH19" s="101"/>
      <c r="II19" s="101"/>
      <c r="IJ19" s="101"/>
      <c r="IK19" s="101"/>
      <c r="IL19" s="101"/>
      <c r="IM19" s="101"/>
      <c r="IN19" s="101"/>
      <c r="IO19" s="101"/>
      <c r="IP19" s="101"/>
      <c r="IQ19" s="101"/>
      <c r="IR19" s="101"/>
      <c r="IS19" s="101"/>
      <c r="IT19" s="101"/>
      <c r="IU19" s="101"/>
      <c r="IV19" s="101"/>
      <c r="IW19" s="101"/>
      <c r="IX19" s="101"/>
      <c r="IY19" s="101"/>
      <c r="IZ19" s="101"/>
      <c r="JA19" s="101"/>
      <c r="JB19" s="101"/>
      <c r="JC19" s="101"/>
      <c r="JD19" s="101"/>
      <c r="JE19" s="101"/>
      <c r="JF19" s="101"/>
      <c r="JG19" s="101"/>
      <c r="JH19" s="101"/>
      <c r="JI19" s="101"/>
      <c r="JJ19" s="101"/>
      <c r="JK19" s="101"/>
      <c r="JL19" s="101"/>
      <c r="JM19" s="101"/>
      <c r="JN19" s="101"/>
      <c r="JO19" s="101"/>
      <c r="JP19" s="101"/>
      <c r="JQ19" s="101"/>
      <c r="JR19" s="101"/>
      <c r="JS19" s="101"/>
      <c r="JT19" s="101"/>
      <c r="JU19" s="101"/>
      <c r="JV19" s="101"/>
      <c r="JW19" s="101"/>
      <c r="JX19" s="101"/>
      <c r="JY19" s="101"/>
      <c r="JZ19" s="101"/>
      <c r="KA19" s="101"/>
      <c r="KB19" s="101"/>
      <c r="KC19" s="101"/>
      <c r="KD19" s="101"/>
      <c r="KE19" s="101"/>
      <c r="KF19" s="101"/>
      <c r="KG19" s="101"/>
      <c r="KH19" s="101"/>
      <c r="KI19" s="101"/>
      <c r="KJ19" s="101"/>
      <c r="KK19" s="101"/>
      <c r="KL19" s="101"/>
      <c r="KM19" s="101"/>
      <c r="KN19" s="101"/>
      <c r="KO19" s="101"/>
      <c r="KP19" s="101"/>
      <c r="KQ19" s="101"/>
      <c r="KR19" s="101"/>
      <c r="KS19" s="101"/>
      <c r="KT19" s="101"/>
      <c r="KU19" s="101"/>
      <c r="KV19" s="101"/>
      <c r="KW19" s="101"/>
      <c r="KX19" s="101"/>
      <c r="KY19" s="101"/>
      <c r="KZ19" s="101"/>
      <c r="LA19" s="101"/>
      <c r="LB19" s="101"/>
      <c r="LC19" s="101"/>
      <c r="LD19" s="101"/>
      <c r="LE19" s="101"/>
      <c r="LF19" s="101"/>
      <c r="LG19" s="101"/>
      <c r="LH19" s="101"/>
      <c r="LI19" s="101"/>
      <c r="LJ19" s="101"/>
      <c r="LK19" s="101"/>
      <c r="LL19" s="101"/>
      <c r="LM19" s="101"/>
      <c r="LN19" s="101"/>
      <c r="LO19" s="101"/>
      <c r="LP19" s="101"/>
      <c r="LQ19" s="101"/>
      <c r="LR19" s="101"/>
      <c r="LS19" s="101"/>
      <c r="LT19" s="101"/>
      <c r="LU19" s="101"/>
      <c r="LV19" s="101"/>
      <c r="LW19" s="101"/>
      <c r="LX19" s="101"/>
      <c r="LY19" s="101"/>
      <c r="LZ19" s="101"/>
      <c r="MA19" s="101"/>
      <c r="MB19" s="101"/>
      <c r="MC19" s="101"/>
      <c r="MD19" s="101"/>
      <c r="ME19" s="101"/>
      <c r="MF19" s="101"/>
      <c r="MG19" s="101"/>
      <c r="MH19" s="101"/>
      <c r="MI19" s="101"/>
      <c r="MJ19" s="101"/>
      <c r="MK19" s="101"/>
      <c r="ML19" s="101"/>
      <c r="MM19" s="101"/>
      <c r="MN19" s="101"/>
      <c r="MO19" s="101"/>
      <c r="MP19" s="101"/>
      <c r="MQ19" s="101"/>
      <c r="MR19" s="101"/>
      <c r="MS19" s="101"/>
      <c r="MT19" s="101"/>
      <c r="MU19" s="101"/>
      <c r="MV19" s="101"/>
      <c r="MW19" s="101"/>
      <c r="MX19" s="101"/>
      <c r="MY19" s="101"/>
      <c r="MZ19" s="101"/>
      <c r="NA19" s="101"/>
      <c r="NB19" s="101"/>
      <c r="NC19" s="101"/>
      <c r="ND19" s="101"/>
      <c r="NE19" s="101"/>
      <c r="NF19" s="101"/>
      <c r="NG19" s="101"/>
      <c r="NH19" s="101"/>
      <c r="NI19" s="101"/>
      <c r="NJ19" s="101"/>
      <c r="NK19" s="101"/>
      <c r="NL19" s="101"/>
      <c r="NM19" s="101"/>
      <c r="NN19" s="101"/>
      <c r="NO19" s="101"/>
      <c r="NP19" s="101"/>
      <c r="NQ19" s="101"/>
      <c r="NR19" s="101"/>
      <c r="NS19" s="101"/>
      <c r="NT19" s="101"/>
      <c r="NU19" s="101"/>
      <c r="NV19" s="101"/>
      <c r="NW19" s="101"/>
      <c r="NX19" s="101"/>
      <c r="NY19" s="101"/>
      <c r="NZ19" s="101"/>
      <c r="OA19" s="101"/>
      <c r="OB19" s="101"/>
      <c r="OC19" s="101"/>
      <c r="OD19" s="101"/>
      <c r="OE19" s="101"/>
      <c r="OF19" s="101"/>
      <c r="OG19" s="101"/>
      <c r="OH19" s="101"/>
      <c r="OI19" s="101"/>
      <c r="OJ19" s="101"/>
      <c r="OK19" s="101"/>
      <c r="OL19" s="101"/>
      <c r="OM19" s="101"/>
      <c r="ON19" s="101"/>
      <c r="OO19" s="101"/>
      <c r="OP19" s="101"/>
      <c r="OQ19" s="101"/>
      <c r="OR19" s="101"/>
      <c r="OS19" s="101"/>
      <c r="OT19" s="101"/>
      <c r="OU19" s="101"/>
      <c r="OV19" s="101"/>
      <c r="OW19" s="101"/>
      <c r="OX19" s="101"/>
      <c r="OY19" s="101"/>
      <c r="OZ19" s="101"/>
      <c r="PA19" s="101"/>
      <c r="PB19" s="101"/>
      <c r="PC19" s="101"/>
      <c r="PD19" s="101"/>
      <c r="PE19" s="101"/>
      <c r="PF19" s="101"/>
      <c r="PG19" s="101"/>
      <c r="PH19" s="101"/>
      <c r="PI19" s="101"/>
      <c r="PJ19" s="101"/>
      <c r="PK19" s="101"/>
      <c r="PL19" s="101"/>
      <c r="PM19" s="101"/>
      <c r="PN19" s="101"/>
      <c r="PO19" s="101"/>
      <c r="PP19" s="101"/>
      <c r="PQ19" s="101"/>
      <c r="PR19" s="101"/>
      <c r="PS19" s="101"/>
      <c r="PT19" s="101"/>
      <c r="PU19" s="101"/>
      <c r="PV19" s="101"/>
      <c r="PW19" s="101"/>
      <c r="PX19" s="101"/>
      <c r="PY19" s="101"/>
      <c r="PZ19" s="101"/>
      <c r="QA19" s="101"/>
      <c r="QB19" s="101"/>
      <c r="QC19" s="101"/>
      <c r="QD19" s="101"/>
      <c r="QE19" s="101"/>
      <c r="QF19" s="101"/>
      <c r="QG19" s="101"/>
      <c r="QH19" s="101"/>
      <c r="QI19" s="101"/>
      <c r="QJ19" s="101"/>
      <c r="QK19" s="101"/>
      <c r="QL19" s="101"/>
      <c r="QM19" s="101"/>
      <c r="QN19" s="101"/>
      <c r="QO19" s="101"/>
      <c r="QP19" s="101"/>
      <c r="QQ19" s="101"/>
      <c r="QR19" s="101"/>
      <c r="QS19" s="101"/>
      <c r="QT19" s="101"/>
      <c r="QU19" s="101"/>
      <c r="QV19" s="101"/>
      <c r="QW19" s="101"/>
      <c r="QX19" s="101"/>
      <c r="QY19" s="101"/>
      <c r="QZ19" s="101"/>
      <c r="RA19" s="101"/>
      <c r="RB19" s="101"/>
      <c r="RC19" s="101"/>
      <c r="RD19" s="101"/>
      <c r="RE19" s="101"/>
      <c r="RF19" s="101"/>
      <c r="RG19" s="101"/>
      <c r="RH19" s="101"/>
      <c r="RI19" s="101"/>
      <c r="RJ19" s="101"/>
      <c r="RK19" s="101"/>
      <c r="RL19" s="101"/>
      <c r="RM19" s="101"/>
      <c r="RN19" s="101"/>
      <c r="RO19" s="101"/>
      <c r="RP19" s="101"/>
      <c r="RQ19" s="101"/>
      <c r="RR19" s="101"/>
      <c r="RS19" s="101"/>
      <c r="RT19" s="101"/>
      <c r="RU19" s="101"/>
      <c r="RV19" s="101"/>
      <c r="RW19" s="101"/>
      <c r="RX19" s="101"/>
      <c r="RY19" s="101"/>
      <c r="RZ19" s="101"/>
      <c r="SA19" s="101"/>
      <c r="SB19" s="101"/>
      <c r="SC19" s="101"/>
      <c r="SD19" s="101"/>
      <c r="SE19" s="101"/>
      <c r="SF19" s="101"/>
      <c r="SG19" s="101"/>
      <c r="SH19" s="101"/>
      <c r="SI19" s="101"/>
      <c r="SJ19" s="101"/>
      <c r="SK19" s="101"/>
      <c r="SL19" s="101"/>
      <c r="SM19" s="101"/>
      <c r="SN19" s="101"/>
      <c r="SO19" s="101"/>
      <c r="SP19" s="101"/>
      <c r="SQ19" s="101"/>
      <c r="SR19" s="101"/>
      <c r="SS19" s="101"/>
      <c r="ST19" s="101"/>
      <c r="SU19" s="101"/>
      <c r="SV19" s="101"/>
      <c r="SW19" s="101"/>
      <c r="SX19" s="101"/>
      <c r="SY19" s="101"/>
      <c r="SZ19" s="101"/>
      <c r="TA19" s="101"/>
      <c r="TB19" s="101"/>
      <c r="TC19" s="101"/>
      <c r="TD19" s="101"/>
      <c r="TE19" s="101"/>
      <c r="TF19" s="101"/>
      <c r="TG19" s="101"/>
      <c r="TH19" s="101"/>
      <c r="TI19" s="101"/>
      <c r="TJ19" s="101"/>
      <c r="TK19" s="101"/>
      <c r="TL19" s="101"/>
      <c r="TM19" s="101"/>
      <c r="TN19" s="101"/>
      <c r="TO19" s="101"/>
      <c r="TP19" s="101"/>
      <c r="TQ19" s="101"/>
      <c r="TR19" s="101"/>
      <c r="TS19" s="101"/>
      <c r="TT19" s="101"/>
      <c r="TU19" s="101"/>
      <c r="TV19" s="101"/>
      <c r="TW19" s="101"/>
      <c r="TX19" s="101"/>
      <c r="TY19" s="101"/>
      <c r="TZ19" s="101"/>
      <c r="UA19" s="101"/>
      <c r="UB19" s="101"/>
      <c r="UC19" s="101"/>
      <c r="UD19" s="101"/>
      <c r="UE19" s="101"/>
      <c r="UF19" s="101"/>
      <c r="UG19" s="101"/>
      <c r="UH19" s="101"/>
      <c r="UI19" s="101"/>
      <c r="UJ19" s="101"/>
      <c r="UK19" s="101"/>
      <c r="UL19" s="101"/>
      <c r="UM19" s="101"/>
      <c r="UN19" s="101"/>
      <c r="UO19" s="101"/>
      <c r="UP19" s="101"/>
      <c r="UQ19" s="101"/>
      <c r="UR19" s="101"/>
      <c r="US19" s="101"/>
      <c r="UT19" s="101"/>
      <c r="UU19" s="101"/>
      <c r="UV19" s="101"/>
      <c r="UW19" s="101"/>
      <c r="UX19" s="101"/>
      <c r="UY19" s="101"/>
      <c r="UZ19" s="101"/>
      <c r="VA19" s="101"/>
      <c r="VB19" s="101"/>
      <c r="VC19" s="101"/>
      <c r="VD19" s="101"/>
      <c r="VE19" s="101"/>
      <c r="VF19" s="101"/>
      <c r="VG19" s="101"/>
      <c r="VH19" s="101"/>
      <c r="VI19" s="101"/>
      <c r="VJ19" s="101"/>
      <c r="VK19" s="101"/>
      <c r="VL19" s="101"/>
      <c r="VM19" s="101"/>
      <c r="VN19" s="101"/>
      <c r="VO19" s="101"/>
      <c r="VP19" s="101"/>
      <c r="VQ19" s="101"/>
      <c r="VR19" s="101"/>
      <c r="VS19" s="101"/>
      <c r="VT19" s="101"/>
      <c r="VU19" s="101"/>
      <c r="VV19" s="101"/>
      <c r="VW19" s="101"/>
      <c r="VX19" s="101"/>
      <c r="VY19" s="101"/>
      <c r="VZ19" s="101"/>
      <c r="WA19" s="101"/>
      <c r="WB19" s="101"/>
      <c r="WC19" s="101"/>
      <c r="WD19" s="101"/>
      <c r="WE19" s="101"/>
      <c r="WF19" s="101"/>
      <c r="WG19" s="101"/>
      <c r="WH19" s="101"/>
      <c r="WI19" s="101"/>
      <c r="WJ19" s="101"/>
      <c r="WK19" s="101"/>
      <c r="WL19" s="101"/>
      <c r="WM19" s="101"/>
      <c r="WN19" s="101"/>
      <c r="WO19" s="101"/>
      <c r="WP19" s="101"/>
      <c r="WQ19" s="101"/>
      <c r="WR19" s="101"/>
      <c r="WS19" s="101"/>
      <c r="WT19" s="101"/>
      <c r="WU19" s="101"/>
      <c r="WV19" s="101"/>
      <c r="WW19" s="101"/>
      <c r="WX19" s="101"/>
      <c r="WY19" s="101"/>
      <c r="WZ19" s="101"/>
      <c r="XA19" s="101"/>
      <c r="XB19" s="101"/>
      <c r="XC19" s="101"/>
      <c r="XD19" s="101"/>
      <c r="XE19" s="101"/>
      <c r="XF19" s="101"/>
      <c r="XG19" s="101"/>
      <c r="XH19" s="101"/>
      <c r="XI19" s="101"/>
      <c r="XJ19" s="101"/>
      <c r="XK19" s="101"/>
      <c r="XL19" s="101"/>
      <c r="XM19" s="101"/>
      <c r="XN19" s="101"/>
      <c r="XO19" s="101"/>
      <c r="XP19" s="101"/>
      <c r="XQ19" s="101"/>
      <c r="XR19" s="101"/>
      <c r="XS19" s="101"/>
      <c r="XT19" s="101"/>
      <c r="XU19" s="101"/>
      <c r="XV19" s="101"/>
      <c r="XW19" s="101"/>
      <c r="XX19" s="101"/>
      <c r="XY19" s="101"/>
      <c r="XZ19" s="101"/>
      <c r="YA19" s="101"/>
      <c r="YB19" s="101"/>
      <c r="YC19" s="101"/>
      <c r="YD19" s="101"/>
      <c r="YE19" s="101"/>
      <c r="YF19" s="101"/>
      <c r="YG19" s="101"/>
      <c r="YH19" s="101"/>
      <c r="YI19" s="101"/>
      <c r="YJ19" s="101"/>
      <c r="YK19" s="101"/>
      <c r="YL19" s="101"/>
      <c r="YM19" s="101"/>
      <c r="YN19" s="101"/>
      <c r="YO19" s="101"/>
      <c r="YP19" s="101"/>
      <c r="YQ19" s="101"/>
      <c r="YR19" s="101"/>
      <c r="YS19" s="101"/>
      <c r="YT19" s="101"/>
      <c r="YU19" s="101"/>
      <c r="YV19" s="101"/>
      <c r="YW19" s="101"/>
      <c r="YX19" s="101"/>
      <c r="YY19" s="101"/>
      <c r="YZ19" s="101"/>
      <c r="ZA19" s="101"/>
      <c r="ZB19" s="101"/>
      <c r="ZC19" s="101"/>
      <c r="ZD19" s="101"/>
      <c r="ZE19" s="101"/>
      <c r="ZF19" s="101"/>
      <c r="ZG19" s="101"/>
      <c r="ZH19" s="101"/>
      <c r="ZI19" s="101"/>
      <c r="ZJ19" s="101"/>
      <c r="ZK19" s="101"/>
      <c r="ZL19" s="101"/>
      <c r="ZM19" s="101"/>
      <c r="ZN19" s="101"/>
      <c r="ZO19" s="101"/>
      <c r="ZP19" s="101"/>
      <c r="ZQ19" s="101"/>
      <c r="ZR19" s="101"/>
      <c r="ZS19" s="101"/>
      <c r="ZT19" s="101"/>
      <c r="ZU19" s="101"/>
      <c r="ZV19" s="101"/>
      <c r="ZW19" s="101"/>
      <c r="ZX19" s="101"/>
      <c r="ZY19" s="101"/>
      <c r="ZZ19" s="101"/>
      <c r="AAA19" s="101"/>
      <c r="AAB19" s="101"/>
      <c r="AAC19" s="101"/>
      <c r="AAD19" s="101"/>
      <c r="AAE19" s="101"/>
      <c r="AAF19" s="101"/>
      <c r="AAG19" s="101"/>
      <c r="AAH19" s="101"/>
      <c r="AAI19" s="101"/>
      <c r="AAJ19" s="101"/>
      <c r="AAK19" s="101"/>
      <c r="AAL19" s="101"/>
      <c r="AAM19" s="101"/>
      <c r="AAN19" s="101"/>
      <c r="AAO19" s="101"/>
      <c r="AAP19" s="101"/>
      <c r="AAQ19" s="101"/>
      <c r="AAR19" s="101"/>
      <c r="AAS19" s="101"/>
      <c r="AAT19" s="101"/>
      <c r="AAU19" s="101"/>
      <c r="AAV19" s="101"/>
      <c r="AAW19" s="101"/>
      <c r="AAX19" s="101"/>
      <c r="AAY19" s="101"/>
      <c r="AAZ19" s="101"/>
      <c r="ABA19" s="101"/>
      <c r="ABB19" s="101"/>
      <c r="ABC19" s="101"/>
      <c r="ABD19" s="101"/>
      <c r="ABE19" s="101"/>
      <c r="ABF19" s="101"/>
      <c r="ABG19" s="101"/>
      <c r="ABH19" s="101"/>
      <c r="ABI19" s="101"/>
      <c r="ABJ19" s="101"/>
      <c r="ABK19" s="101"/>
      <c r="ABL19" s="101"/>
      <c r="ABM19" s="101"/>
      <c r="ABN19" s="101"/>
      <c r="ABO19" s="101"/>
      <c r="ABP19" s="101"/>
      <c r="ABQ19" s="101"/>
      <c r="ABR19" s="101"/>
      <c r="ABS19" s="101"/>
      <c r="ABT19" s="101"/>
      <c r="ABU19" s="101"/>
      <c r="ABV19" s="101"/>
      <c r="ABW19" s="101"/>
      <c r="ABX19" s="101"/>
      <c r="ABY19" s="101"/>
      <c r="ABZ19" s="101"/>
      <c r="ACA19" s="101"/>
      <c r="ACB19" s="101"/>
      <c r="ACC19" s="101"/>
      <c r="ACD19" s="101"/>
      <c r="ACE19" s="101"/>
      <c r="ACF19" s="101"/>
      <c r="ACG19" s="101"/>
      <c r="ACH19" s="101"/>
      <c r="ACI19" s="101"/>
      <c r="ACJ19" s="101"/>
      <c r="ACK19" s="101"/>
      <c r="ACL19" s="101"/>
      <c r="ACM19" s="101"/>
      <c r="ACN19" s="101"/>
      <c r="ACO19" s="101"/>
      <c r="ACP19" s="101"/>
      <c r="ACQ19" s="101"/>
      <c r="ACR19" s="101"/>
      <c r="ACS19" s="101"/>
      <c r="ACT19" s="101"/>
      <c r="ACU19" s="101"/>
      <c r="ACV19" s="101"/>
      <c r="ACW19" s="101"/>
      <c r="ACX19" s="101"/>
      <c r="ACY19" s="101"/>
      <c r="ACZ19" s="101"/>
      <c r="ADA19" s="101"/>
      <c r="ADB19" s="101"/>
      <c r="ADC19" s="101"/>
      <c r="ADD19" s="101"/>
      <c r="ADE19" s="101"/>
      <c r="ADF19" s="101"/>
      <c r="ADG19" s="101"/>
      <c r="ADH19" s="101"/>
      <c r="ADI19" s="101"/>
      <c r="ADJ19" s="101"/>
      <c r="ADK19" s="101"/>
      <c r="ADL19" s="101"/>
      <c r="ADM19" s="101"/>
      <c r="ADN19" s="101"/>
      <c r="ADO19" s="101"/>
      <c r="ADP19" s="101"/>
      <c r="ADQ19" s="101"/>
      <c r="ADR19" s="101"/>
      <c r="ADS19" s="101"/>
      <c r="ADT19" s="101"/>
      <c r="ADU19" s="101"/>
      <c r="ADV19" s="101"/>
      <c r="ADW19" s="101"/>
      <c r="ADX19" s="101"/>
      <c r="ADY19" s="101"/>
      <c r="ADZ19" s="101"/>
      <c r="AEA19" s="101"/>
      <c r="AEB19" s="101"/>
      <c r="AEC19" s="101"/>
      <c r="AED19" s="101"/>
      <c r="AEE19" s="101"/>
      <c r="AEF19" s="101"/>
      <c r="AEG19" s="101"/>
      <c r="AEH19" s="101"/>
      <c r="AEI19" s="101"/>
      <c r="AEJ19" s="101"/>
      <c r="AEK19" s="101"/>
      <c r="AEL19" s="101"/>
      <c r="AEM19" s="101"/>
      <c r="AEN19" s="101"/>
      <c r="AEO19" s="101"/>
      <c r="AEP19" s="101"/>
      <c r="AEQ19" s="101"/>
      <c r="AER19" s="101"/>
      <c r="AES19" s="101"/>
      <c r="AET19" s="101"/>
      <c r="AEU19" s="101"/>
      <c r="AEV19" s="101"/>
      <c r="AEW19" s="101"/>
      <c r="AEX19" s="101"/>
      <c r="AEY19" s="101"/>
      <c r="AEZ19" s="101"/>
      <c r="AFA19" s="101"/>
      <c r="AFB19" s="101"/>
      <c r="AFC19" s="101"/>
      <c r="AFD19" s="101"/>
      <c r="AFE19" s="101"/>
      <c r="AFF19" s="101"/>
      <c r="AFG19" s="101"/>
      <c r="AFH19" s="101"/>
      <c r="AFI19" s="101"/>
      <c r="AFJ19" s="101"/>
      <c r="AFK19" s="101"/>
      <c r="AFL19" s="101"/>
      <c r="AFM19" s="101"/>
      <c r="AFN19" s="101"/>
      <c r="AFO19" s="101"/>
      <c r="AFP19" s="101"/>
      <c r="AFQ19" s="101"/>
      <c r="AFR19" s="101"/>
      <c r="AFS19" s="101"/>
      <c r="AFT19" s="101"/>
      <c r="AFU19" s="101"/>
      <c r="AFV19" s="101"/>
      <c r="AFW19" s="101"/>
      <c r="AFX19" s="101"/>
      <c r="AFY19" s="101"/>
      <c r="AFZ19" s="101"/>
      <c r="AGA19" s="101"/>
      <c r="AGB19" s="101"/>
      <c r="AGC19" s="101"/>
      <c r="AGD19" s="101"/>
      <c r="AGE19" s="101"/>
      <c r="AGF19" s="101"/>
      <c r="AGG19" s="101"/>
      <c r="AGH19" s="101"/>
      <c r="AGI19" s="101"/>
      <c r="AGJ19" s="101"/>
      <c r="AGK19" s="101"/>
      <c r="AGL19" s="101"/>
      <c r="AGM19" s="101"/>
      <c r="AGN19" s="101"/>
      <c r="AGO19" s="101"/>
      <c r="AGP19" s="101"/>
      <c r="AGQ19" s="101"/>
      <c r="AGR19" s="101"/>
      <c r="AGS19" s="101"/>
      <c r="AGT19" s="101"/>
      <c r="AGU19" s="101"/>
      <c r="AGV19" s="101"/>
      <c r="AGW19" s="101"/>
      <c r="AGX19" s="101"/>
      <c r="AGY19" s="101"/>
      <c r="AGZ19" s="101"/>
      <c r="AHA19" s="101"/>
      <c r="AHB19" s="101"/>
      <c r="AHC19" s="101"/>
      <c r="AHD19" s="101"/>
      <c r="AHE19" s="101"/>
      <c r="AHF19" s="101"/>
      <c r="AHG19" s="101"/>
      <c r="AHH19" s="101"/>
      <c r="AHI19" s="101"/>
      <c r="AHJ19" s="101"/>
      <c r="AHK19" s="101"/>
      <c r="AHL19" s="101"/>
      <c r="AHM19" s="101"/>
      <c r="AHN19" s="101"/>
      <c r="AHO19" s="101"/>
      <c r="AHP19" s="101"/>
      <c r="AHQ19" s="101"/>
      <c r="AHR19" s="101"/>
      <c r="AHS19" s="101"/>
      <c r="AHT19" s="101"/>
      <c r="AHU19" s="101"/>
      <c r="AHV19" s="101"/>
      <c r="AHW19" s="101"/>
      <c r="AHX19" s="101"/>
      <c r="AHY19" s="101"/>
      <c r="AHZ19" s="101"/>
      <c r="AIA19" s="101"/>
      <c r="AIB19" s="101"/>
      <c r="AIC19" s="101"/>
      <c r="AID19" s="101"/>
      <c r="AIE19" s="101"/>
      <c r="AIF19" s="101"/>
      <c r="AIG19" s="101"/>
      <c r="AIH19" s="101"/>
      <c r="AII19" s="101"/>
      <c r="AIJ19" s="101"/>
      <c r="AIK19" s="101"/>
      <c r="AIL19" s="101"/>
      <c r="AIM19" s="101"/>
      <c r="AIN19" s="101"/>
      <c r="AIO19" s="101"/>
      <c r="AIP19" s="101"/>
      <c r="AIQ19" s="101"/>
      <c r="AIR19" s="101"/>
      <c r="AIS19" s="101"/>
      <c r="AIT19" s="101"/>
      <c r="AIU19" s="101"/>
      <c r="AIV19" s="101"/>
      <c r="AIW19" s="101"/>
      <c r="AIX19" s="101"/>
      <c r="AIY19" s="101"/>
      <c r="AIZ19" s="101"/>
      <c r="AJA19" s="101"/>
      <c r="AJB19" s="101"/>
      <c r="AJC19" s="101"/>
      <c r="AJD19" s="101"/>
      <c r="AJE19" s="101"/>
      <c r="AJF19" s="101"/>
      <c r="AJG19" s="101"/>
      <c r="AJH19" s="101"/>
      <c r="AJI19" s="101"/>
      <c r="AJJ19" s="101"/>
      <c r="AJK19" s="101"/>
      <c r="AJL19" s="101"/>
      <c r="AJM19" s="101"/>
      <c r="AJN19" s="101"/>
      <c r="AJO19" s="101"/>
      <c r="AJP19" s="101"/>
      <c r="AJQ19" s="101"/>
      <c r="AJR19" s="101"/>
      <c r="AJS19" s="101"/>
      <c r="AJT19" s="101"/>
      <c r="AJU19" s="101"/>
      <c r="AJV19" s="101"/>
      <c r="AJW19" s="101"/>
      <c r="AJX19" s="101"/>
      <c r="AJY19" s="101"/>
      <c r="AJZ19" s="101"/>
      <c r="AKA19" s="101"/>
      <c r="AKB19" s="101"/>
      <c r="AKC19" s="101"/>
      <c r="AKD19" s="101"/>
      <c r="AKE19" s="101"/>
      <c r="AKF19" s="101"/>
      <c r="AKG19" s="101"/>
      <c r="AKH19" s="101"/>
      <c r="AKI19" s="101"/>
      <c r="AKJ19" s="101"/>
      <c r="AKK19" s="101"/>
      <c r="AKL19" s="101"/>
      <c r="AKM19" s="101"/>
      <c r="AKN19" s="101"/>
      <c r="AKO19" s="101"/>
      <c r="AKP19" s="101"/>
      <c r="AKQ19" s="101"/>
      <c r="AKR19" s="101"/>
      <c r="AKS19" s="101"/>
      <c r="AKT19" s="101"/>
      <c r="AKU19" s="101"/>
      <c r="AKV19" s="101"/>
      <c r="AKW19" s="101"/>
      <c r="AKX19" s="101"/>
      <c r="AKY19" s="101"/>
      <c r="AKZ19" s="101"/>
      <c r="ALA19" s="101"/>
      <c r="ALB19" s="101"/>
      <c r="ALC19" s="101"/>
      <c r="ALD19" s="101"/>
      <c r="ALE19" s="101"/>
      <c r="ALF19" s="101"/>
      <c r="ALG19" s="101"/>
      <c r="ALH19" s="101"/>
      <c r="ALI19" s="101"/>
      <c r="ALJ19" s="101"/>
      <c r="ALK19" s="101"/>
      <c r="ALL19" s="101"/>
      <c r="ALM19" s="101"/>
      <c r="ALN19" s="101"/>
      <c r="ALO19" s="101"/>
      <c r="ALP19" s="101"/>
      <c r="ALQ19" s="101"/>
      <c r="ALR19" s="101"/>
      <c r="ALS19" s="101"/>
      <c r="ALT19" s="101"/>
      <c r="ALU19" s="101"/>
      <c r="ALV19" s="101"/>
      <c r="ALW19" s="101"/>
      <c r="ALX19" s="101"/>
      <c r="ALY19" s="101"/>
      <c r="ALZ19" s="101"/>
      <c r="AMA19" s="101"/>
      <c r="AMB19" s="101"/>
      <c r="AMC19" s="101"/>
      <c r="AMD19" s="101"/>
      <c r="AME19" s="101"/>
      <c r="AMF19" s="101"/>
      <c r="AMG19" s="101"/>
      <c r="AMH19" s="101"/>
      <c r="AMI19" s="101"/>
      <c r="AMJ19" s="101"/>
      <c r="AMK19" s="101"/>
      <c r="AML19" s="101"/>
      <c r="AMM19" s="101"/>
      <c r="AMN19" s="101"/>
      <c r="AMO19" s="101"/>
      <c r="AMP19" s="101"/>
      <c r="AMQ19" s="101"/>
      <c r="AMR19" s="101"/>
      <c r="AMS19" s="101"/>
      <c r="AMT19" s="101"/>
      <c r="AMU19" s="101"/>
      <c r="AMV19" s="101"/>
      <c r="AMW19" s="101"/>
      <c r="AMX19" s="101"/>
      <c r="AMY19" s="101"/>
      <c r="AMZ19" s="101"/>
      <c r="ANA19" s="101"/>
      <c r="ANB19" s="101"/>
      <c r="ANC19" s="101"/>
      <c r="AND19" s="101"/>
      <c r="ANE19" s="101"/>
      <c r="ANF19" s="101"/>
      <c r="ANG19" s="101"/>
      <c r="ANH19" s="101"/>
      <c r="ANI19" s="101"/>
      <c r="ANJ19" s="101"/>
      <c r="ANK19" s="101"/>
      <c r="ANL19" s="101"/>
      <c r="ANM19" s="101"/>
      <c r="ANN19" s="101"/>
      <c r="ANO19" s="101"/>
      <c r="ANP19" s="101"/>
      <c r="ANQ19" s="101"/>
      <c r="ANR19" s="101"/>
      <c r="ANS19" s="101"/>
      <c r="ANT19" s="101"/>
      <c r="ANU19" s="101"/>
      <c r="ANV19" s="101"/>
      <c r="ANW19" s="101"/>
      <c r="ANX19" s="101"/>
      <c r="ANY19" s="101"/>
      <c r="ANZ19" s="101"/>
      <c r="AOA19" s="101"/>
      <c r="AOB19" s="101"/>
      <c r="AOC19" s="101"/>
      <c r="AOD19" s="101"/>
      <c r="AOE19" s="101"/>
      <c r="AOF19" s="101"/>
      <c r="AOG19" s="101"/>
      <c r="AOH19" s="101"/>
      <c r="AOI19" s="101"/>
      <c r="AOJ19" s="101"/>
      <c r="AOK19" s="101"/>
      <c r="AOL19" s="101"/>
      <c r="AOM19" s="101"/>
      <c r="AON19" s="101"/>
      <c r="AOO19" s="101"/>
      <c r="AOP19" s="101"/>
      <c r="AOQ19" s="101"/>
      <c r="AOR19" s="101"/>
      <c r="AOS19" s="101"/>
      <c r="AOT19" s="101"/>
      <c r="AOU19" s="101"/>
      <c r="AOV19" s="101"/>
      <c r="AOW19" s="101"/>
      <c r="AOX19" s="101"/>
      <c r="AOY19" s="101"/>
      <c r="AOZ19" s="101"/>
      <c r="APA19" s="101"/>
      <c r="APB19" s="101"/>
      <c r="APC19" s="101"/>
      <c r="APD19" s="101"/>
      <c r="APE19" s="101"/>
      <c r="APF19" s="101"/>
      <c r="APG19" s="101"/>
      <c r="APH19" s="101"/>
      <c r="API19" s="101"/>
      <c r="APJ19" s="101"/>
      <c r="APK19" s="101"/>
      <c r="APL19" s="101"/>
      <c r="APM19" s="101"/>
      <c r="APN19" s="101"/>
      <c r="APO19" s="101"/>
      <c r="APP19" s="101"/>
      <c r="APQ19" s="101"/>
      <c r="APR19" s="101"/>
      <c r="APS19" s="101"/>
      <c r="APT19" s="101"/>
      <c r="APU19" s="101"/>
      <c r="APV19" s="101"/>
      <c r="APW19" s="101"/>
      <c r="APX19" s="101"/>
      <c r="APY19" s="101"/>
      <c r="APZ19" s="101"/>
      <c r="AQA19" s="101"/>
      <c r="AQB19" s="101"/>
      <c r="AQC19" s="101"/>
      <c r="AQD19" s="101"/>
      <c r="AQE19" s="101"/>
      <c r="AQF19" s="101"/>
      <c r="AQG19" s="101"/>
      <c r="AQH19" s="101"/>
      <c r="AQI19" s="101"/>
      <c r="AQJ19" s="101"/>
      <c r="AQK19" s="101"/>
      <c r="AQL19" s="101"/>
      <c r="AQM19" s="101"/>
      <c r="AQN19" s="101"/>
      <c r="AQO19" s="101"/>
      <c r="AQP19" s="101"/>
      <c r="AQQ19" s="101"/>
      <c r="AQR19" s="101"/>
      <c r="AQS19" s="101"/>
      <c r="AQT19" s="101"/>
      <c r="AQU19" s="101"/>
      <c r="AQV19" s="101"/>
      <c r="AQW19" s="101"/>
      <c r="AQX19" s="101"/>
      <c r="AQY19" s="101"/>
      <c r="AQZ19" s="101"/>
      <c r="ARA19" s="101"/>
      <c r="ARB19" s="101"/>
      <c r="ARC19" s="101"/>
      <c r="ARD19" s="101"/>
      <c r="ARE19" s="101"/>
      <c r="ARF19" s="101"/>
      <c r="ARG19" s="101"/>
      <c r="ARH19" s="101"/>
      <c r="ARI19" s="101"/>
      <c r="ARJ19" s="101"/>
      <c r="ARK19" s="101"/>
      <c r="ARL19" s="101"/>
      <c r="ARM19" s="101"/>
      <c r="ARN19" s="101"/>
      <c r="ARO19" s="101"/>
      <c r="ARP19" s="101"/>
      <c r="ARQ19" s="101"/>
      <c r="ARR19" s="101"/>
      <c r="ARS19" s="101"/>
      <c r="ART19" s="101"/>
      <c r="ARU19" s="101"/>
      <c r="ARV19" s="101"/>
      <c r="ARW19" s="101"/>
      <c r="ARX19" s="101"/>
      <c r="ARY19" s="101"/>
      <c r="ARZ19" s="101"/>
      <c r="ASA19" s="101"/>
      <c r="ASB19" s="101"/>
      <c r="ASC19" s="101"/>
      <c r="ASD19" s="101"/>
      <c r="ASE19" s="101"/>
      <c r="ASF19" s="101"/>
      <c r="ASG19" s="101"/>
      <c r="ASH19" s="101"/>
      <c r="ASI19" s="101"/>
      <c r="ASJ19" s="101"/>
      <c r="ASK19" s="101"/>
      <c r="ASL19" s="101"/>
      <c r="ASM19" s="101"/>
      <c r="ASN19" s="101"/>
      <c r="ASO19" s="101"/>
      <c r="ASP19" s="101"/>
      <c r="ASQ19" s="101"/>
      <c r="ASR19" s="101"/>
      <c r="ASS19" s="101"/>
      <c r="AST19" s="101"/>
      <c r="ASU19" s="101"/>
      <c r="ASV19" s="101"/>
      <c r="ASW19" s="101"/>
      <c r="ASX19" s="101"/>
      <c r="ASY19" s="101"/>
      <c r="ASZ19" s="101"/>
      <c r="ATA19" s="101"/>
      <c r="ATB19" s="101"/>
      <c r="ATC19" s="101"/>
      <c r="ATD19" s="101"/>
      <c r="ATE19" s="101"/>
      <c r="ATF19" s="101"/>
      <c r="ATG19" s="101"/>
      <c r="ATH19" s="101"/>
      <c r="ATI19" s="101"/>
      <c r="ATJ19" s="101"/>
      <c r="ATK19" s="101"/>
      <c r="ATL19" s="101"/>
      <c r="ATM19" s="101"/>
      <c r="ATN19" s="101"/>
      <c r="ATO19" s="101"/>
      <c r="ATP19" s="101"/>
      <c r="ATQ19" s="101"/>
      <c r="ATR19" s="101"/>
      <c r="ATS19" s="101"/>
      <c r="ATT19" s="101"/>
      <c r="ATU19" s="101"/>
      <c r="ATV19" s="101"/>
      <c r="ATW19" s="101"/>
      <c r="ATX19" s="101"/>
      <c r="ATY19" s="101"/>
      <c r="ATZ19" s="101"/>
      <c r="AUA19" s="101"/>
      <c r="AUB19" s="101"/>
      <c r="AUC19" s="101"/>
      <c r="AUD19" s="101"/>
      <c r="AUE19" s="101"/>
      <c r="AUF19" s="101"/>
      <c r="AUG19" s="101"/>
      <c r="AUH19" s="101"/>
      <c r="AUI19" s="101"/>
      <c r="AUJ19" s="101"/>
      <c r="AUK19" s="101"/>
      <c r="AUL19" s="101"/>
      <c r="AUM19" s="101"/>
      <c r="AUN19" s="101"/>
      <c r="AUO19" s="101"/>
      <c r="AUP19" s="101"/>
      <c r="AUQ19" s="101"/>
      <c r="AUR19" s="101"/>
      <c r="AUS19" s="101"/>
      <c r="AUT19" s="101"/>
      <c r="AUU19" s="101"/>
      <c r="AUV19" s="101"/>
      <c r="AUW19" s="101"/>
      <c r="AUX19" s="101"/>
      <c r="AUY19" s="101"/>
      <c r="AUZ19" s="101"/>
      <c r="AVA19" s="101"/>
      <c r="AVB19" s="101"/>
      <c r="AVC19" s="101"/>
      <c r="AVD19" s="101"/>
      <c r="AVE19" s="101"/>
      <c r="AVF19" s="101"/>
      <c r="AVG19" s="101"/>
      <c r="AVH19" s="101"/>
      <c r="AVI19" s="101"/>
      <c r="AVJ19" s="101"/>
      <c r="AVK19" s="101"/>
      <c r="AVL19" s="101"/>
      <c r="AVM19" s="101"/>
      <c r="AVN19" s="101"/>
      <c r="AVO19" s="101"/>
      <c r="AVP19" s="101"/>
      <c r="AVQ19" s="101"/>
      <c r="AVR19" s="101"/>
      <c r="AVS19" s="101"/>
      <c r="AVT19" s="101"/>
      <c r="AVU19" s="101"/>
      <c r="AVV19" s="101"/>
      <c r="AVW19" s="101"/>
      <c r="AVX19" s="101"/>
      <c r="AVY19" s="101"/>
      <c r="AVZ19" s="101"/>
      <c r="AWA19" s="101"/>
      <c r="AWB19" s="101"/>
      <c r="AWC19" s="101"/>
      <c r="AWD19" s="101"/>
      <c r="AWE19" s="101"/>
      <c r="AWF19" s="101"/>
      <c r="AWG19" s="101"/>
      <c r="AWH19" s="101"/>
      <c r="AWI19" s="101"/>
      <c r="AWJ19" s="101"/>
      <c r="AWK19" s="101"/>
      <c r="AWL19" s="101"/>
      <c r="AWM19" s="101"/>
      <c r="AWN19" s="101"/>
      <c r="AWO19" s="101"/>
      <c r="AWP19" s="101"/>
      <c r="AWQ19" s="101"/>
      <c r="AWR19" s="101"/>
      <c r="AWS19" s="101"/>
      <c r="AWT19" s="101"/>
      <c r="AWU19" s="101"/>
      <c r="AWV19" s="101"/>
      <c r="AWW19" s="101"/>
      <c r="AWX19" s="101"/>
      <c r="AWY19" s="101"/>
      <c r="AWZ19" s="101"/>
      <c r="AXA19" s="101"/>
      <c r="AXB19" s="101"/>
      <c r="AXC19" s="101"/>
      <c r="AXD19" s="101"/>
      <c r="AXE19" s="101"/>
      <c r="AXF19" s="101"/>
      <c r="AXG19" s="101"/>
      <c r="AXH19" s="101"/>
      <c r="AXI19" s="101"/>
      <c r="AXJ19" s="101"/>
      <c r="AXK19" s="101"/>
      <c r="AXL19" s="101"/>
      <c r="AXM19" s="101"/>
      <c r="AXN19" s="101"/>
      <c r="AXO19" s="101"/>
      <c r="AXP19" s="101"/>
      <c r="AXQ19" s="101"/>
      <c r="AXR19" s="101"/>
      <c r="AXS19" s="101"/>
      <c r="AXT19" s="101"/>
      <c r="AXU19" s="101"/>
      <c r="AXV19" s="101"/>
      <c r="AXW19" s="101"/>
      <c r="AXX19" s="101"/>
      <c r="AXY19" s="101"/>
      <c r="AXZ19" s="101"/>
      <c r="AYA19" s="101"/>
      <c r="AYB19" s="101"/>
      <c r="AYC19" s="101"/>
      <c r="AYD19" s="101"/>
      <c r="AYE19" s="101"/>
      <c r="AYF19" s="101"/>
      <c r="AYG19" s="101"/>
      <c r="AYH19" s="101"/>
      <c r="AYI19" s="101"/>
      <c r="AYJ19" s="101"/>
      <c r="AYK19" s="101"/>
      <c r="AYL19" s="101"/>
      <c r="AYM19" s="101"/>
      <c r="AYN19" s="101"/>
      <c r="AYO19" s="101"/>
      <c r="AYP19" s="101"/>
      <c r="AYQ19" s="101"/>
      <c r="AYR19" s="101"/>
      <c r="AYS19" s="101"/>
      <c r="AYT19" s="101"/>
      <c r="AYU19" s="101"/>
      <c r="AYV19" s="101"/>
      <c r="AYW19" s="101"/>
      <c r="AYX19" s="101"/>
      <c r="AYY19" s="101"/>
      <c r="AYZ19" s="101"/>
      <c r="AZA19" s="101"/>
      <c r="AZB19" s="101"/>
      <c r="AZC19" s="101"/>
      <c r="AZD19" s="101"/>
      <c r="AZE19" s="101"/>
      <c r="AZF19" s="101"/>
      <c r="AZG19" s="101"/>
      <c r="AZH19" s="101"/>
      <c r="AZI19" s="101"/>
      <c r="AZJ19" s="101"/>
      <c r="AZK19" s="101"/>
      <c r="AZL19" s="101"/>
      <c r="AZM19" s="101"/>
      <c r="AZN19" s="101"/>
      <c r="AZO19" s="101"/>
      <c r="AZP19" s="101"/>
      <c r="AZQ19" s="101"/>
      <c r="AZR19" s="101"/>
      <c r="AZS19" s="101"/>
      <c r="AZT19" s="101"/>
      <c r="AZU19" s="101"/>
      <c r="AZV19" s="101"/>
      <c r="AZW19" s="101"/>
      <c r="AZX19" s="101"/>
      <c r="AZY19" s="101"/>
      <c r="AZZ19" s="101"/>
      <c r="BAA19" s="101"/>
      <c r="BAB19" s="101"/>
      <c r="BAC19" s="101"/>
      <c r="BAD19" s="101"/>
      <c r="BAE19" s="101"/>
      <c r="BAF19" s="101"/>
      <c r="BAG19" s="101"/>
      <c r="BAH19" s="101"/>
      <c r="BAI19" s="101"/>
      <c r="BAJ19" s="101"/>
      <c r="BAK19" s="101"/>
      <c r="BAL19" s="101"/>
      <c r="BAM19" s="101"/>
      <c r="BAN19" s="101"/>
      <c r="BAO19" s="101"/>
      <c r="BAP19" s="101"/>
      <c r="BAQ19" s="101"/>
      <c r="BAR19" s="101"/>
      <c r="BAS19" s="101"/>
      <c r="BAT19" s="101"/>
      <c r="BAU19" s="101"/>
      <c r="BAV19" s="101"/>
      <c r="BAW19" s="101"/>
      <c r="BAX19" s="101"/>
      <c r="BAY19" s="101"/>
      <c r="BAZ19" s="101"/>
      <c r="BBA19" s="101"/>
      <c r="BBB19" s="101"/>
      <c r="BBC19" s="101"/>
      <c r="BBD19" s="101"/>
      <c r="BBE19" s="101"/>
      <c r="BBF19" s="101"/>
      <c r="BBG19" s="101"/>
      <c r="BBH19" s="101"/>
      <c r="BBI19" s="101"/>
      <c r="BBJ19" s="101"/>
      <c r="BBK19" s="101"/>
      <c r="BBL19" s="101"/>
      <c r="BBM19" s="101"/>
      <c r="BBN19" s="101"/>
      <c r="BBO19" s="101"/>
      <c r="BBP19" s="101"/>
      <c r="BBQ19" s="101"/>
      <c r="BBR19" s="101"/>
      <c r="BBS19" s="101"/>
      <c r="BBT19" s="101"/>
      <c r="BBU19" s="101"/>
      <c r="BBV19" s="101"/>
      <c r="BBW19" s="101"/>
      <c r="BBX19" s="101"/>
      <c r="BBY19" s="101"/>
      <c r="BBZ19" s="101"/>
      <c r="BCA19" s="101"/>
      <c r="BCB19" s="101"/>
      <c r="BCC19" s="101"/>
      <c r="BCD19" s="101"/>
      <c r="BCE19" s="101"/>
      <c r="BCF19" s="101"/>
      <c r="BCG19" s="101"/>
      <c r="BCH19" s="101"/>
      <c r="BCI19" s="101"/>
      <c r="BCJ19" s="101"/>
      <c r="BCK19" s="101"/>
      <c r="BCL19" s="101"/>
      <c r="BCM19" s="101"/>
      <c r="BCN19" s="101"/>
      <c r="BCO19" s="101"/>
      <c r="BCP19" s="101"/>
      <c r="BCQ19" s="101"/>
      <c r="BCR19" s="101"/>
      <c r="BCS19" s="101"/>
      <c r="BCT19" s="101"/>
      <c r="BCU19" s="101"/>
      <c r="BCV19" s="101"/>
      <c r="BCW19" s="101"/>
      <c r="BCX19" s="101"/>
      <c r="BCY19" s="101"/>
      <c r="BCZ19" s="101"/>
      <c r="BDA19" s="101"/>
      <c r="BDB19" s="101"/>
      <c r="BDC19" s="101"/>
      <c r="BDD19" s="101"/>
      <c r="BDE19" s="101"/>
      <c r="BDF19" s="101"/>
      <c r="BDG19" s="101"/>
      <c r="BDH19" s="101"/>
      <c r="BDI19" s="101"/>
      <c r="BDJ19" s="101"/>
      <c r="BDK19" s="101"/>
      <c r="BDL19" s="101"/>
      <c r="BDM19" s="101"/>
      <c r="BDN19" s="101"/>
      <c r="BDO19" s="101"/>
      <c r="BDP19" s="101"/>
      <c r="BDQ19" s="101"/>
      <c r="BDR19" s="101"/>
      <c r="BDS19" s="101"/>
      <c r="BDT19" s="101"/>
      <c r="BDU19" s="101"/>
      <c r="BDV19" s="101"/>
      <c r="BDW19" s="101"/>
      <c r="BDX19" s="101"/>
      <c r="BDY19" s="101"/>
      <c r="BDZ19" s="101"/>
      <c r="BEA19" s="101"/>
      <c r="BEB19" s="101"/>
      <c r="BEC19" s="101"/>
      <c r="BED19" s="101"/>
      <c r="BEE19" s="101"/>
      <c r="BEF19" s="101"/>
      <c r="BEG19" s="101"/>
      <c r="BEH19" s="101"/>
      <c r="BEI19" s="101"/>
      <c r="BEJ19" s="101"/>
      <c r="BEK19" s="101"/>
      <c r="BEL19" s="101"/>
      <c r="BEM19" s="101"/>
      <c r="BEN19" s="101"/>
      <c r="BEO19" s="101"/>
      <c r="BEP19" s="101"/>
      <c r="BEQ19" s="101"/>
      <c r="BER19" s="101"/>
      <c r="BES19" s="101"/>
      <c r="BET19" s="101"/>
      <c r="BEU19" s="101"/>
      <c r="BEV19" s="101"/>
      <c r="BEW19" s="101"/>
      <c r="BEX19" s="101"/>
      <c r="BEY19" s="101"/>
      <c r="BEZ19" s="101"/>
      <c r="BFA19" s="101"/>
      <c r="BFB19" s="101"/>
      <c r="BFC19" s="101"/>
      <c r="BFD19" s="101"/>
      <c r="BFE19" s="101"/>
      <c r="BFF19" s="101"/>
      <c r="BFG19" s="101"/>
      <c r="BFH19" s="101"/>
      <c r="BFI19" s="101"/>
      <c r="BFJ19" s="101"/>
      <c r="BFK19" s="101"/>
      <c r="BFL19" s="101"/>
      <c r="BFM19" s="101"/>
      <c r="BFN19" s="101"/>
      <c r="BFO19" s="101"/>
      <c r="BFP19" s="101"/>
      <c r="BFQ19" s="101"/>
      <c r="BFR19" s="101"/>
      <c r="BFS19" s="101"/>
      <c r="BFT19" s="101"/>
      <c r="BFU19" s="101"/>
      <c r="BFV19" s="101"/>
      <c r="BFW19" s="101"/>
      <c r="BFX19" s="101"/>
      <c r="BFY19" s="101"/>
      <c r="BFZ19" s="101"/>
      <c r="BGA19" s="101"/>
      <c r="BGB19" s="101"/>
      <c r="BGC19" s="101"/>
      <c r="BGD19" s="101"/>
      <c r="BGE19" s="101"/>
      <c r="BGF19" s="101"/>
      <c r="BGG19" s="101"/>
      <c r="BGH19" s="101"/>
      <c r="BGI19" s="101"/>
      <c r="BGJ19" s="101"/>
      <c r="BGK19" s="101"/>
      <c r="BGL19" s="101"/>
      <c r="BGM19" s="101"/>
      <c r="BGN19" s="101"/>
      <c r="BGO19" s="101"/>
      <c r="BGP19" s="101"/>
      <c r="BGQ19" s="101"/>
      <c r="BGR19" s="101"/>
      <c r="BGS19" s="101"/>
      <c r="BGT19" s="101"/>
      <c r="BGU19" s="101"/>
      <c r="BGV19" s="101"/>
      <c r="BGW19" s="101"/>
      <c r="BGX19" s="101"/>
      <c r="BGY19" s="101"/>
      <c r="BGZ19" s="101"/>
      <c r="BHA19" s="101"/>
      <c r="BHB19" s="101"/>
      <c r="BHC19" s="101"/>
      <c r="BHD19" s="101"/>
      <c r="BHE19" s="101"/>
      <c r="BHF19" s="101"/>
      <c r="BHG19" s="101"/>
      <c r="BHH19" s="101"/>
      <c r="BHI19" s="101"/>
      <c r="BHJ19" s="101"/>
      <c r="BHK19" s="101"/>
      <c r="BHL19" s="101"/>
      <c r="BHM19" s="101"/>
      <c r="BHN19" s="101"/>
      <c r="BHO19" s="101"/>
      <c r="BHP19" s="101"/>
      <c r="BHQ19" s="101"/>
      <c r="BHR19" s="101"/>
      <c r="BHS19" s="101"/>
      <c r="BHT19" s="101"/>
      <c r="BHU19" s="101"/>
      <c r="BHV19" s="101"/>
      <c r="BHW19" s="101"/>
      <c r="BHX19" s="101"/>
      <c r="BHY19" s="101"/>
      <c r="BHZ19" s="101"/>
      <c r="BIA19" s="101"/>
      <c r="BIB19" s="101"/>
      <c r="BIC19" s="101"/>
      <c r="BID19" s="101"/>
      <c r="BIE19" s="101"/>
      <c r="BIF19" s="101"/>
      <c r="BIG19" s="101"/>
      <c r="BIH19" s="101"/>
      <c r="BII19" s="101"/>
      <c r="BIJ19" s="101"/>
      <c r="BIK19" s="101"/>
      <c r="BIL19" s="101"/>
      <c r="BIM19" s="101"/>
      <c r="BIN19" s="101"/>
      <c r="BIO19" s="101"/>
      <c r="BIP19" s="101"/>
      <c r="BIQ19" s="101"/>
      <c r="BIR19" s="101"/>
      <c r="BIS19" s="101"/>
      <c r="BIT19" s="101"/>
      <c r="BIU19" s="101"/>
      <c r="BIV19" s="101"/>
      <c r="BIW19" s="101"/>
      <c r="BIX19" s="101"/>
      <c r="BIY19" s="101"/>
      <c r="BIZ19" s="101"/>
      <c r="BJA19" s="101"/>
      <c r="BJB19" s="101"/>
      <c r="BJC19" s="101"/>
      <c r="BJD19" s="101"/>
      <c r="BJE19" s="101"/>
      <c r="BJF19" s="101"/>
      <c r="BJG19" s="101"/>
      <c r="BJH19" s="101"/>
      <c r="BJI19" s="101"/>
      <c r="BJJ19" s="101"/>
      <c r="BJK19" s="101"/>
      <c r="BJL19" s="101"/>
      <c r="BJM19" s="101"/>
      <c r="BJN19" s="101"/>
      <c r="BJO19" s="101"/>
      <c r="BJP19" s="101"/>
      <c r="BJQ19" s="101"/>
      <c r="BJR19" s="101"/>
      <c r="BJS19" s="101"/>
      <c r="BJT19" s="101"/>
      <c r="BJU19" s="101"/>
      <c r="BJV19" s="101"/>
      <c r="BJW19" s="101"/>
      <c r="BJX19" s="101"/>
      <c r="BJY19" s="101"/>
      <c r="BJZ19" s="101"/>
      <c r="BKA19" s="101"/>
      <c r="BKB19" s="101"/>
      <c r="BKC19" s="101"/>
      <c r="BKD19" s="101"/>
      <c r="BKE19" s="101"/>
      <c r="BKF19" s="101"/>
      <c r="BKG19" s="101"/>
      <c r="BKH19" s="101"/>
      <c r="BKI19" s="101"/>
      <c r="BKJ19" s="101"/>
      <c r="BKK19" s="101"/>
      <c r="BKL19" s="101"/>
      <c r="BKM19" s="101"/>
      <c r="BKN19" s="101"/>
      <c r="BKO19" s="101"/>
      <c r="BKP19" s="101"/>
      <c r="BKQ19" s="101"/>
      <c r="BKR19" s="101"/>
      <c r="BKS19" s="101"/>
      <c r="BKT19" s="101"/>
      <c r="BKU19" s="101"/>
      <c r="BKV19" s="101"/>
      <c r="BKW19" s="101"/>
      <c r="BKX19" s="101"/>
      <c r="BKY19" s="101"/>
      <c r="BKZ19" s="101"/>
      <c r="BLA19" s="101"/>
      <c r="BLB19" s="101"/>
      <c r="BLC19" s="101"/>
      <c r="BLD19" s="101"/>
      <c r="BLE19" s="101"/>
      <c r="BLF19" s="101"/>
      <c r="BLG19" s="101"/>
      <c r="BLH19" s="101"/>
      <c r="BLI19" s="101"/>
      <c r="BLJ19" s="101"/>
      <c r="BLK19" s="101"/>
      <c r="BLL19" s="101"/>
      <c r="BLM19" s="101"/>
      <c r="BLN19" s="101"/>
      <c r="BLO19" s="101"/>
      <c r="BLP19" s="101"/>
      <c r="BLQ19" s="101"/>
      <c r="BLR19" s="101"/>
      <c r="BLS19" s="101"/>
      <c r="BLT19" s="101"/>
      <c r="BLU19" s="101"/>
      <c r="BLV19" s="101"/>
      <c r="BLW19" s="101"/>
      <c r="BLX19" s="101"/>
      <c r="BLY19" s="101"/>
      <c r="BLZ19" s="101"/>
      <c r="BMA19" s="101"/>
      <c r="BMB19" s="101"/>
      <c r="BMC19" s="101"/>
      <c r="BMD19" s="101"/>
      <c r="BME19" s="101"/>
      <c r="BMF19" s="101"/>
      <c r="BMG19" s="101"/>
      <c r="BMH19" s="101"/>
      <c r="BMI19" s="101"/>
      <c r="BMJ19" s="101"/>
      <c r="BMK19" s="101"/>
      <c r="BML19" s="101"/>
      <c r="BMM19" s="101"/>
      <c r="BMN19" s="101"/>
      <c r="BMO19" s="101"/>
      <c r="BMP19" s="101"/>
      <c r="BMQ19" s="101"/>
      <c r="BMR19" s="101"/>
      <c r="BMS19" s="101"/>
      <c r="BMT19" s="101"/>
      <c r="BMU19" s="101"/>
      <c r="BMV19" s="101"/>
      <c r="BMW19" s="101"/>
      <c r="BMX19" s="101"/>
      <c r="BMY19" s="101"/>
      <c r="BMZ19" s="101"/>
      <c r="BNA19" s="101"/>
      <c r="BNB19" s="101"/>
      <c r="BNC19" s="101"/>
      <c r="BND19" s="101"/>
      <c r="BNE19" s="101"/>
      <c r="BNF19" s="101"/>
      <c r="BNG19" s="101"/>
      <c r="BNH19" s="101"/>
      <c r="BNI19" s="101"/>
      <c r="BNJ19" s="101"/>
      <c r="BNK19" s="101"/>
      <c r="BNL19" s="101"/>
      <c r="BNM19" s="101"/>
      <c r="BNN19" s="101"/>
      <c r="BNO19" s="101"/>
      <c r="BNP19" s="101"/>
      <c r="BNQ19" s="101"/>
      <c r="BNR19" s="101"/>
      <c r="BNS19" s="101"/>
      <c r="BNT19" s="101"/>
      <c r="BNU19" s="101"/>
      <c r="BNV19" s="101"/>
      <c r="BNW19" s="101"/>
      <c r="BNX19" s="101"/>
      <c r="BNY19" s="101"/>
      <c r="BNZ19" s="101"/>
      <c r="BOA19" s="101"/>
      <c r="BOB19" s="101"/>
      <c r="BOC19" s="101"/>
      <c r="BOD19" s="101"/>
      <c r="BOE19" s="101"/>
      <c r="BOF19" s="101"/>
      <c r="BOG19" s="101"/>
      <c r="BOH19" s="101"/>
      <c r="BOI19" s="101"/>
      <c r="BOJ19" s="101"/>
      <c r="BOK19" s="101"/>
      <c r="BOL19" s="101"/>
      <c r="BOM19" s="101"/>
      <c r="BON19" s="101"/>
      <c r="BOO19" s="101"/>
      <c r="BOP19" s="101"/>
      <c r="BOQ19" s="101"/>
      <c r="BOR19" s="101"/>
      <c r="BOS19" s="101"/>
      <c r="BOT19" s="101"/>
      <c r="BOU19" s="101"/>
      <c r="BOV19" s="101"/>
      <c r="BOW19" s="101"/>
      <c r="BOX19" s="101"/>
      <c r="BOY19" s="101"/>
      <c r="BOZ19" s="101"/>
      <c r="BPA19" s="101"/>
      <c r="BPB19" s="101"/>
      <c r="BPC19" s="161"/>
    </row>
    <row r="20" s="102" customFormat="1" ht="75" customHeight="1" outlineLevel="1" spans="1:1024 1025:1771">
      <c r="A20" s="163" t="s">
        <v>72</v>
      </c>
      <c r="B20" s="151" t="s">
        <v>1057</v>
      </c>
      <c r="C20" s="164" t="s">
        <v>1058</v>
      </c>
      <c r="D20" s="153" t="s">
        <v>1044</v>
      </c>
      <c r="E20" s="154"/>
      <c r="F20" s="159"/>
      <c r="G20" s="165"/>
      <c r="H20" s="155">
        <v>46137</v>
      </c>
      <c r="I20" s="156" t="s">
        <v>7</v>
      </c>
      <c r="J20" s="166"/>
      <c r="K20" s="5"/>
      <c r="L20" s="5" t="s">
        <v>1041</v>
      </c>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c r="DK20" s="101"/>
      <c r="DL20" s="101"/>
      <c r="DM20" s="101"/>
      <c r="DN20" s="101"/>
      <c r="DO20" s="101"/>
      <c r="DP20" s="101"/>
      <c r="DQ20" s="101"/>
      <c r="DR20" s="101"/>
      <c r="DS20" s="101"/>
      <c r="DT20" s="101"/>
      <c r="DU20" s="101"/>
      <c r="DV20" s="101"/>
      <c r="DW20" s="101"/>
      <c r="DX20" s="101"/>
      <c r="DY20" s="101"/>
      <c r="DZ20" s="101"/>
      <c r="EA20" s="101"/>
      <c r="EB20" s="101"/>
      <c r="EC20" s="101"/>
      <c r="ED20" s="101"/>
      <c r="EE20" s="101"/>
      <c r="EF20" s="101"/>
      <c r="EG20" s="101"/>
      <c r="EH20" s="101"/>
      <c r="EI20" s="101"/>
      <c r="EJ20" s="101"/>
      <c r="EK20" s="101"/>
      <c r="EL20" s="101"/>
      <c r="EM20" s="101"/>
      <c r="EN20" s="101"/>
      <c r="EO20" s="101"/>
      <c r="EP20" s="101"/>
      <c r="EQ20" s="101"/>
      <c r="ER20" s="101"/>
      <c r="ES20" s="101"/>
      <c r="ET20" s="101"/>
      <c r="EU20" s="101"/>
      <c r="EV20" s="101"/>
      <c r="EW20" s="101"/>
      <c r="EX20" s="101"/>
      <c r="EY20" s="101"/>
      <c r="EZ20" s="101"/>
      <c r="FA20" s="101"/>
      <c r="FB20" s="101"/>
      <c r="FC20" s="101"/>
      <c r="FD20" s="101"/>
      <c r="FE20" s="101"/>
      <c r="FF20" s="101"/>
      <c r="FG20" s="101"/>
      <c r="FH20" s="101"/>
      <c r="FI20" s="101"/>
      <c r="FJ20" s="101"/>
      <c r="FK20" s="101"/>
      <c r="FL20" s="101"/>
      <c r="FM20" s="101"/>
      <c r="FN20" s="101"/>
      <c r="FO20" s="101"/>
      <c r="FP20" s="101"/>
      <c r="FQ20" s="101"/>
      <c r="FR20" s="101"/>
      <c r="FS20" s="101"/>
      <c r="FT20" s="101"/>
      <c r="FU20" s="101"/>
      <c r="FV20" s="101"/>
      <c r="FW20" s="101"/>
      <c r="FX20" s="101"/>
      <c r="FY20" s="101"/>
      <c r="FZ20" s="101"/>
      <c r="GA20" s="101"/>
      <c r="GB20" s="101"/>
      <c r="GC20" s="101"/>
      <c r="GD20" s="101"/>
      <c r="GE20" s="101"/>
      <c r="GF20" s="101"/>
      <c r="GG20" s="101"/>
      <c r="GH20" s="101"/>
      <c r="GI20" s="101"/>
      <c r="GJ20" s="101"/>
      <c r="GK20" s="101"/>
      <c r="GL20" s="101"/>
      <c r="GM20" s="101"/>
      <c r="GN20" s="101"/>
      <c r="GO20" s="101"/>
      <c r="GP20" s="101"/>
      <c r="GQ20" s="101"/>
      <c r="GR20" s="101"/>
      <c r="GS20" s="101"/>
      <c r="GT20" s="101"/>
      <c r="GU20" s="101"/>
      <c r="GV20" s="101"/>
      <c r="GW20" s="101"/>
      <c r="GX20" s="101"/>
      <c r="GY20" s="101"/>
      <c r="GZ20" s="101"/>
      <c r="HA20" s="101"/>
      <c r="HB20" s="101"/>
      <c r="HC20" s="101"/>
      <c r="HD20" s="101"/>
      <c r="HE20" s="101"/>
      <c r="HF20" s="101"/>
      <c r="HG20" s="101"/>
      <c r="HH20" s="101"/>
      <c r="HI20" s="101"/>
      <c r="HJ20" s="101"/>
      <c r="HK20" s="101"/>
      <c r="HL20" s="101"/>
      <c r="HM20" s="101"/>
      <c r="HN20" s="101"/>
      <c r="HO20" s="101"/>
      <c r="HP20" s="101"/>
      <c r="HQ20" s="101"/>
      <c r="HR20" s="101"/>
      <c r="HS20" s="101"/>
      <c r="HT20" s="101"/>
      <c r="HU20" s="101"/>
      <c r="HV20" s="101"/>
      <c r="HW20" s="101"/>
      <c r="HX20" s="101"/>
      <c r="HY20" s="101"/>
      <c r="HZ20" s="101"/>
      <c r="IA20" s="101"/>
      <c r="IB20" s="101"/>
      <c r="IC20" s="101"/>
      <c r="ID20" s="101"/>
      <c r="IE20" s="101"/>
      <c r="IF20" s="101"/>
      <c r="IG20" s="101"/>
      <c r="IH20" s="101"/>
      <c r="II20" s="101"/>
      <c r="IJ20" s="101"/>
      <c r="IK20" s="101"/>
      <c r="IL20" s="101"/>
      <c r="IM20" s="101"/>
      <c r="IN20" s="101"/>
      <c r="IO20" s="101"/>
      <c r="IP20" s="101"/>
      <c r="IQ20" s="101"/>
      <c r="IR20" s="101"/>
      <c r="IS20" s="101"/>
      <c r="IT20" s="101"/>
      <c r="IU20" s="101"/>
      <c r="IV20" s="101"/>
      <c r="IW20" s="101"/>
      <c r="IX20" s="101"/>
      <c r="IY20" s="101"/>
      <c r="IZ20" s="101"/>
      <c r="JA20" s="101"/>
      <c r="JB20" s="101"/>
      <c r="JC20" s="101"/>
      <c r="JD20" s="101"/>
      <c r="JE20" s="101"/>
      <c r="JF20" s="101"/>
      <c r="JG20" s="101"/>
      <c r="JH20" s="101"/>
      <c r="JI20" s="101"/>
      <c r="JJ20" s="101"/>
      <c r="JK20" s="101"/>
      <c r="JL20" s="101"/>
      <c r="JM20" s="101"/>
      <c r="JN20" s="101"/>
      <c r="JO20" s="101"/>
      <c r="JP20" s="101"/>
      <c r="JQ20" s="101"/>
      <c r="JR20" s="101"/>
      <c r="JS20" s="101"/>
      <c r="JT20" s="101"/>
      <c r="JU20" s="101"/>
      <c r="JV20" s="101"/>
      <c r="JW20" s="101"/>
      <c r="JX20" s="101"/>
      <c r="JY20" s="101"/>
      <c r="JZ20" s="101"/>
      <c r="KA20" s="101"/>
      <c r="KB20" s="101"/>
      <c r="KC20" s="101"/>
      <c r="KD20" s="101"/>
      <c r="KE20" s="101"/>
      <c r="KF20" s="101"/>
      <c r="KG20" s="101"/>
      <c r="KH20" s="101"/>
      <c r="KI20" s="101"/>
      <c r="KJ20" s="101"/>
      <c r="KK20" s="101"/>
      <c r="KL20" s="101"/>
      <c r="KM20" s="101"/>
      <c r="KN20" s="101"/>
      <c r="KO20" s="101"/>
      <c r="KP20" s="101"/>
      <c r="KQ20" s="101"/>
      <c r="KR20" s="101"/>
      <c r="KS20" s="101"/>
      <c r="KT20" s="101"/>
      <c r="KU20" s="101"/>
      <c r="KV20" s="101"/>
      <c r="KW20" s="101"/>
      <c r="KX20" s="101"/>
      <c r="KY20" s="101"/>
      <c r="KZ20" s="101"/>
      <c r="LA20" s="101"/>
      <c r="LB20" s="101"/>
      <c r="LC20" s="101"/>
      <c r="LD20" s="101"/>
      <c r="LE20" s="101"/>
      <c r="LF20" s="101"/>
      <c r="LG20" s="101"/>
      <c r="LH20" s="101"/>
      <c r="LI20" s="101"/>
      <c r="LJ20" s="101"/>
      <c r="LK20" s="101"/>
      <c r="LL20" s="101"/>
      <c r="LM20" s="101"/>
      <c r="LN20" s="101"/>
      <c r="LO20" s="101"/>
      <c r="LP20" s="101"/>
      <c r="LQ20" s="101"/>
      <c r="LR20" s="101"/>
      <c r="LS20" s="101"/>
      <c r="LT20" s="101"/>
      <c r="LU20" s="101"/>
      <c r="LV20" s="101"/>
      <c r="LW20" s="101"/>
      <c r="LX20" s="101"/>
      <c r="LY20" s="101"/>
      <c r="LZ20" s="101"/>
      <c r="MA20" s="101"/>
      <c r="MB20" s="101"/>
      <c r="MC20" s="101"/>
      <c r="MD20" s="101"/>
      <c r="ME20" s="101"/>
      <c r="MF20" s="101"/>
      <c r="MG20" s="101"/>
      <c r="MH20" s="101"/>
      <c r="MI20" s="101"/>
      <c r="MJ20" s="101"/>
      <c r="MK20" s="101"/>
      <c r="ML20" s="101"/>
      <c r="MM20" s="101"/>
      <c r="MN20" s="101"/>
      <c r="MO20" s="101"/>
      <c r="MP20" s="101"/>
      <c r="MQ20" s="101"/>
      <c r="MR20" s="101"/>
      <c r="MS20" s="101"/>
      <c r="MT20" s="101"/>
      <c r="MU20" s="101"/>
      <c r="MV20" s="101"/>
      <c r="MW20" s="101"/>
      <c r="MX20" s="101"/>
      <c r="MY20" s="101"/>
      <c r="MZ20" s="101"/>
      <c r="NA20" s="101"/>
      <c r="NB20" s="101"/>
      <c r="NC20" s="101"/>
      <c r="ND20" s="101"/>
      <c r="NE20" s="101"/>
      <c r="NF20" s="101"/>
      <c r="NG20" s="101"/>
      <c r="NH20" s="101"/>
      <c r="NI20" s="101"/>
      <c r="NJ20" s="101"/>
      <c r="NK20" s="101"/>
      <c r="NL20" s="101"/>
      <c r="NM20" s="101"/>
      <c r="NN20" s="101"/>
      <c r="NO20" s="101"/>
      <c r="NP20" s="101"/>
      <c r="NQ20" s="101"/>
      <c r="NR20" s="101"/>
      <c r="NS20" s="101"/>
      <c r="NT20" s="101"/>
      <c r="NU20" s="101"/>
      <c r="NV20" s="101"/>
      <c r="NW20" s="101"/>
      <c r="NX20" s="101"/>
      <c r="NY20" s="101"/>
      <c r="NZ20" s="101"/>
      <c r="OA20" s="101"/>
      <c r="OB20" s="101"/>
      <c r="OC20" s="101"/>
      <c r="OD20" s="101"/>
      <c r="OE20" s="101"/>
      <c r="OF20" s="101"/>
      <c r="OG20" s="101"/>
      <c r="OH20" s="101"/>
      <c r="OI20" s="101"/>
      <c r="OJ20" s="101"/>
      <c r="OK20" s="101"/>
      <c r="OL20" s="101"/>
      <c r="OM20" s="101"/>
      <c r="ON20" s="101"/>
      <c r="OO20" s="101"/>
      <c r="OP20" s="101"/>
      <c r="OQ20" s="101"/>
      <c r="OR20" s="101"/>
      <c r="OS20" s="101"/>
      <c r="OT20" s="101"/>
      <c r="OU20" s="101"/>
      <c r="OV20" s="101"/>
      <c r="OW20" s="101"/>
      <c r="OX20" s="101"/>
      <c r="OY20" s="101"/>
      <c r="OZ20" s="101"/>
      <c r="PA20" s="101"/>
      <c r="PB20" s="101"/>
      <c r="PC20" s="101"/>
      <c r="PD20" s="101"/>
      <c r="PE20" s="101"/>
      <c r="PF20" s="101"/>
      <c r="PG20" s="101"/>
      <c r="PH20" s="101"/>
      <c r="PI20" s="101"/>
      <c r="PJ20" s="101"/>
      <c r="PK20" s="101"/>
      <c r="PL20" s="101"/>
      <c r="PM20" s="101"/>
      <c r="PN20" s="101"/>
      <c r="PO20" s="101"/>
      <c r="PP20" s="101"/>
      <c r="PQ20" s="101"/>
      <c r="PR20" s="101"/>
      <c r="PS20" s="101"/>
      <c r="PT20" s="101"/>
      <c r="PU20" s="101"/>
      <c r="PV20" s="101"/>
      <c r="PW20" s="101"/>
      <c r="PX20" s="101"/>
      <c r="PY20" s="101"/>
      <c r="PZ20" s="101"/>
      <c r="QA20" s="101"/>
      <c r="QB20" s="101"/>
      <c r="QC20" s="101"/>
      <c r="QD20" s="101"/>
      <c r="QE20" s="101"/>
      <c r="QF20" s="101"/>
      <c r="QG20" s="101"/>
      <c r="QH20" s="101"/>
      <c r="QI20" s="101"/>
      <c r="QJ20" s="101"/>
      <c r="QK20" s="101"/>
      <c r="QL20" s="101"/>
      <c r="QM20" s="101"/>
      <c r="QN20" s="101"/>
      <c r="QO20" s="101"/>
      <c r="QP20" s="101"/>
      <c r="QQ20" s="101"/>
      <c r="QR20" s="101"/>
      <c r="QS20" s="101"/>
      <c r="QT20" s="101"/>
      <c r="QU20" s="101"/>
      <c r="QV20" s="101"/>
      <c r="QW20" s="101"/>
      <c r="QX20" s="101"/>
      <c r="QY20" s="101"/>
      <c r="QZ20" s="101"/>
      <c r="RA20" s="101"/>
      <c r="RB20" s="101"/>
      <c r="RC20" s="101"/>
      <c r="RD20" s="101"/>
      <c r="RE20" s="101"/>
      <c r="RF20" s="101"/>
      <c r="RG20" s="101"/>
      <c r="RH20" s="101"/>
      <c r="RI20" s="101"/>
      <c r="RJ20" s="101"/>
      <c r="RK20" s="101"/>
      <c r="RL20" s="101"/>
      <c r="RM20" s="101"/>
      <c r="RN20" s="101"/>
      <c r="RO20" s="101"/>
      <c r="RP20" s="101"/>
      <c r="RQ20" s="101"/>
      <c r="RR20" s="101"/>
      <c r="RS20" s="101"/>
      <c r="RT20" s="101"/>
      <c r="RU20" s="101"/>
      <c r="RV20" s="101"/>
      <c r="RW20" s="101"/>
      <c r="RX20" s="101"/>
      <c r="RY20" s="101"/>
      <c r="RZ20" s="101"/>
      <c r="SA20" s="101"/>
      <c r="SB20" s="101"/>
      <c r="SC20" s="101"/>
      <c r="SD20" s="101"/>
      <c r="SE20" s="101"/>
      <c r="SF20" s="101"/>
      <c r="SG20" s="101"/>
      <c r="SH20" s="101"/>
      <c r="SI20" s="101"/>
      <c r="SJ20" s="101"/>
      <c r="SK20" s="101"/>
      <c r="SL20" s="101"/>
      <c r="SM20" s="101"/>
      <c r="SN20" s="101"/>
      <c r="SO20" s="101"/>
      <c r="SP20" s="101"/>
      <c r="SQ20" s="101"/>
      <c r="SR20" s="101"/>
      <c r="SS20" s="101"/>
      <c r="ST20" s="101"/>
      <c r="SU20" s="101"/>
      <c r="SV20" s="101"/>
      <c r="SW20" s="101"/>
      <c r="SX20" s="101"/>
      <c r="SY20" s="101"/>
      <c r="SZ20" s="101"/>
      <c r="TA20" s="101"/>
      <c r="TB20" s="101"/>
      <c r="TC20" s="101"/>
      <c r="TD20" s="101"/>
      <c r="TE20" s="101"/>
      <c r="TF20" s="101"/>
      <c r="TG20" s="101"/>
      <c r="TH20" s="101"/>
      <c r="TI20" s="101"/>
      <c r="TJ20" s="101"/>
      <c r="TK20" s="101"/>
      <c r="TL20" s="101"/>
      <c r="TM20" s="101"/>
      <c r="TN20" s="101"/>
      <c r="TO20" s="101"/>
      <c r="TP20" s="101"/>
      <c r="TQ20" s="101"/>
      <c r="TR20" s="101"/>
      <c r="TS20" s="101"/>
      <c r="TT20" s="101"/>
      <c r="TU20" s="101"/>
      <c r="TV20" s="101"/>
      <c r="TW20" s="101"/>
      <c r="TX20" s="101"/>
      <c r="TY20" s="101"/>
      <c r="TZ20" s="101"/>
      <c r="UA20" s="101"/>
      <c r="UB20" s="101"/>
      <c r="UC20" s="101"/>
      <c r="UD20" s="101"/>
      <c r="UE20" s="101"/>
      <c r="UF20" s="101"/>
      <c r="UG20" s="101"/>
      <c r="UH20" s="101"/>
      <c r="UI20" s="101"/>
      <c r="UJ20" s="101"/>
      <c r="UK20" s="101"/>
      <c r="UL20" s="101"/>
      <c r="UM20" s="101"/>
      <c r="UN20" s="101"/>
      <c r="UO20" s="101"/>
      <c r="UP20" s="101"/>
      <c r="UQ20" s="101"/>
      <c r="UR20" s="101"/>
      <c r="US20" s="101"/>
      <c r="UT20" s="101"/>
      <c r="UU20" s="101"/>
      <c r="UV20" s="101"/>
      <c r="UW20" s="101"/>
      <c r="UX20" s="101"/>
      <c r="UY20" s="101"/>
      <c r="UZ20" s="101"/>
      <c r="VA20" s="101"/>
      <c r="VB20" s="101"/>
      <c r="VC20" s="101"/>
      <c r="VD20" s="101"/>
      <c r="VE20" s="101"/>
      <c r="VF20" s="101"/>
      <c r="VG20" s="101"/>
      <c r="VH20" s="101"/>
      <c r="VI20" s="101"/>
      <c r="VJ20" s="101"/>
      <c r="VK20" s="101"/>
      <c r="VL20" s="101"/>
      <c r="VM20" s="101"/>
      <c r="VN20" s="101"/>
      <c r="VO20" s="101"/>
      <c r="VP20" s="101"/>
      <c r="VQ20" s="101"/>
      <c r="VR20" s="101"/>
      <c r="VS20" s="101"/>
      <c r="VT20" s="101"/>
      <c r="VU20" s="101"/>
      <c r="VV20" s="101"/>
      <c r="VW20" s="101"/>
      <c r="VX20" s="101"/>
      <c r="VY20" s="101"/>
      <c r="VZ20" s="101"/>
      <c r="WA20" s="101"/>
      <c r="WB20" s="101"/>
      <c r="WC20" s="101"/>
      <c r="WD20" s="101"/>
      <c r="WE20" s="101"/>
      <c r="WF20" s="101"/>
      <c r="WG20" s="101"/>
      <c r="WH20" s="101"/>
      <c r="WI20" s="101"/>
      <c r="WJ20" s="101"/>
      <c r="WK20" s="101"/>
      <c r="WL20" s="101"/>
      <c r="WM20" s="101"/>
      <c r="WN20" s="101"/>
      <c r="WO20" s="101"/>
      <c r="WP20" s="101"/>
      <c r="WQ20" s="101"/>
      <c r="WR20" s="101"/>
      <c r="WS20" s="101"/>
      <c r="WT20" s="101"/>
      <c r="WU20" s="101"/>
      <c r="WV20" s="101"/>
      <c r="WW20" s="101"/>
      <c r="WX20" s="101"/>
      <c r="WY20" s="101"/>
      <c r="WZ20" s="101"/>
      <c r="XA20" s="101"/>
      <c r="XB20" s="101"/>
      <c r="XC20" s="101"/>
      <c r="XD20" s="101"/>
      <c r="XE20" s="101"/>
      <c r="XF20" s="101"/>
      <c r="XG20" s="101"/>
      <c r="XH20" s="101"/>
      <c r="XI20" s="101"/>
      <c r="XJ20" s="101"/>
      <c r="XK20" s="101"/>
      <c r="XL20" s="101"/>
      <c r="XM20" s="101"/>
      <c r="XN20" s="101"/>
      <c r="XO20" s="101"/>
      <c r="XP20" s="101"/>
      <c r="XQ20" s="101"/>
      <c r="XR20" s="101"/>
      <c r="XS20" s="101"/>
      <c r="XT20" s="101"/>
      <c r="XU20" s="101"/>
      <c r="XV20" s="101"/>
      <c r="XW20" s="101"/>
      <c r="XX20" s="101"/>
      <c r="XY20" s="101"/>
      <c r="XZ20" s="101"/>
      <c r="YA20" s="101"/>
      <c r="YB20" s="101"/>
      <c r="YC20" s="101"/>
      <c r="YD20" s="101"/>
      <c r="YE20" s="101"/>
      <c r="YF20" s="101"/>
      <c r="YG20" s="101"/>
      <c r="YH20" s="101"/>
      <c r="YI20" s="101"/>
      <c r="YJ20" s="101"/>
      <c r="YK20" s="101"/>
      <c r="YL20" s="101"/>
      <c r="YM20" s="101"/>
      <c r="YN20" s="101"/>
      <c r="YO20" s="101"/>
      <c r="YP20" s="101"/>
      <c r="YQ20" s="101"/>
      <c r="YR20" s="101"/>
      <c r="YS20" s="101"/>
      <c r="YT20" s="101"/>
      <c r="YU20" s="101"/>
      <c r="YV20" s="101"/>
      <c r="YW20" s="101"/>
      <c r="YX20" s="101"/>
      <c r="YY20" s="101"/>
      <c r="YZ20" s="101"/>
      <c r="ZA20" s="101"/>
      <c r="ZB20" s="101"/>
      <c r="ZC20" s="101"/>
      <c r="ZD20" s="101"/>
      <c r="ZE20" s="101"/>
      <c r="ZF20" s="101"/>
      <c r="ZG20" s="101"/>
      <c r="ZH20" s="101"/>
      <c r="ZI20" s="101"/>
      <c r="ZJ20" s="101"/>
      <c r="ZK20" s="101"/>
      <c r="ZL20" s="101"/>
      <c r="ZM20" s="101"/>
      <c r="ZN20" s="101"/>
      <c r="ZO20" s="101"/>
      <c r="ZP20" s="101"/>
      <c r="ZQ20" s="101"/>
      <c r="ZR20" s="101"/>
      <c r="ZS20" s="101"/>
      <c r="ZT20" s="101"/>
      <c r="ZU20" s="101"/>
      <c r="ZV20" s="101"/>
      <c r="ZW20" s="101"/>
      <c r="ZX20" s="101"/>
      <c r="ZY20" s="101"/>
      <c r="ZZ20" s="101"/>
      <c r="AAA20" s="101"/>
      <c r="AAB20" s="101"/>
      <c r="AAC20" s="101"/>
      <c r="AAD20" s="101"/>
      <c r="AAE20" s="101"/>
      <c r="AAF20" s="101"/>
      <c r="AAG20" s="101"/>
      <c r="AAH20" s="101"/>
      <c r="AAI20" s="101"/>
      <c r="AAJ20" s="101"/>
      <c r="AAK20" s="101"/>
      <c r="AAL20" s="101"/>
      <c r="AAM20" s="101"/>
      <c r="AAN20" s="101"/>
      <c r="AAO20" s="101"/>
      <c r="AAP20" s="101"/>
      <c r="AAQ20" s="101"/>
      <c r="AAR20" s="101"/>
      <c r="AAS20" s="101"/>
      <c r="AAT20" s="101"/>
      <c r="AAU20" s="101"/>
      <c r="AAV20" s="101"/>
      <c r="AAW20" s="101"/>
      <c r="AAX20" s="101"/>
      <c r="AAY20" s="101"/>
      <c r="AAZ20" s="101"/>
      <c r="ABA20" s="101"/>
      <c r="ABB20" s="101"/>
      <c r="ABC20" s="101"/>
      <c r="ABD20" s="101"/>
      <c r="ABE20" s="101"/>
      <c r="ABF20" s="101"/>
      <c r="ABG20" s="101"/>
      <c r="ABH20" s="101"/>
      <c r="ABI20" s="101"/>
      <c r="ABJ20" s="101"/>
      <c r="ABK20" s="101"/>
      <c r="ABL20" s="101"/>
      <c r="ABM20" s="101"/>
      <c r="ABN20" s="101"/>
      <c r="ABO20" s="101"/>
      <c r="ABP20" s="101"/>
      <c r="ABQ20" s="101"/>
      <c r="ABR20" s="101"/>
      <c r="ABS20" s="101"/>
      <c r="ABT20" s="101"/>
      <c r="ABU20" s="101"/>
      <c r="ABV20" s="101"/>
      <c r="ABW20" s="101"/>
      <c r="ABX20" s="101"/>
      <c r="ABY20" s="101"/>
      <c r="ABZ20" s="101"/>
      <c r="ACA20" s="101"/>
      <c r="ACB20" s="101"/>
      <c r="ACC20" s="101"/>
      <c r="ACD20" s="101"/>
      <c r="ACE20" s="101"/>
      <c r="ACF20" s="101"/>
      <c r="ACG20" s="101"/>
      <c r="ACH20" s="101"/>
      <c r="ACI20" s="101"/>
      <c r="ACJ20" s="101"/>
      <c r="ACK20" s="101"/>
      <c r="ACL20" s="101"/>
      <c r="ACM20" s="101"/>
      <c r="ACN20" s="101"/>
      <c r="ACO20" s="101"/>
      <c r="ACP20" s="101"/>
      <c r="ACQ20" s="101"/>
      <c r="ACR20" s="101"/>
      <c r="ACS20" s="101"/>
      <c r="ACT20" s="101"/>
      <c r="ACU20" s="101"/>
      <c r="ACV20" s="101"/>
      <c r="ACW20" s="101"/>
      <c r="ACX20" s="101"/>
      <c r="ACY20" s="101"/>
      <c r="ACZ20" s="101"/>
      <c r="ADA20" s="101"/>
      <c r="ADB20" s="101"/>
      <c r="ADC20" s="101"/>
      <c r="ADD20" s="101"/>
      <c r="ADE20" s="101"/>
      <c r="ADF20" s="101"/>
      <c r="ADG20" s="101"/>
      <c r="ADH20" s="101"/>
      <c r="ADI20" s="101"/>
      <c r="ADJ20" s="101"/>
      <c r="ADK20" s="101"/>
      <c r="ADL20" s="101"/>
      <c r="ADM20" s="101"/>
      <c r="ADN20" s="101"/>
      <c r="ADO20" s="101"/>
      <c r="ADP20" s="101"/>
      <c r="ADQ20" s="101"/>
      <c r="ADR20" s="101"/>
      <c r="ADS20" s="101"/>
      <c r="ADT20" s="101"/>
      <c r="ADU20" s="101"/>
      <c r="ADV20" s="101"/>
      <c r="ADW20" s="101"/>
      <c r="ADX20" s="101"/>
      <c r="ADY20" s="101"/>
      <c r="ADZ20" s="101"/>
      <c r="AEA20" s="101"/>
      <c r="AEB20" s="101"/>
      <c r="AEC20" s="101"/>
      <c r="AED20" s="101"/>
      <c r="AEE20" s="101"/>
      <c r="AEF20" s="101"/>
      <c r="AEG20" s="101"/>
      <c r="AEH20" s="101"/>
      <c r="AEI20" s="101"/>
      <c r="AEJ20" s="101"/>
      <c r="AEK20" s="101"/>
      <c r="AEL20" s="101"/>
      <c r="AEM20" s="101"/>
      <c r="AEN20" s="101"/>
      <c r="AEO20" s="101"/>
      <c r="AEP20" s="101"/>
      <c r="AEQ20" s="101"/>
      <c r="AER20" s="101"/>
      <c r="AES20" s="101"/>
      <c r="AET20" s="101"/>
      <c r="AEU20" s="101"/>
      <c r="AEV20" s="101"/>
      <c r="AEW20" s="101"/>
      <c r="AEX20" s="101"/>
      <c r="AEY20" s="101"/>
      <c r="AEZ20" s="101"/>
      <c r="AFA20" s="101"/>
      <c r="AFB20" s="101"/>
      <c r="AFC20" s="101"/>
      <c r="AFD20" s="101"/>
      <c r="AFE20" s="101"/>
      <c r="AFF20" s="101"/>
      <c r="AFG20" s="101"/>
      <c r="AFH20" s="101"/>
      <c r="AFI20" s="101"/>
      <c r="AFJ20" s="101"/>
      <c r="AFK20" s="101"/>
      <c r="AFL20" s="101"/>
      <c r="AFM20" s="101"/>
      <c r="AFN20" s="101"/>
      <c r="AFO20" s="101"/>
      <c r="AFP20" s="101"/>
      <c r="AFQ20" s="101"/>
      <c r="AFR20" s="101"/>
      <c r="AFS20" s="101"/>
      <c r="AFT20" s="101"/>
      <c r="AFU20" s="101"/>
      <c r="AFV20" s="101"/>
      <c r="AFW20" s="101"/>
      <c r="AFX20" s="101"/>
      <c r="AFY20" s="101"/>
      <c r="AFZ20" s="101"/>
      <c r="AGA20" s="101"/>
      <c r="AGB20" s="101"/>
      <c r="AGC20" s="101"/>
      <c r="AGD20" s="101"/>
      <c r="AGE20" s="101"/>
      <c r="AGF20" s="101"/>
      <c r="AGG20" s="101"/>
      <c r="AGH20" s="101"/>
      <c r="AGI20" s="101"/>
      <c r="AGJ20" s="101"/>
      <c r="AGK20" s="101"/>
      <c r="AGL20" s="101"/>
      <c r="AGM20" s="101"/>
      <c r="AGN20" s="101"/>
      <c r="AGO20" s="101"/>
      <c r="AGP20" s="101"/>
      <c r="AGQ20" s="101"/>
      <c r="AGR20" s="101"/>
      <c r="AGS20" s="101"/>
      <c r="AGT20" s="101"/>
      <c r="AGU20" s="101"/>
      <c r="AGV20" s="101"/>
      <c r="AGW20" s="101"/>
      <c r="AGX20" s="101"/>
      <c r="AGY20" s="101"/>
      <c r="AGZ20" s="101"/>
      <c r="AHA20" s="101"/>
      <c r="AHB20" s="101"/>
      <c r="AHC20" s="101"/>
      <c r="AHD20" s="101"/>
      <c r="AHE20" s="101"/>
      <c r="AHF20" s="101"/>
      <c r="AHG20" s="101"/>
      <c r="AHH20" s="101"/>
      <c r="AHI20" s="101"/>
      <c r="AHJ20" s="101"/>
      <c r="AHK20" s="101"/>
      <c r="AHL20" s="101"/>
      <c r="AHM20" s="101"/>
      <c r="AHN20" s="101"/>
      <c r="AHO20" s="101"/>
      <c r="AHP20" s="101"/>
      <c r="AHQ20" s="101"/>
      <c r="AHR20" s="101"/>
      <c r="AHS20" s="101"/>
      <c r="AHT20" s="101"/>
      <c r="AHU20" s="101"/>
      <c r="AHV20" s="101"/>
      <c r="AHW20" s="101"/>
      <c r="AHX20" s="101"/>
      <c r="AHY20" s="101"/>
      <c r="AHZ20" s="101"/>
      <c r="AIA20" s="101"/>
      <c r="AIB20" s="101"/>
      <c r="AIC20" s="101"/>
      <c r="AID20" s="101"/>
      <c r="AIE20" s="101"/>
      <c r="AIF20" s="101"/>
      <c r="AIG20" s="101"/>
      <c r="AIH20" s="101"/>
      <c r="AII20" s="101"/>
      <c r="AIJ20" s="101"/>
      <c r="AIK20" s="101"/>
      <c r="AIL20" s="101"/>
      <c r="AIM20" s="101"/>
      <c r="AIN20" s="101"/>
      <c r="AIO20" s="101"/>
      <c r="AIP20" s="101"/>
      <c r="AIQ20" s="101"/>
      <c r="AIR20" s="101"/>
      <c r="AIS20" s="101"/>
      <c r="AIT20" s="101"/>
      <c r="AIU20" s="101"/>
      <c r="AIV20" s="101"/>
      <c r="AIW20" s="101"/>
      <c r="AIX20" s="101"/>
      <c r="AIY20" s="101"/>
      <c r="AIZ20" s="101"/>
      <c r="AJA20" s="101"/>
      <c r="AJB20" s="101"/>
      <c r="AJC20" s="101"/>
      <c r="AJD20" s="101"/>
      <c r="AJE20" s="101"/>
      <c r="AJF20" s="101"/>
      <c r="AJG20" s="101"/>
      <c r="AJH20" s="101"/>
      <c r="AJI20" s="101"/>
      <c r="AJJ20" s="101"/>
      <c r="AJK20" s="101"/>
      <c r="AJL20" s="101"/>
      <c r="AJM20" s="101"/>
      <c r="AJN20" s="101"/>
      <c r="AJO20" s="101"/>
      <c r="AJP20" s="101"/>
      <c r="AJQ20" s="101"/>
      <c r="AJR20" s="101"/>
      <c r="AJS20" s="101"/>
      <c r="AJT20" s="101"/>
      <c r="AJU20" s="101"/>
      <c r="AJV20" s="101"/>
      <c r="AJW20" s="101"/>
      <c r="AJX20" s="101"/>
      <c r="AJY20" s="101"/>
      <c r="AJZ20" s="101"/>
      <c r="AKA20" s="101"/>
      <c r="AKB20" s="101"/>
      <c r="AKC20" s="101"/>
      <c r="AKD20" s="101"/>
      <c r="AKE20" s="101"/>
      <c r="AKF20" s="101"/>
      <c r="AKG20" s="101"/>
      <c r="AKH20" s="101"/>
      <c r="AKI20" s="101"/>
      <c r="AKJ20" s="101"/>
      <c r="AKK20" s="101"/>
      <c r="AKL20" s="101"/>
      <c r="AKM20" s="101"/>
      <c r="AKN20" s="101"/>
      <c r="AKO20" s="101"/>
      <c r="AKP20" s="101"/>
      <c r="AKQ20" s="101"/>
      <c r="AKR20" s="101"/>
      <c r="AKS20" s="101"/>
      <c r="AKT20" s="101"/>
      <c r="AKU20" s="101"/>
      <c r="AKV20" s="101"/>
      <c r="AKW20" s="101"/>
      <c r="AKX20" s="101"/>
      <c r="AKY20" s="101"/>
      <c r="AKZ20" s="101"/>
      <c r="ALA20" s="101"/>
      <c r="ALB20" s="101"/>
      <c r="ALC20" s="101"/>
      <c r="ALD20" s="101"/>
      <c r="ALE20" s="101"/>
      <c r="ALF20" s="101"/>
      <c r="ALG20" s="101"/>
      <c r="ALH20" s="101"/>
      <c r="ALI20" s="101"/>
      <c r="ALJ20" s="101"/>
      <c r="ALK20" s="101"/>
      <c r="ALL20" s="101"/>
      <c r="ALM20" s="101"/>
      <c r="ALN20" s="101"/>
      <c r="ALO20" s="101"/>
      <c r="ALP20" s="101"/>
      <c r="ALQ20" s="101"/>
      <c r="ALR20" s="101"/>
      <c r="ALS20" s="101"/>
      <c r="ALT20" s="101"/>
      <c r="ALU20" s="101"/>
      <c r="ALV20" s="101"/>
      <c r="ALW20" s="101"/>
      <c r="ALX20" s="101"/>
      <c r="ALY20" s="101"/>
      <c r="ALZ20" s="101"/>
      <c r="AMA20" s="101"/>
      <c r="AMB20" s="101"/>
      <c r="AMC20" s="101"/>
      <c r="AMD20" s="101"/>
      <c r="AME20" s="101"/>
      <c r="AMF20" s="101"/>
      <c r="AMG20" s="101"/>
      <c r="AMH20" s="101"/>
      <c r="AMI20" s="101"/>
      <c r="AMJ20" s="101"/>
      <c r="AMK20" s="101"/>
      <c r="AML20" s="101"/>
      <c r="AMM20" s="101"/>
      <c r="AMN20" s="101"/>
      <c r="AMO20" s="101"/>
      <c r="AMP20" s="101"/>
      <c r="AMQ20" s="101"/>
      <c r="AMR20" s="101"/>
      <c r="AMS20" s="101"/>
      <c r="AMT20" s="101"/>
      <c r="AMU20" s="101"/>
      <c r="AMV20" s="101"/>
      <c r="AMW20" s="101"/>
      <c r="AMX20" s="101"/>
      <c r="AMY20" s="101"/>
      <c r="AMZ20" s="101"/>
      <c r="ANA20" s="101"/>
      <c r="ANB20" s="101"/>
      <c r="ANC20" s="101"/>
      <c r="AND20" s="101"/>
      <c r="ANE20" s="101"/>
      <c r="ANF20" s="101"/>
      <c r="ANG20" s="101"/>
      <c r="ANH20" s="101"/>
      <c r="ANI20" s="101"/>
      <c r="ANJ20" s="101"/>
      <c r="ANK20" s="101"/>
      <c r="ANL20" s="101"/>
      <c r="ANM20" s="101"/>
      <c r="ANN20" s="101"/>
      <c r="ANO20" s="101"/>
      <c r="ANP20" s="101"/>
      <c r="ANQ20" s="101"/>
      <c r="ANR20" s="101"/>
      <c r="ANS20" s="101"/>
      <c r="ANT20" s="101"/>
      <c r="ANU20" s="101"/>
      <c r="ANV20" s="101"/>
      <c r="ANW20" s="101"/>
      <c r="ANX20" s="101"/>
      <c r="ANY20" s="101"/>
      <c r="ANZ20" s="101"/>
      <c r="AOA20" s="101"/>
      <c r="AOB20" s="101"/>
      <c r="AOC20" s="101"/>
      <c r="AOD20" s="101"/>
      <c r="AOE20" s="101"/>
      <c r="AOF20" s="101"/>
      <c r="AOG20" s="101"/>
      <c r="AOH20" s="101"/>
      <c r="AOI20" s="101"/>
      <c r="AOJ20" s="101"/>
      <c r="AOK20" s="101"/>
      <c r="AOL20" s="101"/>
      <c r="AOM20" s="101"/>
      <c r="AON20" s="101"/>
      <c r="AOO20" s="101"/>
      <c r="AOP20" s="101"/>
      <c r="AOQ20" s="101"/>
      <c r="AOR20" s="101"/>
      <c r="AOS20" s="101"/>
      <c r="AOT20" s="101"/>
      <c r="AOU20" s="101"/>
      <c r="AOV20" s="101"/>
      <c r="AOW20" s="101"/>
      <c r="AOX20" s="101"/>
      <c r="AOY20" s="101"/>
      <c r="AOZ20" s="101"/>
      <c r="APA20" s="101"/>
      <c r="APB20" s="101"/>
      <c r="APC20" s="101"/>
      <c r="APD20" s="101"/>
      <c r="APE20" s="101"/>
      <c r="APF20" s="101"/>
      <c r="APG20" s="101"/>
      <c r="APH20" s="101"/>
      <c r="API20" s="101"/>
      <c r="APJ20" s="101"/>
      <c r="APK20" s="101"/>
      <c r="APL20" s="101"/>
      <c r="APM20" s="101"/>
      <c r="APN20" s="101"/>
      <c r="APO20" s="101"/>
      <c r="APP20" s="101"/>
      <c r="APQ20" s="101"/>
      <c r="APR20" s="101"/>
      <c r="APS20" s="101"/>
      <c r="APT20" s="101"/>
      <c r="APU20" s="101"/>
      <c r="APV20" s="101"/>
      <c r="APW20" s="101"/>
      <c r="APX20" s="101"/>
      <c r="APY20" s="101"/>
      <c r="APZ20" s="101"/>
      <c r="AQA20" s="101"/>
      <c r="AQB20" s="101"/>
      <c r="AQC20" s="101"/>
      <c r="AQD20" s="101"/>
      <c r="AQE20" s="101"/>
      <c r="AQF20" s="101"/>
      <c r="AQG20" s="101"/>
      <c r="AQH20" s="101"/>
      <c r="AQI20" s="101"/>
      <c r="AQJ20" s="101"/>
      <c r="AQK20" s="101"/>
      <c r="AQL20" s="101"/>
      <c r="AQM20" s="101"/>
      <c r="AQN20" s="101"/>
      <c r="AQO20" s="101"/>
      <c r="AQP20" s="101"/>
      <c r="AQQ20" s="101"/>
      <c r="AQR20" s="101"/>
      <c r="AQS20" s="101"/>
      <c r="AQT20" s="101"/>
      <c r="AQU20" s="101"/>
      <c r="AQV20" s="101"/>
      <c r="AQW20" s="101"/>
      <c r="AQX20" s="101"/>
      <c r="AQY20" s="101"/>
      <c r="AQZ20" s="101"/>
      <c r="ARA20" s="101"/>
      <c r="ARB20" s="101"/>
      <c r="ARC20" s="101"/>
      <c r="ARD20" s="101"/>
      <c r="ARE20" s="101"/>
      <c r="ARF20" s="101"/>
      <c r="ARG20" s="101"/>
      <c r="ARH20" s="101"/>
      <c r="ARI20" s="101"/>
      <c r="ARJ20" s="101"/>
      <c r="ARK20" s="101"/>
      <c r="ARL20" s="101"/>
      <c r="ARM20" s="101"/>
      <c r="ARN20" s="101"/>
      <c r="ARO20" s="101"/>
      <c r="ARP20" s="101"/>
      <c r="ARQ20" s="101"/>
      <c r="ARR20" s="101"/>
      <c r="ARS20" s="101"/>
      <c r="ART20" s="101"/>
      <c r="ARU20" s="101"/>
      <c r="ARV20" s="101"/>
      <c r="ARW20" s="101"/>
      <c r="ARX20" s="101"/>
      <c r="ARY20" s="101"/>
      <c r="ARZ20" s="101"/>
      <c r="ASA20" s="101"/>
      <c r="ASB20" s="101"/>
      <c r="ASC20" s="101"/>
      <c r="ASD20" s="101"/>
      <c r="ASE20" s="101"/>
      <c r="ASF20" s="101"/>
      <c r="ASG20" s="101"/>
      <c r="ASH20" s="101"/>
      <c r="ASI20" s="101"/>
      <c r="ASJ20" s="101"/>
      <c r="ASK20" s="101"/>
      <c r="ASL20" s="101"/>
      <c r="ASM20" s="101"/>
      <c r="ASN20" s="101"/>
      <c r="ASO20" s="101"/>
      <c r="ASP20" s="101"/>
      <c r="ASQ20" s="101"/>
      <c r="ASR20" s="101"/>
      <c r="ASS20" s="101"/>
      <c r="AST20" s="101"/>
      <c r="ASU20" s="101"/>
      <c r="ASV20" s="101"/>
      <c r="ASW20" s="101"/>
      <c r="ASX20" s="101"/>
      <c r="ASY20" s="101"/>
      <c r="ASZ20" s="101"/>
      <c r="ATA20" s="101"/>
      <c r="ATB20" s="101"/>
      <c r="ATC20" s="101"/>
      <c r="ATD20" s="101"/>
      <c r="ATE20" s="101"/>
      <c r="ATF20" s="101"/>
      <c r="ATG20" s="101"/>
      <c r="ATH20" s="101"/>
      <c r="ATI20" s="101"/>
      <c r="ATJ20" s="101"/>
      <c r="ATK20" s="101"/>
      <c r="ATL20" s="101"/>
      <c r="ATM20" s="101"/>
      <c r="ATN20" s="101"/>
      <c r="ATO20" s="101"/>
      <c r="ATP20" s="101"/>
      <c r="ATQ20" s="101"/>
      <c r="ATR20" s="101"/>
      <c r="ATS20" s="101"/>
      <c r="ATT20" s="101"/>
      <c r="ATU20" s="101"/>
      <c r="ATV20" s="101"/>
      <c r="ATW20" s="101"/>
      <c r="ATX20" s="101"/>
      <c r="ATY20" s="101"/>
      <c r="ATZ20" s="101"/>
      <c r="AUA20" s="101"/>
      <c r="AUB20" s="101"/>
      <c r="AUC20" s="101"/>
      <c r="AUD20" s="101"/>
      <c r="AUE20" s="101"/>
      <c r="AUF20" s="101"/>
      <c r="AUG20" s="101"/>
      <c r="AUH20" s="101"/>
      <c r="AUI20" s="101"/>
      <c r="AUJ20" s="101"/>
      <c r="AUK20" s="101"/>
      <c r="AUL20" s="101"/>
      <c r="AUM20" s="101"/>
      <c r="AUN20" s="101"/>
      <c r="AUO20" s="101"/>
      <c r="AUP20" s="101"/>
      <c r="AUQ20" s="101"/>
      <c r="AUR20" s="101"/>
      <c r="AUS20" s="101"/>
      <c r="AUT20" s="101"/>
      <c r="AUU20" s="101"/>
      <c r="AUV20" s="101"/>
      <c r="AUW20" s="101"/>
      <c r="AUX20" s="101"/>
      <c r="AUY20" s="101"/>
      <c r="AUZ20" s="101"/>
      <c r="AVA20" s="101"/>
      <c r="AVB20" s="101"/>
      <c r="AVC20" s="101"/>
      <c r="AVD20" s="101"/>
      <c r="AVE20" s="101"/>
      <c r="AVF20" s="101"/>
      <c r="AVG20" s="101"/>
      <c r="AVH20" s="101"/>
      <c r="AVI20" s="101"/>
      <c r="AVJ20" s="101"/>
      <c r="AVK20" s="101"/>
      <c r="AVL20" s="101"/>
      <c r="AVM20" s="101"/>
      <c r="AVN20" s="101"/>
      <c r="AVO20" s="101"/>
      <c r="AVP20" s="101"/>
      <c r="AVQ20" s="101"/>
      <c r="AVR20" s="101"/>
      <c r="AVS20" s="101"/>
      <c r="AVT20" s="101"/>
      <c r="AVU20" s="101"/>
      <c r="AVV20" s="101"/>
      <c r="AVW20" s="101"/>
      <c r="AVX20" s="101"/>
      <c r="AVY20" s="101"/>
      <c r="AVZ20" s="101"/>
      <c r="AWA20" s="101"/>
      <c r="AWB20" s="101"/>
      <c r="AWC20" s="101"/>
      <c r="AWD20" s="101"/>
      <c r="AWE20" s="101"/>
      <c r="AWF20" s="101"/>
      <c r="AWG20" s="101"/>
      <c r="AWH20" s="101"/>
      <c r="AWI20" s="101"/>
      <c r="AWJ20" s="101"/>
      <c r="AWK20" s="101"/>
      <c r="AWL20" s="101"/>
      <c r="AWM20" s="101"/>
      <c r="AWN20" s="101"/>
      <c r="AWO20" s="101"/>
      <c r="AWP20" s="101"/>
      <c r="AWQ20" s="101"/>
      <c r="AWR20" s="101"/>
      <c r="AWS20" s="101"/>
      <c r="AWT20" s="101"/>
      <c r="AWU20" s="101"/>
      <c r="AWV20" s="101"/>
      <c r="AWW20" s="101"/>
      <c r="AWX20" s="101"/>
      <c r="AWY20" s="101"/>
      <c r="AWZ20" s="101"/>
      <c r="AXA20" s="101"/>
      <c r="AXB20" s="101"/>
      <c r="AXC20" s="101"/>
      <c r="AXD20" s="101"/>
      <c r="AXE20" s="101"/>
      <c r="AXF20" s="101"/>
      <c r="AXG20" s="101"/>
      <c r="AXH20" s="101"/>
      <c r="AXI20" s="101"/>
      <c r="AXJ20" s="101"/>
      <c r="AXK20" s="101"/>
      <c r="AXL20" s="101"/>
      <c r="AXM20" s="101"/>
      <c r="AXN20" s="101"/>
      <c r="AXO20" s="101"/>
      <c r="AXP20" s="101"/>
      <c r="AXQ20" s="101"/>
      <c r="AXR20" s="101"/>
      <c r="AXS20" s="101"/>
      <c r="AXT20" s="101"/>
      <c r="AXU20" s="101"/>
      <c r="AXV20" s="101"/>
      <c r="AXW20" s="101"/>
      <c r="AXX20" s="101"/>
      <c r="AXY20" s="101"/>
      <c r="AXZ20" s="101"/>
      <c r="AYA20" s="101"/>
      <c r="AYB20" s="101"/>
      <c r="AYC20" s="101"/>
      <c r="AYD20" s="101"/>
      <c r="AYE20" s="101"/>
      <c r="AYF20" s="101"/>
      <c r="AYG20" s="101"/>
      <c r="AYH20" s="101"/>
      <c r="AYI20" s="101"/>
      <c r="AYJ20" s="101"/>
      <c r="AYK20" s="101"/>
      <c r="AYL20" s="101"/>
      <c r="AYM20" s="101"/>
      <c r="AYN20" s="101"/>
      <c r="AYO20" s="101"/>
      <c r="AYP20" s="101"/>
      <c r="AYQ20" s="101"/>
      <c r="AYR20" s="101"/>
      <c r="AYS20" s="101"/>
      <c r="AYT20" s="101"/>
      <c r="AYU20" s="101"/>
      <c r="AYV20" s="101"/>
      <c r="AYW20" s="101"/>
      <c r="AYX20" s="101"/>
      <c r="AYY20" s="101"/>
      <c r="AYZ20" s="101"/>
      <c r="AZA20" s="101"/>
      <c r="AZB20" s="101"/>
      <c r="AZC20" s="101"/>
      <c r="AZD20" s="101"/>
      <c r="AZE20" s="101"/>
      <c r="AZF20" s="101"/>
      <c r="AZG20" s="101"/>
      <c r="AZH20" s="101"/>
      <c r="AZI20" s="101"/>
      <c r="AZJ20" s="101"/>
      <c r="AZK20" s="101"/>
      <c r="AZL20" s="101"/>
      <c r="AZM20" s="101"/>
      <c r="AZN20" s="101"/>
      <c r="AZO20" s="101"/>
      <c r="AZP20" s="101"/>
      <c r="AZQ20" s="101"/>
      <c r="AZR20" s="101"/>
      <c r="AZS20" s="101"/>
      <c r="AZT20" s="101"/>
      <c r="AZU20" s="101"/>
      <c r="AZV20" s="101"/>
      <c r="AZW20" s="101"/>
      <c r="AZX20" s="101"/>
      <c r="AZY20" s="101"/>
      <c r="AZZ20" s="101"/>
      <c r="BAA20" s="101"/>
      <c r="BAB20" s="101"/>
      <c r="BAC20" s="101"/>
      <c r="BAD20" s="101"/>
      <c r="BAE20" s="101"/>
      <c r="BAF20" s="101"/>
      <c r="BAG20" s="101"/>
      <c r="BAH20" s="101"/>
      <c r="BAI20" s="101"/>
      <c r="BAJ20" s="101"/>
      <c r="BAK20" s="101"/>
      <c r="BAL20" s="101"/>
      <c r="BAM20" s="101"/>
      <c r="BAN20" s="101"/>
      <c r="BAO20" s="101"/>
      <c r="BAP20" s="101"/>
      <c r="BAQ20" s="101"/>
      <c r="BAR20" s="101"/>
      <c r="BAS20" s="101"/>
      <c r="BAT20" s="101"/>
      <c r="BAU20" s="101"/>
      <c r="BAV20" s="101"/>
      <c r="BAW20" s="101"/>
      <c r="BAX20" s="101"/>
      <c r="BAY20" s="101"/>
      <c r="BAZ20" s="101"/>
      <c r="BBA20" s="101"/>
      <c r="BBB20" s="101"/>
      <c r="BBC20" s="101"/>
      <c r="BBD20" s="101"/>
      <c r="BBE20" s="101"/>
      <c r="BBF20" s="101"/>
      <c r="BBG20" s="101"/>
      <c r="BBH20" s="101"/>
      <c r="BBI20" s="101"/>
      <c r="BBJ20" s="101"/>
      <c r="BBK20" s="101"/>
      <c r="BBL20" s="101"/>
      <c r="BBM20" s="101"/>
      <c r="BBN20" s="101"/>
      <c r="BBO20" s="101"/>
      <c r="BBP20" s="101"/>
      <c r="BBQ20" s="101"/>
      <c r="BBR20" s="101"/>
      <c r="BBS20" s="101"/>
      <c r="BBT20" s="101"/>
      <c r="BBU20" s="101"/>
      <c r="BBV20" s="101"/>
      <c r="BBW20" s="101"/>
      <c r="BBX20" s="101"/>
      <c r="BBY20" s="101"/>
      <c r="BBZ20" s="101"/>
      <c r="BCA20" s="101"/>
      <c r="BCB20" s="101"/>
      <c r="BCC20" s="101"/>
      <c r="BCD20" s="101"/>
      <c r="BCE20" s="101"/>
      <c r="BCF20" s="101"/>
      <c r="BCG20" s="101"/>
      <c r="BCH20" s="101"/>
      <c r="BCI20" s="101"/>
      <c r="BCJ20" s="101"/>
      <c r="BCK20" s="101"/>
      <c r="BCL20" s="101"/>
      <c r="BCM20" s="101"/>
      <c r="BCN20" s="101"/>
      <c r="BCO20" s="101"/>
      <c r="BCP20" s="101"/>
      <c r="BCQ20" s="101"/>
      <c r="BCR20" s="101"/>
      <c r="BCS20" s="101"/>
      <c r="BCT20" s="101"/>
      <c r="BCU20" s="101"/>
      <c r="BCV20" s="101"/>
      <c r="BCW20" s="101"/>
      <c r="BCX20" s="101"/>
      <c r="BCY20" s="101"/>
      <c r="BCZ20" s="101"/>
      <c r="BDA20" s="101"/>
      <c r="BDB20" s="101"/>
      <c r="BDC20" s="101"/>
      <c r="BDD20" s="101"/>
      <c r="BDE20" s="101"/>
      <c r="BDF20" s="101"/>
      <c r="BDG20" s="101"/>
      <c r="BDH20" s="101"/>
      <c r="BDI20" s="101"/>
      <c r="BDJ20" s="101"/>
      <c r="BDK20" s="101"/>
      <c r="BDL20" s="101"/>
      <c r="BDM20" s="101"/>
      <c r="BDN20" s="101"/>
      <c r="BDO20" s="101"/>
      <c r="BDP20" s="101"/>
      <c r="BDQ20" s="101"/>
      <c r="BDR20" s="101"/>
      <c r="BDS20" s="101"/>
      <c r="BDT20" s="101"/>
      <c r="BDU20" s="101"/>
      <c r="BDV20" s="101"/>
      <c r="BDW20" s="101"/>
      <c r="BDX20" s="101"/>
      <c r="BDY20" s="101"/>
      <c r="BDZ20" s="101"/>
      <c r="BEA20" s="101"/>
      <c r="BEB20" s="101"/>
      <c r="BEC20" s="101"/>
      <c r="BED20" s="101"/>
      <c r="BEE20" s="101"/>
      <c r="BEF20" s="101"/>
      <c r="BEG20" s="101"/>
      <c r="BEH20" s="101"/>
      <c r="BEI20" s="101"/>
      <c r="BEJ20" s="101"/>
      <c r="BEK20" s="101"/>
      <c r="BEL20" s="101"/>
      <c r="BEM20" s="101"/>
      <c r="BEN20" s="101"/>
      <c r="BEO20" s="101"/>
      <c r="BEP20" s="101"/>
      <c r="BEQ20" s="101"/>
      <c r="BER20" s="101"/>
      <c r="BES20" s="101"/>
      <c r="BET20" s="101"/>
      <c r="BEU20" s="101"/>
      <c r="BEV20" s="101"/>
      <c r="BEW20" s="101"/>
      <c r="BEX20" s="101"/>
      <c r="BEY20" s="101"/>
      <c r="BEZ20" s="101"/>
      <c r="BFA20" s="101"/>
      <c r="BFB20" s="101"/>
      <c r="BFC20" s="101"/>
      <c r="BFD20" s="101"/>
      <c r="BFE20" s="101"/>
      <c r="BFF20" s="101"/>
      <c r="BFG20" s="101"/>
      <c r="BFH20" s="101"/>
      <c r="BFI20" s="101"/>
      <c r="BFJ20" s="101"/>
      <c r="BFK20" s="101"/>
      <c r="BFL20" s="101"/>
      <c r="BFM20" s="101"/>
      <c r="BFN20" s="101"/>
      <c r="BFO20" s="101"/>
      <c r="BFP20" s="101"/>
      <c r="BFQ20" s="101"/>
      <c r="BFR20" s="101"/>
      <c r="BFS20" s="101"/>
      <c r="BFT20" s="101"/>
      <c r="BFU20" s="101"/>
      <c r="BFV20" s="101"/>
      <c r="BFW20" s="101"/>
      <c r="BFX20" s="101"/>
      <c r="BFY20" s="101"/>
      <c r="BFZ20" s="101"/>
      <c r="BGA20" s="101"/>
      <c r="BGB20" s="101"/>
      <c r="BGC20" s="101"/>
      <c r="BGD20" s="101"/>
      <c r="BGE20" s="101"/>
      <c r="BGF20" s="101"/>
      <c r="BGG20" s="101"/>
      <c r="BGH20" s="101"/>
      <c r="BGI20" s="101"/>
      <c r="BGJ20" s="101"/>
      <c r="BGK20" s="101"/>
      <c r="BGL20" s="101"/>
      <c r="BGM20" s="101"/>
      <c r="BGN20" s="101"/>
      <c r="BGO20" s="101"/>
      <c r="BGP20" s="101"/>
      <c r="BGQ20" s="101"/>
      <c r="BGR20" s="101"/>
      <c r="BGS20" s="101"/>
      <c r="BGT20" s="101"/>
      <c r="BGU20" s="101"/>
      <c r="BGV20" s="101"/>
      <c r="BGW20" s="101"/>
      <c r="BGX20" s="101"/>
      <c r="BGY20" s="101"/>
      <c r="BGZ20" s="101"/>
      <c r="BHA20" s="101"/>
      <c r="BHB20" s="101"/>
      <c r="BHC20" s="101"/>
      <c r="BHD20" s="101"/>
      <c r="BHE20" s="101"/>
      <c r="BHF20" s="101"/>
      <c r="BHG20" s="101"/>
      <c r="BHH20" s="101"/>
      <c r="BHI20" s="101"/>
      <c r="BHJ20" s="101"/>
      <c r="BHK20" s="101"/>
      <c r="BHL20" s="101"/>
      <c r="BHM20" s="101"/>
      <c r="BHN20" s="101"/>
      <c r="BHO20" s="101"/>
      <c r="BHP20" s="101"/>
      <c r="BHQ20" s="101"/>
      <c r="BHR20" s="101"/>
      <c r="BHS20" s="101"/>
      <c r="BHT20" s="101"/>
      <c r="BHU20" s="101"/>
      <c r="BHV20" s="101"/>
      <c r="BHW20" s="101"/>
      <c r="BHX20" s="101"/>
      <c r="BHY20" s="101"/>
      <c r="BHZ20" s="101"/>
      <c r="BIA20" s="101"/>
      <c r="BIB20" s="101"/>
      <c r="BIC20" s="101"/>
      <c r="BID20" s="101"/>
      <c r="BIE20" s="101"/>
      <c r="BIF20" s="101"/>
      <c r="BIG20" s="101"/>
      <c r="BIH20" s="101"/>
      <c r="BII20" s="101"/>
      <c r="BIJ20" s="101"/>
      <c r="BIK20" s="101"/>
      <c r="BIL20" s="101"/>
      <c r="BIM20" s="101"/>
      <c r="BIN20" s="101"/>
      <c r="BIO20" s="101"/>
      <c r="BIP20" s="101"/>
      <c r="BIQ20" s="101"/>
      <c r="BIR20" s="101"/>
      <c r="BIS20" s="101"/>
      <c r="BIT20" s="101"/>
      <c r="BIU20" s="101"/>
      <c r="BIV20" s="101"/>
      <c r="BIW20" s="101"/>
      <c r="BIX20" s="101"/>
      <c r="BIY20" s="101"/>
      <c r="BIZ20" s="101"/>
      <c r="BJA20" s="101"/>
      <c r="BJB20" s="101"/>
      <c r="BJC20" s="101"/>
      <c r="BJD20" s="101"/>
      <c r="BJE20" s="101"/>
      <c r="BJF20" s="101"/>
      <c r="BJG20" s="101"/>
      <c r="BJH20" s="101"/>
      <c r="BJI20" s="101"/>
      <c r="BJJ20" s="101"/>
      <c r="BJK20" s="101"/>
      <c r="BJL20" s="101"/>
      <c r="BJM20" s="101"/>
      <c r="BJN20" s="101"/>
      <c r="BJO20" s="101"/>
      <c r="BJP20" s="101"/>
      <c r="BJQ20" s="101"/>
      <c r="BJR20" s="101"/>
      <c r="BJS20" s="101"/>
      <c r="BJT20" s="101"/>
      <c r="BJU20" s="101"/>
      <c r="BJV20" s="101"/>
      <c r="BJW20" s="101"/>
      <c r="BJX20" s="101"/>
      <c r="BJY20" s="101"/>
      <c r="BJZ20" s="101"/>
      <c r="BKA20" s="101"/>
      <c r="BKB20" s="101"/>
      <c r="BKC20" s="101"/>
      <c r="BKD20" s="101"/>
      <c r="BKE20" s="101"/>
      <c r="BKF20" s="101"/>
      <c r="BKG20" s="101"/>
      <c r="BKH20" s="101"/>
      <c r="BKI20" s="101"/>
      <c r="BKJ20" s="101"/>
      <c r="BKK20" s="101"/>
      <c r="BKL20" s="101"/>
      <c r="BKM20" s="101"/>
      <c r="BKN20" s="101"/>
      <c r="BKO20" s="101"/>
      <c r="BKP20" s="101"/>
      <c r="BKQ20" s="101"/>
      <c r="BKR20" s="101"/>
      <c r="BKS20" s="101"/>
      <c r="BKT20" s="101"/>
      <c r="BKU20" s="101"/>
      <c r="BKV20" s="101"/>
      <c r="BKW20" s="101"/>
      <c r="BKX20" s="101"/>
      <c r="BKY20" s="101"/>
      <c r="BKZ20" s="101"/>
      <c r="BLA20" s="101"/>
      <c r="BLB20" s="101"/>
      <c r="BLC20" s="101"/>
      <c r="BLD20" s="101"/>
      <c r="BLE20" s="101"/>
      <c r="BLF20" s="101"/>
      <c r="BLG20" s="101"/>
      <c r="BLH20" s="101"/>
      <c r="BLI20" s="101"/>
      <c r="BLJ20" s="101"/>
      <c r="BLK20" s="101"/>
      <c r="BLL20" s="101"/>
      <c r="BLM20" s="101"/>
      <c r="BLN20" s="101"/>
      <c r="BLO20" s="101"/>
      <c r="BLP20" s="101"/>
      <c r="BLQ20" s="101"/>
      <c r="BLR20" s="101"/>
      <c r="BLS20" s="101"/>
      <c r="BLT20" s="101"/>
      <c r="BLU20" s="101"/>
      <c r="BLV20" s="101"/>
      <c r="BLW20" s="101"/>
      <c r="BLX20" s="101"/>
      <c r="BLY20" s="101"/>
      <c r="BLZ20" s="101"/>
      <c r="BMA20" s="101"/>
      <c r="BMB20" s="101"/>
      <c r="BMC20" s="101"/>
      <c r="BMD20" s="101"/>
      <c r="BME20" s="101"/>
      <c r="BMF20" s="101"/>
      <c r="BMG20" s="101"/>
      <c r="BMH20" s="101"/>
      <c r="BMI20" s="101"/>
      <c r="BMJ20" s="101"/>
      <c r="BMK20" s="101"/>
      <c r="BML20" s="101"/>
      <c r="BMM20" s="101"/>
      <c r="BMN20" s="101"/>
      <c r="BMO20" s="101"/>
      <c r="BMP20" s="101"/>
      <c r="BMQ20" s="101"/>
      <c r="BMR20" s="101"/>
      <c r="BMS20" s="101"/>
      <c r="BMT20" s="101"/>
      <c r="BMU20" s="101"/>
      <c r="BMV20" s="101"/>
      <c r="BMW20" s="101"/>
      <c r="BMX20" s="101"/>
      <c r="BMY20" s="101"/>
      <c r="BMZ20" s="101"/>
      <c r="BNA20" s="101"/>
      <c r="BNB20" s="101"/>
      <c r="BNC20" s="101"/>
      <c r="BND20" s="101"/>
      <c r="BNE20" s="101"/>
      <c r="BNF20" s="101"/>
      <c r="BNG20" s="101"/>
      <c r="BNH20" s="101"/>
      <c r="BNI20" s="101"/>
      <c r="BNJ20" s="101"/>
      <c r="BNK20" s="101"/>
      <c r="BNL20" s="101"/>
      <c r="BNM20" s="101"/>
      <c r="BNN20" s="101"/>
      <c r="BNO20" s="101"/>
      <c r="BNP20" s="101"/>
      <c r="BNQ20" s="101"/>
      <c r="BNR20" s="101"/>
      <c r="BNS20" s="101"/>
      <c r="BNT20" s="101"/>
      <c r="BNU20" s="101"/>
      <c r="BNV20" s="101"/>
      <c r="BNW20" s="101"/>
      <c r="BNX20" s="101"/>
      <c r="BNY20" s="101"/>
      <c r="BNZ20" s="101"/>
      <c r="BOA20" s="101"/>
      <c r="BOB20" s="101"/>
      <c r="BOC20" s="101"/>
      <c r="BOD20" s="101"/>
      <c r="BOE20" s="101"/>
      <c r="BOF20" s="101"/>
      <c r="BOG20" s="101"/>
      <c r="BOH20" s="101"/>
      <c r="BOI20" s="101"/>
      <c r="BOJ20" s="101"/>
      <c r="BOK20" s="101"/>
      <c r="BOL20" s="101"/>
      <c r="BOM20" s="101"/>
      <c r="BON20" s="101"/>
      <c r="BOO20" s="101"/>
      <c r="BOP20" s="101"/>
      <c r="BOQ20" s="101"/>
      <c r="BOR20" s="101"/>
      <c r="BOS20" s="101"/>
      <c r="BOT20" s="101"/>
      <c r="BOU20" s="101"/>
      <c r="BOV20" s="101"/>
      <c r="BOW20" s="101"/>
      <c r="BOX20" s="101"/>
      <c r="BOY20" s="101"/>
      <c r="BOZ20" s="101"/>
      <c r="BPA20" s="101"/>
      <c r="BPB20" s="101"/>
      <c r="BPC20" s="161"/>
    </row>
    <row r="21" s="102" customFormat="1" ht="75" customHeight="1" outlineLevel="1" spans="1:1024 1025:1771">
      <c r="A21" s="157" t="s">
        <v>76</v>
      </c>
      <c r="B21" s="151" t="s">
        <v>1059</v>
      </c>
      <c r="C21" s="158" t="s">
        <v>1060</v>
      </c>
      <c r="D21" s="153" t="s">
        <v>1044</v>
      </c>
      <c r="E21" s="154"/>
      <c r="F21" s="159"/>
      <c r="G21" s="160"/>
      <c r="H21" s="155">
        <v>46137</v>
      </c>
      <c r="I21" s="156" t="s">
        <v>7</v>
      </c>
      <c r="J21" s="153"/>
      <c r="K21" s="5"/>
      <c r="L21" s="5" t="s">
        <v>1041</v>
      </c>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c r="DK21" s="101"/>
      <c r="DL21" s="101"/>
      <c r="DM21" s="101"/>
      <c r="DN21" s="101"/>
      <c r="DO21" s="101"/>
      <c r="DP21" s="101"/>
      <c r="DQ21" s="101"/>
      <c r="DR21" s="101"/>
      <c r="DS21" s="101"/>
      <c r="DT21" s="101"/>
      <c r="DU21" s="101"/>
      <c r="DV21" s="101"/>
      <c r="DW21" s="101"/>
      <c r="DX21" s="101"/>
      <c r="DY21" s="101"/>
      <c r="DZ21" s="101"/>
      <c r="EA21" s="101"/>
      <c r="EB21" s="101"/>
      <c r="EC21" s="101"/>
      <c r="ED21" s="101"/>
      <c r="EE21" s="101"/>
      <c r="EF21" s="101"/>
      <c r="EG21" s="101"/>
      <c r="EH21" s="101"/>
      <c r="EI21" s="101"/>
      <c r="EJ21" s="101"/>
      <c r="EK21" s="101"/>
      <c r="EL21" s="101"/>
      <c r="EM21" s="101"/>
      <c r="EN21" s="101"/>
      <c r="EO21" s="101"/>
      <c r="EP21" s="101"/>
      <c r="EQ21" s="101"/>
      <c r="ER21" s="101"/>
      <c r="ES21" s="101"/>
      <c r="ET21" s="101"/>
      <c r="EU21" s="101"/>
      <c r="EV21" s="101"/>
      <c r="EW21" s="101"/>
      <c r="EX21" s="101"/>
      <c r="EY21" s="101"/>
      <c r="EZ21" s="101"/>
      <c r="FA21" s="101"/>
      <c r="FB21" s="101"/>
      <c r="FC21" s="101"/>
      <c r="FD21" s="101"/>
      <c r="FE21" s="101"/>
      <c r="FF21" s="101"/>
      <c r="FG21" s="101"/>
      <c r="FH21" s="101"/>
      <c r="FI21" s="101"/>
      <c r="FJ21" s="101"/>
      <c r="FK21" s="101"/>
      <c r="FL21" s="101"/>
      <c r="FM21" s="101"/>
      <c r="FN21" s="101"/>
      <c r="FO21" s="101"/>
      <c r="FP21" s="101"/>
      <c r="FQ21" s="101"/>
      <c r="FR21" s="101"/>
      <c r="FS21" s="101"/>
      <c r="FT21" s="101"/>
      <c r="FU21" s="101"/>
      <c r="FV21" s="101"/>
      <c r="FW21" s="101"/>
      <c r="FX21" s="101"/>
      <c r="FY21" s="101"/>
      <c r="FZ21" s="101"/>
      <c r="GA21" s="101"/>
      <c r="GB21" s="101"/>
      <c r="GC21" s="101"/>
      <c r="GD21" s="101"/>
      <c r="GE21" s="101"/>
      <c r="GF21" s="101"/>
      <c r="GG21" s="101"/>
      <c r="GH21" s="101"/>
      <c r="GI21" s="101"/>
      <c r="GJ21" s="101"/>
      <c r="GK21" s="101"/>
      <c r="GL21" s="101"/>
      <c r="GM21" s="101"/>
      <c r="GN21" s="101"/>
      <c r="GO21" s="101"/>
      <c r="GP21" s="101"/>
      <c r="GQ21" s="101"/>
      <c r="GR21" s="101"/>
      <c r="GS21" s="101"/>
      <c r="GT21" s="101"/>
      <c r="GU21" s="101"/>
      <c r="GV21" s="101"/>
      <c r="GW21" s="101"/>
      <c r="GX21" s="101"/>
      <c r="GY21" s="101"/>
      <c r="GZ21" s="101"/>
      <c r="HA21" s="101"/>
      <c r="HB21" s="101"/>
      <c r="HC21" s="101"/>
      <c r="HD21" s="101"/>
      <c r="HE21" s="101"/>
      <c r="HF21" s="101"/>
      <c r="HG21" s="101"/>
      <c r="HH21" s="101"/>
      <c r="HI21" s="101"/>
      <c r="HJ21" s="101"/>
      <c r="HK21" s="101"/>
      <c r="HL21" s="101"/>
      <c r="HM21" s="101"/>
      <c r="HN21" s="101"/>
      <c r="HO21" s="101"/>
      <c r="HP21" s="101"/>
      <c r="HQ21" s="101"/>
      <c r="HR21" s="101"/>
      <c r="HS21" s="101"/>
      <c r="HT21" s="101"/>
      <c r="HU21" s="101"/>
      <c r="HV21" s="101"/>
      <c r="HW21" s="101"/>
      <c r="HX21" s="101"/>
      <c r="HY21" s="101"/>
      <c r="HZ21" s="101"/>
      <c r="IA21" s="101"/>
      <c r="IB21" s="101"/>
      <c r="IC21" s="101"/>
      <c r="ID21" s="101"/>
      <c r="IE21" s="101"/>
      <c r="IF21" s="101"/>
      <c r="IG21" s="101"/>
      <c r="IH21" s="101"/>
      <c r="II21" s="101"/>
      <c r="IJ21" s="101"/>
      <c r="IK21" s="101"/>
      <c r="IL21" s="101"/>
      <c r="IM21" s="101"/>
      <c r="IN21" s="101"/>
      <c r="IO21" s="101"/>
      <c r="IP21" s="101"/>
      <c r="IQ21" s="101"/>
      <c r="IR21" s="101"/>
      <c r="IS21" s="101"/>
      <c r="IT21" s="101"/>
      <c r="IU21" s="101"/>
      <c r="IV21" s="101"/>
      <c r="IW21" s="101"/>
      <c r="IX21" s="101"/>
      <c r="IY21" s="101"/>
      <c r="IZ21" s="101"/>
      <c r="JA21" s="101"/>
      <c r="JB21" s="101"/>
      <c r="JC21" s="101"/>
      <c r="JD21" s="101"/>
      <c r="JE21" s="101"/>
      <c r="JF21" s="101"/>
      <c r="JG21" s="101"/>
      <c r="JH21" s="101"/>
      <c r="JI21" s="101"/>
      <c r="JJ21" s="101"/>
      <c r="JK21" s="101"/>
      <c r="JL21" s="101"/>
      <c r="JM21" s="101"/>
      <c r="JN21" s="101"/>
      <c r="JO21" s="101"/>
      <c r="JP21" s="101"/>
      <c r="JQ21" s="101"/>
      <c r="JR21" s="101"/>
      <c r="JS21" s="101"/>
      <c r="JT21" s="101"/>
      <c r="JU21" s="101"/>
      <c r="JV21" s="101"/>
      <c r="JW21" s="101"/>
      <c r="JX21" s="101"/>
      <c r="JY21" s="101"/>
      <c r="JZ21" s="101"/>
      <c r="KA21" s="101"/>
      <c r="KB21" s="101"/>
      <c r="KC21" s="101"/>
      <c r="KD21" s="101"/>
      <c r="KE21" s="101"/>
      <c r="KF21" s="101"/>
      <c r="KG21" s="101"/>
      <c r="KH21" s="101"/>
      <c r="KI21" s="101"/>
      <c r="KJ21" s="101"/>
      <c r="KK21" s="101"/>
      <c r="KL21" s="101"/>
      <c r="KM21" s="101"/>
      <c r="KN21" s="101"/>
      <c r="KO21" s="101"/>
      <c r="KP21" s="101"/>
      <c r="KQ21" s="101"/>
      <c r="KR21" s="101"/>
      <c r="KS21" s="101"/>
      <c r="KT21" s="101"/>
      <c r="KU21" s="101"/>
      <c r="KV21" s="101"/>
      <c r="KW21" s="101"/>
      <c r="KX21" s="101"/>
      <c r="KY21" s="101"/>
      <c r="KZ21" s="101"/>
      <c r="LA21" s="101"/>
      <c r="LB21" s="101"/>
      <c r="LC21" s="101"/>
      <c r="LD21" s="101"/>
      <c r="LE21" s="101"/>
      <c r="LF21" s="101"/>
      <c r="LG21" s="101"/>
      <c r="LH21" s="101"/>
      <c r="LI21" s="101"/>
      <c r="LJ21" s="101"/>
      <c r="LK21" s="101"/>
      <c r="LL21" s="101"/>
      <c r="LM21" s="101"/>
      <c r="LN21" s="101"/>
      <c r="LO21" s="101"/>
      <c r="LP21" s="101"/>
      <c r="LQ21" s="101"/>
      <c r="LR21" s="101"/>
      <c r="LS21" s="101"/>
      <c r="LT21" s="101"/>
      <c r="LU21" s="101"/>
      <c r="LV21" s="101"/>
      <c r="LW21" s="101"/>
      <c r="LX21" s="101"/>
      <c r="LY21" s="101"/>
      <c r="LZ21" s="101"/>
      <c r="MA21" s="101"/>
      <c r="MB21" s="101"/>
      <c r="MC21" s="101"/>
      <c r="MD21" s="101"/>
      <c r="ME21" s="101"/>
      <c r="MF21" s="101"/>
      <c r="MG21" s="101"/>
      <c r="MH21" s="101"/>
      <c r="MI21" s="101"/>
      <c r="MJ21" s="101"/>
      <c r="MK21" s="101"/>
      <c r="ML21" s="101"/>
      <c r="MM21" s="101"/>
      <c r="MN21" s="101"/>
      <c r="MO21" s="101"/>
      <c r="MP21" s="101"/>
      <c r="MQ21" s="101"/>
      <c r="MR21" s="101"/>
      <c r="MS21" s="101"/>
      <c r="MT21" s="101"/>
      <c r="MU21" s="101"/>
      <c r="MV21" s="101"/>
      <c r="MW21" s="101"/>
      <c r="MX21" s="101"/>
      <c r="MY21" s="101"/>
      <c r="MZ21" s="101"/>
      <c r="NA21" s="101"/>
      <c r="NB21" s="101"/>
      <c r="NC21" s="101"/>
      <c r="ND21" s="101"/>
      <c r="NE21" s="101"/>
      <c r="NF21" s="101"/>
      <c r="NG21" s="101"/>
      <c r="NH21" s="101"/>
      <c r="NI21" s="101"/>
      <c r="NJ21" s="101"/>
      <c r="NK21" s="101"/>
      <c r="NL21" s="101"/>
      <c r="NM21" s="101"/>
      <c r="NN21" s="101"/>
      <c r="NO21" s="101"/>
      <c r="NP21" s="101"/>
      <c r="NQ21" s="101"/>
      <c r="NR21" s="101"/>
      <c r="NS21" s="101"/>
      <c r="NT21" s="101"/>
      <c r="NU21" s="101"/>
      <c r="NV21" s="101"/>
      <c r="NW21" s="101"/>
      <c r="NX21" s="101"/>
      <c r="NY21" s="101"/>
      <c r="NZ21" s="101"/>
      <c r="OA21" s="101"/>
      <c r="OB21" s="101"/>
      <c r="OC21" s="101"/>
      <c r="OD21" s="101"/>
      <c r="OE21" s="101"/>
      <c r="OF21" s="101"/>
      <c r="OG21" s="101"/>
      <c r="OH21" s="101"/>
      <c r="OI21" s="101"/>
      <c r="OJ21" s="101"/>
      <c r="OK21" s="101"/>
      <c r="OL21" s="101"/>
      <c r="OM21" s="101"/>
      <c r="ON21" s="101"/>
      <c r="OO21" s="101"/>
      <c r="OP21" s="101"/>
      <c r="OQ21" s="101"/>
      <c r="OR21" s="101"/>
      <c r="OS21" s="101"/>
      <c r="OT21" s="101"/>
      <c r="OU21" s="101"/>
      <c r="OV21" s="101"/>
      <c r="OW21" s="101"/>
      <c r="OX21" s="101"/>
      <c r="OY21" s="101"/>
      <c r="OZ21" s="101"/>
      <c r="PA21" s="101"/>
      <c r="PB21" s="101"/>
      <c r="PC21" s="101"/>
      <c r="PD21" s="101"/>
      <c r="PE21" s="101"/>
      <c r="PF21" s="101"/>
      <c r="PG21" s="101"/>
      <c r="PH21" s="101"/>
      <c r="PI21" s="101"/>
      <c r="PJ21" s="101"/>
      <c r="PK21" s="101"/>
      <c r="PL21" s="101"/>
      <c r="PM21" s="101"/>
      <c r="PN21" s="101"/>
      <c r="PO21" s="101"/>
      <c r="PP21" s="101"/>
      <c r="PQ21" s="101"/>
      <c r="PR21" s="101"/>
      <c r="PS21" s="101"/>
      <c r="PT21" s="101"/>
      <c r="PU21" s="101"/>
      <c r="PV21" s="101"/>
      <c r="PW21" s="101"/>
      <c r="PX21" s="101"/>
      <c r="PY21" s="101"/>
      <c r="PZ21" s="101"/>
      <c r="QA21" s="101"/>
      <c r="QB21" s="101"/>
      <c r="QC21" s="101"/>
      <c r="QD21" s="101"/>
      <c r="QE21" s="101"/>
      <c r="QF21" s="101"/>
      <c r="QG21" s="101"/>
      <c r="QH21" s="101"/>
      <c r="QI21" s="101"/>
      <c r="QJ21" s="101"/>
      <c r="QK21" s="101"/>
      <c r="QL21" s="101"/>
      <c r="QM21" s="101"/>
      <c r="QN21" s="101"/>
      <c r="QO21" s="101"/>
      <c r="QP21" s="101"/>
      <c r="QQ21" s="101"/>
      <c r="QR21" s="101"/>
      <c r="QS21" s="101"/>
      <c r="QT21" s="101"/>
      <c r="QU21" s="101"/>
      <c r="QV21" s="101"/>
      <c r="QW21" s="101"/>
      <c r="QX21" s="101"/>
      <c r="QY21" s="101"/>
      <c r="QZ21" s="101"/>
      <c r="RA21" s="101"/>
      <c r="RB21" s="101"/>
      <c r="RC21" s="101"/>
      <c r="RD21" s="101"/>
      <c r="RE21" s="101"/>
      <c r="RF21" s="101"/>
      <c r="RG21" s="101"/>
      <c r="RH21" s="101"/>
      <c r="RI21" s="101"/>
      <c r="RJ21" s="101"/>
      <c r="RK21" s="101"/>
      <c r="RL21" s="101"/>
      <c r="RM21" s="101"/>
      <c r="RN21" s="101"/>
      <c r="RO21" s="101"/>
      <c r="RP21" s="101"/>
      <c r="RQ21" s="101"/>
      <c r="RR21" s="101"/>
      <c r="RS21" s="101"/>
      <c r="RT21" s="101"/>
      <c r="RU21" s="101"/>
      <c r="RV21" s="101"/>
      <c r="RW21" s="101"/>
      <c r="RX21" s="101"/>
      <c r="RY21" s="101"/>
      <c r="RZ21" s="101"/>
      <c r="SA21" s="101"/>
      <c r="SB21" s="101"/>
      <c r="SC21" s="101"/>
      <c r="SD21" s="101"/>
      <c r="SE21" s="101"/>
      <c r="SF21" s="101"/>
      <c r="SG21" s="101"/>
      <c r="SH21" s="101"/>
      <c r="SI21" s="101"/>
      <c r="SJ21" s="101"/>
      <c r="SK21" s="101"/>
      <c r="SL21" s="101"/>
      <c r="SM21" s="101"/>
      <c r="SN21" s="101"/>
      <c r="SO21" s="101"/>
      <c r="SP21" s="101"/>
      <c r="SQ21" s="101"/>
      <c r="SR21" s="101"/>
      <c r="SS21" s="101"/>
      <c r="ST21" s="101"/>
      <c r="SU21" s="101"/>
      <c r="SV21" s="101"/>
      <c r="SW21" s="101"/>
      <c r="SX21" s="101"/>
      <c r="SY21" s="101"/>
      <c r="SZ21" s="101"/>
      <c r="TA21" s="101"/>
      <c r="TB21" s="101"/>
      <c r="TC21" s="101"/>
      <c r="TD21" s="101"/>
      <c r="TE21" s="101"/>
      <c r="TF21" s="101"/>
      <c r="TG21" s="101"/>
      <c r="TH21" s="101"/>
      <c r="TI21" s="101"/>
      <c r="TJ21" s="101"/>
      <c r="TK21" s="101"/>
      <c r="TL21" s="101"/>
      <c r="TM21" s="101"/>
      <c r="TN21" s="101"/>
      <c r="TO21" s="101"/>
      <c r="TP21" s="101"/>
      <c r="TQ21" s="101"/>
      <c r="TR21" s="101"/>
      <c r="TS21" s="101"/>
      <c r="TT21" s="101"/>
      <c r="TU21" s="101"/>
      <c r="TV21" s="101"/>
      <c r="TW21" s="101"/>
      <c r="TX21" s="101"/>
      <c r="TY21" s="101"/>
      <c r="TZ21" s="101"/>
      <c r="UA21" s="101"/>
      <c r="UB21" s="101"/>
      <c r="UC21" s="101"/>
      <c r="UD21" s="101"/>
      <c r="UE21" s="101"/>
      <c r="UF21" s="101"/>
      <c r="UG21" s="101"/>
      <c r="UH21" s="101"/>
      <c r="UI21" s="101"/>
      <c r="UJ21" s="101"/>
      <c r="UK21" s="101"/>
      <c r="UL21" s="101"/>
      <c r="UM21" s="101"/>
      <c r="UN21" s="101"/>
      <c r="UO21" s="101"/>
      <c r="UP21" s="101"/>
      <c r="UQ21" s="101"/>
      <c r="UR21" s="101"/>
      <c r="US21" s="101"/>
      <c r="UT21" s="101"/>
      <c r="UU21" s="101"/>
      <c r="UV21" s="101"/>
      <c r="UW21" s="101"/>
      <c r="UX21" s="101"/>
      <c r="UY21" s="101"/>
      <c r="UZ21" s="101"/>
      <c r="VA21" s="101"/>
      <c r="VB21" s="101"/>
      <c r="VC21" s="101"/>
      <c r="VD21" s="101"/>
      <c r="VE21" s="101"/>
      <c r="VF21" s="101"/>
      <c r="VG21" s="101"/>
      <c r="VH21" s="101"/>
      <c r="VI21" s="101"/>
      <c r="VJ21" s="101"/>
      <c r="VK21" s="101"/>
      <c r="VL21" s="101"/>
      <c r="VM21" s="101"/>
      <c r="VN21" s="101"/>
      <c r="VO21" s="101"/>
      <c r="VP21" s="101"/>
      <c r="VQ21" s="101"/>
      <c r="VR21" s="101"/>
      <c r="VS21" s="101"/>
      <c r="VT21" s="101"/>
      <c r="VU21" s="101"/>
      <c r="VV21" s="101"/>
      <c r="VW21" s="101"/>
      <c r="VX21" s="101"/>
      <c r="VY21" s="101"/>
      <c r="VZ21" s="101"/>
      <c r="WA21" s="101"/>
      <c r="WB21" s="101"/>
      <c r="WC21" s="101"/>
      <c r="WD21" s="101"/>
      <c r="WE21" s="101"/>
      <c r="WF21" s="101"/>
      <c r="WG21" s="101"/>
      <c r="WH21" s="101"/>
      <c r="WI21" s="101"/>
      <c r="WJ21" s="101"/>
      <c r="WK21" s="101"/>
      <c r="WL21" s="101"/>
      <c r="WM21" s="101"/>
      <c r="WN21" s="101"/>
      <c r="WO21" s="101"/>
      <c r="WP21" s="101"/>
      <c r="WQ21" s="101"/>
      <c r="WR21" s="101"/>
      <c r="WS21" s="101"/>
      <c r="WT21" s="101"/>
      <c r="WU21" s="101"/>
      <c r="WV21" s="101"/>
      <c r="WW21" s="101"/>
      <c r="WX21" s="101"/>
      <c r="WY21" s="101"/>
      <c r="WZ21" s="101"/>
      <c r="XA21" s="101"/>
      <c r="XB21" s="101"/>
      <c r="XC21" s="101"/>
      <c r="XD21" s="101"/>
      <c r="XE21" s="101"/>
      <c r="XF21" s="101"/>
      <c r="XG21" s="101"/>
      <c r="XH21" s="101"/>
      <c r="XI21" s="101"/>
      <c r="XJ21" s="101"/>
      <c r="XK21" s="101"/>
      <c r="XL21" s="101"/>
      <c r="XM21" s="101"/>
      <c r="XN21" s="101"/>
      <c r="XO21" s="101"/>
      <c r="XP21" s="101"/>
      <c r="XQ21" s="101"/>
      <c r="XR21" s="101"/>
      <c r="XS21" s="101"/>
      <c r="XT21" s="101"/>
      <c r="XU21" s="101"/>
      <c r="XV21" s="101"/>
      <c r="XW21" s="101"/>
      <c r="XX21" s="101"/>
      <c r="XY21" s="101"/>
      <c r="XZ21" s="101"/>
      <c r="YA21" s="101"/>
      <c r="YB21" s="101"/>
      <c r="YC21" s="101"/>
      <c r="YD21" s="101"/>
      <c r="YE21" s="101"/>
      <c r="YF21" s="101"/>
      <c r="YG21" s="101"/>
      <c r="YH21" s="101"/>
      <c r="YI21" s="101"/>
      <c r="YJ21" s="101"/>
      <c r="YK21" s="101"/>
      <c r="YL21" s="101"/>
      <c r="YM21" s="101"/>
      <c r="YN21" s="101"/>
      <c r="YO21" s="101"/>
      <c r="YP21" s="101"/>
      <c r="YQ21" s="101"/>
      <c r="YR21" s="101"/>
      <c r="YS21" s="101"/>
      <c r="YT21" s="101"/>
      <c r="YU21" s="101"/>
      <c r="YV21" s="101"/>
      <c r="YW21" s="101"/>
      <c r="YX21" s="101"/>
      <c r="YY21" s="101"/>
      <c r="YZ21" s="101"/>
      <c r="ZA21" s="101"/>
      <c r="ZB21" s="101"/>
      <c r="ZC21" s="101"/>
      <c r="ZD21" s="101"/>
      <c r="ZE21" s="101"/>
      <c r="ZF21" s="101"/>
      <c r="ZG21" s="101"/>
      <c r="ZH21" s="101"/>
      <c r="ZI21" s="101"/>
      <c r="ZJ21" s="101"/>
      <c r="ZK21" s="101"/>
      <c r="ZL21" s="101"/>
      <c r="ZM21" s="101"/>
      <c r="ZN21" s="101"/>
      <c r="ZO21" s="101"/>
      <c r="ZP21" s="101"/>
      <c r="ZQ21" s="101"/>
      <c r="ZR21" s="101"/>
      <c r="ZS21" s="101"/>
      <c r="ZT21" s="101"/>
      <c r="ZU21" s="101"/>
      <c r="ZV21" s="101"/>
      <c r="ZW21" s="101"/>
      <c r="ZX21" s="101"/>
      <c r="ZY21" s="101"/>
      <c r="ZZ21" s="101"/>
      <c r="AAA21" s="101"/>
      <c r="AAB21" s="101"/>
      <c r="AAC21" s="101"/>
      <c r="AAD21" s="101"/>
      <c r="AAE21" s="101"/>
      <c r="AAF21" s="101"/>
      <c r="AAG21" s="101"/>
      <c r="AAH21" s="101"/>
      <c r="AAI21" s="101"/>
      <c r="AAJ21" s="101"/>
      <c r="AAK21" s="101"/>
      <c r="AAL21" s="101"/>
      <c r="AAM21" s="101"/>
      <c r="AAN21" s="101"/>
      <c r="AAO21" s="101"/>
      <c r="AAP21" s="101"/>
      <c r="AAQ21" s="101"/>
      <c r="AAR21" s="101"/>
      <c r="AAS21" s="101"/>
      <c r="AAT21" s="101"/>
      <c r="AAU21" s="101"/>
      <c r="AAV21" s="101"/>
      <c r="AAW21" s="101"/>
      <c r="AAX21" s="101"/>
      <c r="AAY21" s="101"/>
      <c r="AAZ21" s="101"/>
      <c r="ABA21" s="101"/>
      <c r="ABB21" s="101"/>
      <c r="ABC21" s="101"/>
      <c r="ABD21" s="101"/>
      <c r="ABE21" s="101"/>
      <c r="ABF21" s="101"/>
      <c r="ABG21" s="101"/>
      <c r="ABH21" s="101"/>
      <c r="ABI21" s="101"/>
      <c r="ABJ21" s="101"/>
      <c r="ABK21" s="101"/>
      <c r="ABL21" s="101"/>
      <c r="ABM21" s="101"/>
      <c r="ABN21" s="101"/>
      <c r="ABO21" s="101"/>
      <c r="ABP21" s="101"/>
      <c r="ABQ21" s="101"/>
      <c r="ABR21" s="101"/>
      <c r="ABS21" s="101"/>
      <c r="ABT21" s="101"/>
      <c r="ABU21" s="101"/>
      <c r="ABV21" s="101"/>
      <c r="ABW21" s="101"/>
      <c r="ABX21" s="101"/>
      <c r="ABY21" s="101"/>
      <c r="ABZ21" s="101"/>
      <c r="ACA21" s="101"/>
      <c r="ACB21" s="101"/>
      <c r="ACC21" s="101"/>
      <c r="ACD21" s="101"/>
      <c r="ACE21" s="101"/>
      <c r="ACF21" s="101"/>
      <c r="ACG21" s="101"/>
      <c r="ACH21" s="101"/>
      <c r="ACI21" s="101"/>
      <c r="ACJ21" s="101"/>
      <c r="ACK21" s="101"/>
      <c r="ACL21" s="101"/>
      <c r="ACM21" s="101"/>
      <c r="ACN21" s="101"/>
      <c r="ACO21" s="101"/>
      <c r="ACP21" s="101"/>
      <c r="ACQ21" s="101"/>
      <c r="ACR21" s="101"/>
      <c r="ACS21" s="101"/>
      <c r="ACT21" s="101"/>
      <c r="ACU21" s="101"/>
      <c r="ACV21" s="101"/>
      <c r="ACW21" s="101"/>
      <c r="ACX21" s="101"/>
      <c r="ACY21" s="101"/>
      <c r="ACZ21" s="101"/>
      <c r="ADA21" s="101"/>
      <c r="ADB21" s="101"/>
      <c r="ADC21" s="101"/>
      <c r="ADD21" s="101"/>
      <c r="ADE21" s="101"/>
      <c r="ADF21" s="101"/>
      <c r="ADG21" s="101"/>
      <c r="ADH21" s="101"/>
      <c r="ADI21" s="101"/>
      <c r="ADJ21" s="101"/>
      <c r="ADK21" s="101"/>
      <c r="ADL21" s="101"/>
      <c r="ADM21" s="101"/>
      <c r="ADN21" s="101"/>
      <c r="ADO21" s="101"/>
      <c r="ADP21" s="101"/>
      <c r="ADQ21" s="101"/>
      <c r="ADR21" s="101"/>
      <c r="ADS21" s="101"/>
      <c r="ADT21" s="101"/>
      <c r="ADU21" s="101"/>
      <c r="ADV21" s="101"/>
      <c r="ADW21" s="101"/>
      <c r="ADX21" s="101"/>
      <c r="ADY21" s="101"/>
      <c r="ADZ21" s="101"/>
      <c r="AEA21" s="101"/>
      <c r="AEB21" s="101"/>
      <c r="AEC21" s="101"/>
      <c r="AED21" s="101"/>
      <c r="AEE21" s="101"/>
      <c r="AEF21" s="101"/>
      <c r="AEG21" s="101"/>
      <c r="AEH21" s="101"/>
      <c r="AEI21" s="101"/>
      <c r="AEJ21" s="101"/>
      <c r="AEK21" s="101"/>
      <c r="AEL21" s="101"/>
      <c r="AEM21" s="101"/>
      <c r="AEN21" s="101"/>
      <c r="AEO21" s="101"/>
      <c r="AEP21" s="101"/>
      <c r="AEQ21" s="101"/>
      <c r="AER21" s="101"/>
      <c r="AES21" s="101"/>
      <c r="AET21" s="101"/>
      <c r="AEU21" s="101"/>
      <c r="AEV21" s="101"/>
      <c r="AEW21" s="101"/>
      <c r="AEX21" s="101"/>
      <c r="AEY21" s="101"/>
      <c r="AEZ21" s="101"/>
      <c r="AFA21" s="101"/>
      <c r="AFB21" s="101"/>
      <c r="AFC21" s="101"/>
      <c r="AFD21" s="101"/>
      <c r="AFE21" s="101"/>
      <c r="AFF21" s="101"/>
      <c r="AFG21" s="101"/>
      <c r="AFH21" s="101"/>
      <c r="AFI21" s="101"/>
      <c r="AFJ21" s="101"/>
      <c r="AFK21" s="101"/>
      <c r="AFL21" s="101"/>
      <c r="AFM21" s="101"/>
      <c r="AFN21" s="101"/>
      <c r="AFO21" s="101"/>
      <c r="AFP21" s="101"/>
      <c r="AFQ21" s="101"/>
      <c r="AFR21" s="101"/>
      <c r="AFS21" s="101"/>
      <c r="AFT21" s="101"/>
      <c r="AFU21" s="101"/>
      <c r="AFV21" s="101"/>
      <c r="AFW21" s="101"/>
      <c r="AFX21" s="101"/>
      <c r="AFY21" s="101"/>
      <c r="AFZ21" s="101"/>
      <c r="AGA21" s="101"/>
      <c r="AGB21" s="101"/>
      <c r="AGC21" s="101"/>
      <c r="AGD21" s="101"/>
      <c r="AGE21" s="101"/>
      <c r="AGF21" s="101"/>
      <c r="AGG21" s="101"/>
      <c r="AGH21" s="101"/>
      <c r="AGI21" s="101"/>
      <c r="AGJ21" s="101"/>
      <c r="AGK21" s="101"/>
      <c r="AGL21" s="101"/>
      <c r="AGM21" s="101"/>
      <c r="AGN21" s="101"/>
      <c r="AGO21" s="101"/>
      <c r="AGP21" s="101"/>
      <c r="AGQ21" s="101"/>
      <c r="AGR21" s="101"/>
      <c r="AGS21" s="101"/>
      <c r="AGT21" s="101"/>
      <c r="AGU21" s="101"/>
      <c r="AGV21" s="101"/>
      <c r="AGW21" s="101"/>
      <c r="AGX21" s="101"/>
      <c r="AGY21" s="101"/>
      <c r="AGZ21" s="101"/>
      <c r="AHA21" s="101"/>
      <c r="AHB21" s="101"/>
      <c r="AHC21" s="101"/>
      <c r="AHD21" s="101"/>
      <c r="AHE21" s="101"/>
      <c r="AHF21" s="101"/>
      <c r="AHG21" s="101"/>
      <c r="AHH21" s="101"/>
      <c r="AHI21" s="101"/>
      <c r="AHJ21" s="101"/>
      <c r="AHK21" s="101"/>
      <c r="AHL21" s="101"/>
      <c r="AHM21" s="101"/>
      <c r="AHN21" s="101"/>
      <c r="AHO21" s="101"/>
      <c r="AHP21" s="101"/>
      <c r="AHQ21" s="101"/>
      <c r="AHR21" s="101"/>
      <c r="AHS21" s="101"/>
      <c r="AHT21" s="101"/>
      <c r="AHU21" s="101"/>
      <c r="AHV21" s="101"/>
      <c r="AHW21" s="101"/>
      <c r="AHX21" s="101"/>
      <c r="AHY21" s="101"/>
      <c r="AHZ21" s="101"/>
      <c r="AIA21" s="101"/>
      <c r="AIB21" s="101"/>
      <c r="AIC21" s="101"/>
      <c r="AID21" s="101"/>
      <c r="AIE21" s="101"/>
      <c r="AIF21" s="101"/>
      <c r="AIG21" s="101"/>
      <c r="AIH21" s="101"/>
      <c r="AII21" s="101"/>
      <c r="AIJ21" s="101"/>
      <c r="AIK21" s="101"/>
      <c r="AIL21" s="101"/>
      <c r="AIM21" s="101"/>
      <c r="AIN21" s="101"/>
      <c r="AIO21" s="101"/>
      <c r="AIP21" s="101"/>
      <c r="AIQ21" s="101"/>
      <c r="AIR21" s="101"/>
      <c r="AIS21" s="101"/>
      <c r="AIT21" s="101"/>
      <c r="AIU21" s="101"/>
      <c r="AIV21" s="101"/>
      <c r="AIW21" s="101"/>
      <c r="AIX21" s="101"/>
      <c r="AIY21" s="101"/>
      <c r="AIZ21" s="101"/>
      <c r="AJA21" s="101"/>
      <c r="AJB21" s="101"/>
      <c r="AJC21" s="101"/>
      <c r="AJD21" s="101"/>
      <c r="AJE21" s="101"/>
      <c r="AJF21" s="101"/>
      <c r="AJG21" s="101"/>
      <c r="AJH21" s="101"/>
      <c r="AJI21" s="101"/>
      <c r="AJJ21" s="101"/>
      <c r="AJK21" s="101"/>
      <c r="AJL21" s="101"/>
      <c r="AJM21" s="101"/>
      <c r="AJN21" s="101"/>
      <c r="AJO21" s="101"/>
      <c r="AJP21" s="101"/>
      <c r="AJQ21" s="101"/>
      <c r="AJR21" s="101"/>
      <c r="AJS21" s="101"/>
      <c r="AJT21" s="101"/>
      <c r="AJU21" s="101"/>
      <c r="AJV21" s="101"/>
      <c r="AJW21" s="101"/>
      <c r="AJX21" s="101"/>
      <c r="AJY21" s="101"/>
      <c r="AJZ21" s="101"/>
      <c r="AKA21" s="101"/>
      <c r="AKB21" s="101"/>
      <c r="AKC21" s="101"/>
      <c r="AKD21" s="101"/>
      <c r="AKE21" s="101"/>
      <c r="AKF21" s="101"/>
      <c r="AKG21" s="101"/>
      <c r="AKH21" s="101"/>
      <c r="AKI21" s="101"/>
      <c r="AKJ21" s="101"/>
      <c r="AKK21" s="101"/>
      <c r="AKL21" s="101"/>
      <c r="AKM21" s="101"/>
      <c r="AKN21" s="101"/>
      <c r="AKO21" s="101"/>
      <c r="AKP21" s="101"/>
      <c r="AKQ21" s="101"/>
      <c r="AKR21" s="101"/>
      <c r="AKS21" s="101"/>
      <c r="AKT21" s="101"/>
      <c r="AKU21" s="101"/>
      <c r="AKV21" s="101"/>
      <c r="AKW21" s="101"/>
      <c r="AKX21" s="101"/>
      <c r="AKY21" s="101"/>
      <c r="AKZ21" s="101"/>
      <c r="ALA21" s="101"/>
      <c r="ALB21" s="101"/>
      <c r="ALC21" s="101"/>
      <c r="ALD21" s="101"/>
      <c r="ALE21" s="101"/>
      <c r="ALF21" s="101"/>
      <c r="ALG21" s="101"/>
      <c r="ALH21" s="101"/>
      <c r="ALI21" s="101"/>
      <c r="ALJ21" s="101"/>
      <c r="ALK21" s="101"/>
      <c r="ALL21" s="101"/>
      <c r="ALM21" s="101"/>
      <c r="ALN21" s="101"/>
      <c r="ALO21" s="101"/>
      <c r="ALP21" s="101"/>
      <c r="ALQ21" s="101"/>
      <c r="ALR21" s="101"/>
      <c r="ALS21" s="101"/>
      <c r="ALT21" s="101"/>
      <c r="ALU21" s="101"/>
      <c r="ALV21" s="101"/>
      <c r="ALW21" s="101"/>
      <c r="ALX21" s="101"/>
      <c r="ALY21" s="101"/>
      <c r="ALZ21" s="101"/>
      <c r="AMA21" s="101"/>
      <c r="AMB21" s="101"/>
      <c r="AMC21" s="101"/>
      <c r="AMD21" s="101"/>
      <c r="AME21" s="101"/>
      <c r="AMF21" s="101"/>
      <c r="AMG21" s="101"/>
      <c r="AMH21" s="101"/>
      <c r="AMI21" s="101"/>
      <c r="AMJ21" s="101"/>
      <c r="AMK21" s="101"/>
      <c r="AML21" s="101"/>
      <c r="AMM21" s="101"/>
      <c r="AMN21" s="101"/>
      <c r="AMO21" s="101"/>
      <c r="AMP21" s="101"/>
      <c r="AMQ21" s="101"/>
      <c r="AMR21" s="101"/>
      <c r="AMS21" s="101"/>
      <c r="AMT21" s="101"/>
      <c r="AMU21" s="101"/>
      <c r="AMV21" s="101"/>
      <c r="AMW21" s="101"/>
      <c r="AMX21" s="101"/>
      <c r="AMY21" s="101"/>
      <c r="AMZ21" s="101"/>
      <c r="ANA21" s="101"/>
      <c r="ANB21" s="101"/>
      <c r="ANC21" s="101"/>
      <c r="AND21" s="101"/>
      <c r="ANE21" s="101"/>
      <c r="ANF21" s="101"/>
      <c r="ANG21" s="101"/>
      <c r="ANH21" s="101"/>
      <c r="ANI21" s="101"/>
      <c r="ANJ21" s="101"/>
      <c r="ANK21" s="101"/>
      <c r="ANL21" s="101"/>
      <c r="ANM21" s="101"/>
      <c r="ANN21" s="101"/>
      <c r="ANO21" s="101"/>
      <c r="ANP21" s="101"/>
      <c r="ANQ21" s="101"/>
      <c r="ANR21" s="101"/>
      <c r="ANS21" s="101"/>
      <c r="ANT21" s="101"/>
      <c r="ANU21" s="101"/>
      <c r="ANV21" s="101"/>
      <c r="ANW21" s="101"/>
      <c r="ANX21" s="101"/>
      <c r="ANY21" s="101"/>
      <c r="ANZ21" s="101"/>
      <c r="AOA21" s="101"/>
      <c r="AOB21" s="101"/>
      <c r="AOC21" s="101"/>
      <c r="AOD21" s="101"/>
      <c r="AOE21" s="101"/>
      <c r="AOF21" s="101"/>
      <c r="AOG21" s="101"/>
      <c r="AOH21" s="101"/>
      <c r="AOI21" s="101"/>
      <c r="AOJ21" s="101"/>
      <c r="AOK21" s="101"/>
      <c r="AOL21" s="101"/>
      <c r="AOM21" s="101"/>
      <c r="AON21" s="101"/>
      <c r="AOO21" s="101"/>
      <c r="AOP21" s="101"/>
      <c r="AOQ21" s="101"/>
      <c r="AOR21" s="101"/>
      <c r="AOS21" s="101"/>
      <c r="AOT21" s="101"/>
      <c r="AOU21" s="101"/>
      <c r="AOV21" s="101"/>
      <c r="AOW21" s="101"/>
      <c r="AOX21" s="101"/>
      <c r="AOY21" s="101"/>
      <c r="AOZ21" s="101"/>
      <c r="APA21" s="101"/>
      <c r="APB21" s="101"/>
      <c r="APC21" s="101"/>
      <c r="APD21" s="101"/>
      <c r="APE21" s="101"/>
      <c r="APF21" s="101"/>
      <c r="APG21" s="101"/>
      <c r="APH21" s="101"/>
      <c r="API21" s="101"/>
      <c r="APJ21" s="101"/>
      <c r="APK21" s="101"/>
      <c r="APL21" s="101"/>
      <c r="APM21" s="101"/>
      <c r="APN21" s="101"/>
      <c r="APO21" s="101"/>
      <c r="APP21" s="101"/>
      <c r="APQ21" s="101"/>
      <c r="APR21" s="101"/>
      <c r="APS21" s="101"/>
      <c r="APT21" s="101"/>
      <c r="APU21" s="101"/>
      <c r="APV21" s="101"/>
      <c r="APW21" s="101"/>
      <c r="APX21" s="101"/>
      <c r="APY21" s="101"/>
      <c r="APZ21" s="101"/>
      <c r="AQA21" s="101"/>
      <c r="AQB21" s="101"/>
      <c r="AQC21" s="101"/>
      <c r="AQD21" s="101"/>
      <c r="AQE21" s="101"/>
      <c r="AQF21" s="101"/>
      <c r="AQG21" s="101"/>
      <c r="AQH21" s="101"/>
      <c r="AQI21" s="101"/>
      <c r="AQJ21" s="101"/>
      <c r="AQK21" s="101"/>
      <c r="AQL21" s="101"/>
      <c r="AQM21" s="101"/>
      <c r="AQN21" s="101"/>
      <c r="AQO21" s="101"/>
      <c r="AQP21" s="101"/>
      <c r="AQQ21" s="101"/>
      <c r="AQR21" s="101"/>
      <c r="AQS21" s="101"/>
      <c r="AQT21" s="101"/>
      <c r="AQU21" s="101"/>
      <c r="AQV21" s="101"/>
      <c r="AQW21" s="101"/>
      <c r="AQX21" s="101"/>
      <c r="AQY21" s="101"/>
      <c r="AQZ21" s="101"/>
      <c r="ARA21" s="101"/>
      <c r="ARB21" s="101"/>
      <c r="ARC21" s="101"/>
      <c r="ARD21" s="101"/>
      <c r="ARE21" s="101"/>
      <c r="ARF21" s="101"/>
      <c r="ARG21" s="101"/>
      <c r="ARH21" s="101"/>
      <c r="ARI21" s="101"/>
      <c r="ARJ21" s="101"/>
      <c r="ARK21" s="101"/>
      <c r="ARL21" s="101"/>
      <c r="ARM21" s="101"/>
      <c r="ARN21" s="101"/>
      <c r="ARO21" s="101"/>
      <c r="ARP21" s="101"/>
      <c r="ARQ21" s="101"/>
      <c r="ARR21" s="101"/>
      <c r="ARS21" s="101"/>
      <c r="ART21" s="101"/>
      <c r="ARU21" s="101"/>
      <c r="ARV21" s="101"/>
      <c r="ARW21" s="101"/>
      <c r="ARX21" s="101"/>
      <c r="ARY21" s="101"/>
      <c r="ARZ21" s="101"/>
      <c r="ASA21" s="101"/>
      <c r="ASB21" s="101"/>
      <c r="ASC21" s="101"/>
      <c r="ASD21" s="101"/>
      <c r="ASE21" s="101"/>
      <c r="ASF21" s="101"/>
      <c r="ASG21" s="101"/>
      <c r="ASH21" s="101"/>
      <c r="ASI21" s="101"/>
      <c r="ASJ21" s="101"/>
      <c r="ASK21" s="101"/>
      <c r="ASL21" s="101"/>
      <c r="ASM21" s="101"/>
      <c r="ASN21" s="101"/>
      <c r="ASO21" s="101"/>
      <c r="ASP21" s="101"/>
      <c r="ASQ21" s="101"/>
      <c r="ASR21" s="101"/>
      <c r="ASS21" s="101"/>
      <c r="AST21" s="101"/>
      <c r="ASU21" s="101"/>
      <c r="ASV21" s="101"/>
      <c r="ASW21" s="101"/>
      <c r="ASX21" s="101"/>
      <c r="ASY21" s="101"/>
      <c r="ASZ21" s="101"/>
      <c r="ATA21" s="101"/>
      <c r="ATB21" s="101"/>
      <c r="ATC21" s="101"/>
      <c r="ATD21" s="101"/>
      <c r="ATE21" s="101"/>
      <c r="ATF21" s="101"/>
      <c r="ATG21" s="101"/>
      <c r="ATH21" s="101"/>
      <c r="ATI21" s="101"/>
      <c r="ATJ21" s="101"/>
      <c r="ATK21" s="101"/>
      <c r="ATL21" s="101"/>
      <c r="ATM21" s="101"/>
      <c r="ATN21" s="101"/>
      <c r="ATO21" s="101"/>
      <c r="ATP21" s="101"/>
      <c r="ATQ21" s="101"/>
      <c r="ATR21" s="101"/>
      <c r="ATS21" s="101"/>
      <c r="ATT21" s="101"/>
      <c r="ATU21" s="101"/>
      <c r="ATV21" s="101"/>
      <c r="ATW21" s="101"/>
      <c r="ATX21" s="101"/>
      <c r="ATY21" s="101"/>
      <c r="ATZ21" s="101"/>
      <c r="AUA21" s="101"/>
      <c r="AUB21" s="101"/>
      <c r="AUC21" s="101"/>
      <c r="AUD21" s="101"/>
      <c r="AUE21" s="101"/>
      <c r="AUF21" s="101"/>
      <c r="AUG21" s="101"/>
      <c r="AUH21" s="101"/>
      <c r="AUI21" s="101"/>
      <c r="AUJ21" s="101"/>
      <c r="AUK21" s="101"/>
      <c r="AUL21" s="101"/>
      <c r="AUM21" s="101"/>
      <c r="AUN21" s="101"/>
      <c r="AUO21" s="101"/>
      <c r="AUP21" s="101"/>
      <c r="AUQ21" s="101"/>
      <c r="AUR21" s="101"/>
      <c r="AUS21" s="101"/>
      <c r="AUT21" s="101"/>
      <c r="AUU21" s="101"/>
      <c r="AUV21" s="101"/>
      <c r="AUW21" s="101"/>
      <c r="AUX21" s="101"/>
      <c r="AUY21" s="101"/>
      <c r="AUZ21" s="101"/>
      <c r="AVA21" s="101"/>
      <c r="AVB21" s="101"/>
      <c r="AVC21" s="101"/>
      <c r="AVD21" s="101"/>
      <c r="AVE21" s="101"/>
      <c r="AVF21" s="101"/>
      <c r="AVG21" s="101"/>
      <c r="AVH21" s="101"/>
      <c r="AVI21" s="101"/>
      <c r="AVJ21" s="101"/>
      <c r="AVK21" s="101"/>
      <c r="AVL21" s="101"/>
      <c r="AVM21" s="101"/>
      <c r="AVN21" s="101"/>
      <c r="AVO21" s="101"/>
      <c r="AVP21" s="101"/>
      <c r="AVQ21" s="101"/>
      <c r="AVR21" s="101"/>
      <c r="AVS21" s="101"/>
      <c r="AVT21" s="101"/>
      <c r="AVU21" s="101"/>
      <c r="AVV21" s="101"/>
      <c r="AVW21" s="101"/>
      <c r="AVX21" s="101"/>
      <c r="AVY21" s="101"/>
      <c r="AVZ21" s="101"/>
      <c r="AWA21" s="101"/>
      <c r="AWB21" s="101"/>
      <c r="AWC21" s="101"/>
      <c r="AWD21" s="101"/>
      <c r="AWE21" s="101"/>
      <c r="AWF21" s="101"/>
      <c r="AWG21" s="101"/>
      <c r="AWH21" s="101"/>
      <c r="AWI21" s="101"/>
      <c r="AWJ21" s="101"/>
      <c r="AWK21" s="101"/>
      <c r="AWL21" s="101"/>
      <c r="AWM21" s="101"/>
      <c r="AWN21" s="101"/>
      <c r="AWO21" s="101"/>
      <c r="AWP21" s="101"/>
      <c r="AWQ21" s="101"/>
      <c r="AWR21" s="101"/>
      <c r="AWS21" s="101"/>
      <c r="AWT21" s="101"/>
      <c r="AWU21" s="101"/>
      <c r="AWV21" s="101"/>
      <c r="AWW21" s="101"/>
      <c r="AWX21" s="101"/>
      <c r="AWY21" s="101"/>
      <c r="AWZ21" s="101"/>
      <c r="AXA21" s="101"/>
      <c r="AXB21" s="101"/>
      <c r="AXC21" s="101"/>
      <c r="AXD21" s="101"/>
      <c r="AXE21" s="101"/>
      <c r="AXF21" s="101"/>
      <c r="AXG21" s="101"/>
      <c r="AXH21" s="101"/>
      <c r="AXI21" s="101"/>
      <c r="AXJ21" s="101"/>
      <c r="AXK21" s="101"/>
      <c r="AXL21" s="101"/>
      <c r="AXM21" s="101"/>
      <c r="AXN21" s="101"/>
      <c r="AXO21" s="101"/>
      <c r="AXP21" s="101"/>
      <c r="AXQ21" s="101"/>
      <c r="AXR21" s="101"/>
      <c r="AXS21" s="101"/>
      <c r="AXT21" s="101"/>
      <c r="AXU21" s="101"/>
      <c r="AXV21" s="101"/>
      <c r="AXW21" s="101"/>
      <c r="AXX21" s="101"/>
      <c r="AXY21" s="101"/>
      <c r="AXZ21" s="101"/>
      <c r="AYA21" s="101"/>
      <c r="AYB21" s="101"/>
      <c r="AYC21" s="101"/>
      <c r="AYD21" s="101"/>
      <c r="AYE21" s="101"/>
      <c r="AYF21" s="101"/>
      <c r="AYG21" s="101"/>
      <c r="AYH21" s="101"/>
      <c r="AYI21" s="101"/>
      <c r="AYJ21" s="101"/>
      <c r="AYK21" s="101"/>
      <c r="AYL21" s="101"/>
      <c r="AYM21" s="101"/>
      <c r="AYN21" s="101"/>
      <c r="AYO21" s="101"/>
      <c r="AYP21" s="101"/>
      <c r="AYQ21" s="101"/>
      <c r="AYR21" s="101"/>
      <c r="AYS21" s="101"/>
      <c r="AYT21" s="101"/>
      <c r="AYU21" s="101"/>
      <c r="AYV21" s="101"/>
      <c r="AYW21" s="101"/>
      <c r="AYX21" s="101"/>
      <c r="AYY21" s="101"/>
      <c r="AYZ21" s="101"/>
      <c r="AZA21" s="101"/>
      <c r="AZB21" s="101"/>
      <c r="AZC21" s="101"/>
      <c r="AZD21" s="101"/>
      <c r="AZE21" s="101"/>
      <c r="AZF21" s="101"/>
      <c r="AZG21" s="101"/>
      <c r="AZH21" s="101"/>
      <c r="AZI21" s="101"/>
      <c r="AZJ21" s="101"/>
      <c r="AZK21" s="101"/>
      <c r="AZL21" s="101"/>
      <c r="AZM21" s="101"/>
      <c r="AZN21" s="101"/>
      <c r="AZO21" s="101"/>
      <c r="AZP21" s="101"/>
      <c r="AZQ21" s="101"/>
      <c r="AZR21" s="101"/>
      <c r="AZS21" s="101"/>
      <c r="AZT21" s="101"/>
      <c r="AZU21" s="101"/>
      <c r="AZV21" s="101"/>
      <c r="AZW21" s="101"/>
      <c r="AZX21" s="101"/>
      <c r="AZY21" s="101"/>
      <c r="AZZ21" s="101"/>
      <c r="BAA21" s="101"/>
      <c r="BAB21" s="101"/>
      <c r="BAC21" s="101"/>
      <c r="BAD21" s="101"/>
      <c r="BAE21" s="101"/>
      <c r="BAF21" s="101"/>
      <c r="BAG21" s="101"/>
      <c r="BAH21" s="101"/>
      <c r="BAI21" s="101"/>
      <c r="BAJ21" s="101"/>
      <c r="BAK21" s="101"/>
      <c r="BAL21" s="101"/>
      <c r="BAM21" s="101"/>
      <c r="BAN21" s="101"/>
      <c r="BAO21" s="101"/>
      <c r="BAP21" s="101"/>
      <c r="BAQ21" s="101"/>
      <c r="BAR21" s="101"/>
      <c r="BAS21" s="101"/>
      <c r="BAT21" s="101"/>
      <c r="BAU21" s="101"/>
      <c r="BAV21" s="101"/>
      <c r="BAW21" s="101"/>
      <c r="BAX21" s="101"/>
      <c r="BAY21" s="101"/>
      <c r="BAZ21" s="101"/>
      <c r="BBA21" s="101"/>
      <c r="BBB21" s="101"/>
      <c r="BBC21" s="101"/>
      <c r="BBD21" s="101"/>
      <c r="BBE21" s="101"/>
      <c r="BBF21" s="101"/>
      <c r="BBG21" s="101"/>
      <c r="BBH21" s="101"/>
      <c r="BBI21" s="101"/>
      <c r="BBJ21" s="101"/>
      <c r="BBK21" s="101"/>
      <c r="BBL21" s="101"/>
      <c r="BBM21" s="101"/>
      <c r="BBN21" s="101"/>
      <c r="BBO21" s="101"/>
      <c r="BBP21" s="101"/>
      <c r="BBQ21" s="101"/>
      <c r="BBR21" s="101"/>
      <c r="BBS21" s="101"/>
      <c r="BBT21" s="101"/>
      <c r="BBU21" s="101"/>
      <c r="BBV21" s="101"/>
      <c r="BBW21" s="101"/>
      <c r="BBX21" s="101"/>
      <c r="BBY21" s="101"/>
      <c r="BBZ21" s="101"/>
      <c r="BCA21" s="101"/>
      <c r="BCB21" s="101"/>
      <c r="BCC21" s="101"/>
      <c r="BCD21" s="101"/>
      <c r="BCE21" s="101"/>
      <c r="BCF21" s="101"/>
      <c r="BCG21" s="101"/>
      <c r="BCH21" s="101"/>
      <c r="BCI21" s="101"/>
      <c r="BCJ21" s="101"/>
      <c r="BCK21" s="101"/>
      <c r="BCL21" s="101"/>
      <c r="BCM21" s="101"/>
      <c r="BCN21" s="101"/>
      <c r="BCO21" s="101"/>
      <c r="BCP21" s="101"/>
      <c r="BCQ21" s="101"/>
      <c r="BCR21" s="101"/>
      <c r="BCS21" s="101"/>
      <c r="BCT21" s="101"/>
      <c r="BCU21" s="101"/>
      <c r="BCV21" s="101"/>
      <c r="BCW21" s="101"/>
      <c r="BCX21" s="101"/>
      <c r="BCY21" s="101"/>
      <c r="BCZ21" s="101"/>
      <c r="BDA21" s="101"/>
      <c r="BDB21" s="101"/>
      <c r="BDC21" s="101"/>
      <c r="BDD21" s="101"/>
      <c r="BDE21" s="101"/>
      <c r="BDF21" s="101"/>
      <c r="BDG21" s="101"/>
      <c r="BDH21" s="101"/>
      <c r="BDI21" s="101"/>
      <c r="BDJ21" s="101"/>
      <c r="BDK21" s="101"/>
      <c r="BDL21" s="101"/>
      <c r="BDM21" s="101"/>
      <c r="BDN21" s="101"/>
      <c r="BDO21" s="101"/>
      <c r="BDP21" s="101"/>
      <c r="BDQ21" s="101"/>
      <c r="BDR21" s="101"/>
      <c r="BDS21" s="101"/>
      <c r="BDT21" s="101"/>
      <c r="BDU21" s="101"/>
      <c r="BDV21" s="101"/>
      <c r="BDW21" s="101"/>
      <c r="BDX21" s="101"/>
      <c r="BDY21" s="101"/>
      <c r="BDZ21" s="101"/>
      <c r="BEA21" s="101"/>
      <c r="BEB21" s="101"/>
      <c r="BEC21" s="101"/>
      <c r="BED21" s="101"/>
      <c r="BEE21" s="101"/>
      <c r="BEF21" s="101"/>
      <c r="BEG21" s="101"/>
      <c r="BEH21" s="101"/>
      <c r="BEI21" s="101"/>
      <c r="BEJ21" s="101"/>
      <c r="BEK21" s="101"/>
      <c r="BEL21" s="101"/>
      <c r="BEM21" s="101"/>
      <c r="BEN21" s="101"/>
      <c r="BEO21" s="101"/>
      <c r="BEP21" s="101"/>
      <c r="BEQ21" s="101"/>
      <c r="BER21" s="101"/>
      <c r="BES21" s="101"/>
      <c r="BET21" s="101"/>
      <c r="BEU21" s="101"/>
      <c r="BEV21" s="101"/>
      <c r="BEW21" s="101"/>
      <c r="BEX21" s="101"/>
      <c r="BEY21" s="101"/>
      <c r="BEZ21" s="101"/>
      <c r="BFA21" s="101"/>
      <c r="BFB21" s="101"/>
      <c r="BFC21" s="101"/>
      <c r="BFD21" s="101"/>
      <c r="BFE21" s="101"/>
      <c r="BFF21" s="101"/>
      <c r="BFG21" s="101"/>
      <c r="BFH21" s="101"/>
      <c r="BFI21" s="101"/>
      <c r="BFJ21" s="101"/>
      <c r="BFK21" s="101"/>
      <c r="BFL21" s="101"/>
      <c r="BFM21" s="101"/>
      <c r="BFN21" s="101"/>
      <c r="BFO21" s="101"/>
      <c r="BFP21" s="101"/>
      <c r="BFQ21" s="101"/>
      <c r="BFR21" s="101"/>
      <c r="BFS21" s="101"/>
      <c r="BFT21" s="101"/>
      <c r="BFU21" s="101"/>
      <c r="BFV21" s="101"/>
      <c r="BFW21" s="101"/>
      <c r="BFX21" s="101"/>
      <c r="BFY21" s="101"/>
      <c r="BFZ21" s="101"/>
      <c r="BGA21" s="101"/>
      <c r="BGB21" s="101"/>
      <c r="BGC21" s="101"/>
      <c r="BGD21" s="101"/>
      <c r="BGE21" s="101"/>
      <c r="BGF21" s="101"/>
      <c r="BGG21" s="101"/>
      <c r="BGH21" s="101"/>
      <c r="BGI21" s="101"/>
      <c r="BGJ21" s="101"/>
      <c r="BGK21" s="101"/>
      <c r="BGL21" s="101"/>
      <c r="BGM21" s="101"/>
      <c r="BGN21" s="101"/>
      <c r="BGO21" s="101"/>
      <c r="BGP21" s="101"/>
      <c r="BGQ21" s="101"/>
      <c r="BGR21" s="101"/>
      <c r="BGS21" s="101"/>
      <c r="BGT21" s="101"/>
      <c r="BGU21" s="101"/>
      <c r="BGV21" s="101"/>
      <c r="BGW21" s="101"/>
      <c r="BGX21" s="101"/>
      <c r="BGY21" s="101"/>
      <c r="BGZ21" s="101"/>
      <c r="BHA21" s="101"/>
      <c r="BHB21" s="101"/>
      <c r="BHC21" s="101"/>
      <c r="BHD21" s="101"/>
      <c r="BHE21" s="101"/>
      <c r="BHF21" s="101"/>
      <c r="BHG21" s="101"/>
      <c r="BHH21" s="101"/>
      <c r="BHI21" s="101"/>
      <c r="BHJ21" s="101"/>
      <c r="BHK21" s="101"/>
      <c r="BHL21" s="101"/>
      <c r="BHM21" s="101"/>
      <c r="BHN21" s="101"/>
      <c r="BHO21" s="101"/>
      <c r="BHP21" s="101"/>
      <c r="BHQ21" s="101"/>
      <c r="BHR21" s="101"/>
      <c r="BHS21" s="101"/>
      <c r="BHT21" s="101"/>
      <c r="BHU21" s="101"/>
      <c r="BHV21" s="101"/>
      <c r="BHW21" s="101"/>
      <c r="BHX21" s="101"/>
      <c r="BHY21" s="101"/>
      <c r="BHZ21" s="101"/>
      <c r="BIA21" s="101"/>
      <c r="BIB21" s="101"/>
      <c r="BIC21" s="101"/>
      <c r="BID21" s="101"/>
      <c r="BIE21" s="101"/>
      <c r="BIF21" s="101"/>
      <c r="BIG21" s="101"/>
      <c r="BIH21" s="101"/>
      <c r="BII21" s="101"/>
      <c r="BIJ21" s="101"/>
      <c r="BIK21" s="101"/>
      <c r="BIL21" s="101"/>
      <c r="BIM21" s="101"/>
      <c r="BIN21" s="101"/>
      <c r="BIO21" s="101"/>
      <c r="BIP21" s="101"/>
      <c r="BIQ21" s="101"/>
      <c r="BIR21" s="101"/>
      <c r="BIS21" s="101"/>
      <c r="BIT21" s="101"/>
      <c r="BIU21" s="101"/>
      <c r="BIV21" s="101"/>
      <c r="BIW21" s="101"/>
      <c r="BIX21" s="101"/>
      <c r="BIY21" s="101"/>
      <c r="BIZ21" s="101"/>
      <c r="BJA21" s="101"/>
      <c r="BJB21" s="101"/>
      <c r="BJC21" s="101"/>
      <c r="BJD21" s="101"/>
      <c r="BJE21" s="101"/>
      <c r="BJF21" s="101"/>
      <c r="BJG21" s="101"/>
      <c r="BJH21" s="101"/>
      <c r="BJI21" s="101"/>
      <c r="BJJ21" s="101"/>
      <c r="BJK21" s="101"/>
      <c r="BJL21" s="101"/>
      <c r="BJM21" s="101"/>
      <c r="BJN21" s="101"/>
      <c r="BJO21" s="101"/>
      <c r="BJP21" s="101"/>
      <c r="BJQ21" s="101"/>
      <c r="BJR21" s="101"/>
      <c r="BJS21" s="101"/>
      <c r="BJT21" s="101"/>
      <c r="BJU21" s="101"/>
      <c r="BJV21" s="101"/>
      <c r="BJW21" s="101"/>
      <c r="BJX21" s="101"/>
      <c r="BJY21" s="101"/>
      <c r="BJZ21" s="101"/>
      <c r="BKA21" s="101"/>
      <c r="BKB21" s="101"/>
      <c r="BKC21" s="101"/>
      <c r="BKD21" s="101"/>
      <c r="BKE21" s="101"/>
      <c r="BKF21" s="101"/>
      <c r="BKG21" s="101"/>
      <c r="BKH21" s="101"/>
      <c r="BKI21" s="101"/>
      <c r="BKJ21" s="101"/>
      <c r="BKK21" s="101"/>
      <c r="BKL21" s="101"/>
      <c r="BKM21" s="101"/>
      <c r="BKN21" s="101"/>
      <c r="BKO21" s="101"/>
      <c r="BKP21" s="101"/>
      <c r="BKQ21" s="101"/>
      <c r="BKR21" s="101"/>
      <c r="BKS21" s="101"/>
      <c r="BKT21" s="101"/>
      <c r="BKU21" s="101"/>
      <c r="BKV21" s="101"/>
      <c r="BKW21" s="101"/>
      <c r="BKX21" s="101"/>
      <c r="BKY21" s="101"/>
      <c r="BKZ21" s="101"/>
      <c r="BLA21" s="101"/>
      <c r="BLB21" s="101"/>
      <c r="BLC21" s="101"/>
      <c r="BLD21" s="101"/>
      <c r="BLE21" s="101"/>
      <c r="BLF21" s="101"/>
      <c r="BLG21" s="101"/>
      <c r="BLH21" s="101"/>
      <c r="BLI21" s="101"/>
      <c r="BLJ21" s="101"/>
      <c r="BLK21" s="101"/>
      <c r="BLL21" s="101"/>
      <c r="BLM21" s="101"/>
      <c r="BLN21" s="101"/>
      <c r="BLO21" s="101"/>
      <c r="BLP21" s="101"/>
      <c r="BLQ21" s="101"/>
      <c r="BLR21" s="101"/>
      <c r="BLS21" s="101"/>
      <c r="BLT21" s="101"/>
      <c r="BLU21" s="101"/>
      <c r="BLV21" s="101"/>
      <c r="BLW21" s="101"/>
      <c r="BLX21" s="101"/>
      <c r="BLY21" s="101"/>
      <c r="BLZ21" s="101"/>
      <c r="BMA21" s="101"/>
      <c r="BMB21" s="101"/>
      <c r="BMC21" s="101"/>
      <c r="BMD21" s="101"/>
      <c r="BME21" s="101"/>
      <c r="BMF21" s="101"/>
      <c r="BMG21" s="101"/>
      <c r="BMH21" s="101"/>
      <c r="BMI21" s="101"/>
      <c r="BMJ21" s="101"/>
      <c r="BMK21" s="101"/>
      <c r="BML21" s="101"/>
      <c r="BMM21" s="101"/>
      <c r="BMN21" s="101"/>
      <c r="BMO21" s="101"/>
      <c r="BMP21" s="101"/>
      <c r="BMQ21" s="101"/>
      <c r="BMR21" s="101"/>
      <c r="BMS21" s="101"/>
      <c r="BMT21" s="101"/>
      <c r="BMU21" s="101"/>
      <c r="BMV21" s="101"/>
      <c r="BMW21" s="101"/>
      <c r="BMX21" s="101"/>
      <c r="BMY21" s="101"/>
      <c r="BMZ21" s="101"/>
      <c r="BNA21" s="101"/>
      <c r="BNB21" s="101"/>
      <c r="BNC21" s="101"/>
      <c r="BND21" s="101"/>
      <c r="BNE21" s="101"/>
      <c r="BNF21" s="101"/>
      <c r="BNG21" s="101"/>
      <c r="BNH21" s="101"/>
      <c r="BNI21" s="101"/>
      <c r="BNJ21" s="101"/>
      <c r="BNK21" s="101"/>
      <c r="BNL21" s="101"/>
      <c r="BNM21" s="101"/>
      <c r="BNN21" s="101"/>
      <c r="BNO21" s="101"/>
      <c r="BNP21" s="101"/>
      <c r="BNQ21" s="101"/>
      <c r="BNR21" s="101"/>
      <c r="BNS21" s="101"/>
      <c r="BNT21" s="101"/>
      <c r="BNU21" s="101"/>
      <c r="BNV21" s="101"/>
      <c r="BNW21" s="101"/>
      <c r="BNX21" s="101"/>
      <c r="BNY21" s="101"/>
      <c r="BNZ21" s="101"/>
      <c r="BOA21" s="101"/>
      <c r="BOB21" s="101"/>
      <c r="BOC21" s="101"/>
      <c r="BOD21" s="101"/>
      <c r="BOE21" s="101"/>
      <c r="BOF21" s="101"/>
      <c r="BOG21" s="101"/>
      <c r="BOH21" s="101"/>
      <c r="BOI21" s="101"/>
      <c r="BOJ21" s="101"/>
      <c r="BOK21" s="101"/>
      <c r="BOL21" s="101"/>
      <c r="BOM21" s="101"/>
      <c r="BON21" s="101"/>
      <c r="BOO21" s="101"/>
      <c r="BOP21" s="101"/>
      <c r="BOQ21" s="101"/>
      <c r="BOR21" s="101"/>
      <c r="BOS21" s="101"/>
      <c r="BOT21" s="101"/>
      <c r="BOU21" s="101"/>
      <c r="BOV21" s="101"/>
      <c r="BOW21" s="101"/>
      <c r="BOX21" s="101"/>
      <c r="BOY21" s="101"/>
      <c r="BOZ21" s="101"/>
      <c r="BPA21" s="101"/>
      <c r="BPB21" s="101"/>
      <c r="BPC21" s="161"/>
    </row>
    <row r="22" s="102" customFormat="1" ht="75" customHeight="1" outlineLevel="1" spans="1:1024 1025:1771">
      <c r="A22" s="157" t="s">
        <v>80</v>
      </c>
      <c r="B22" s="151" t="s">
        <v>1061</v>
      </c>
      <c r="C22" s="158" t="s">
        <v>1062</v>
      </c>
      <c r="D22" s="153" t="s">
        <v>1044</v>
      </c>
      <c r="E22" s="154"/>
      <c r="F22" s="159"/>
      <c r="G22" s="160"/>
      <c r="H22" s="155">
        <v>46137</v>
      </c>
      <c r="I22" s="156" t="s">
        <v>7</v>
      </c>
      <c r="J22" s="153"/>
      <c r="K22" s="5"/>
      <c r="L22" s="5" t="s">
        <v>1041</v>
      </c>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c r="DK22" s="101"/>
      <c r="DL22" s="101"/>
      <c r="DM22" s="101"/>
      <c r="DN22" s="101"/>
      <c r="DO22" s="101"/>
      <c r="DP22" s="101"/>
      <c r="DQ22" s="101"/>
      <c r="DR22" s="101"/>
      <c r="DS22" s="101"/>
      <c r="DT22" s="101"/>
      <c r="DU22" s="101"/>
      <c r="DV22" s="101"/>
      <c r="DW22" s="101"/>
      <c r="DX22" s="101"/>
      <c r="DY22" s="101"/>
      <c r="DZ22" s="101"/>
      <c r="EA22" s="101"/>
      <c r="EB22" s="101"/>
      <c r="EC22" s="101"/>
      <c r="ED22" s="101"/>
      <c r="EE22" s="101"/>
      <c r="EF22" s="101"/>
      <c r="EG22" s="101"/>
      <c r="EH22" s="101"/>
      <c r="EI22" s="101"/>
      <c r="EJ22" s="101"/>
      <c r="EK22" s="101"/>
      <c r="EL22" s="101"/>
      <c r="EM22" s="101"/>
      <c r="EN22" s="101"/>
      <c r="EO22" s="101"/>
      <c r="EP22" s="101"/>
      <c r="EQ22" s="101"/>
      <c r="ER22" s="101"/>
      <c r="ES22" s="101"/>
      <c r="ET22" s="101"/>
      <c r="EU22" s="101"/>
      <c r="EV22" s="101"/>
      <c r="EW22" s="101"/>
      <c r="EX22" s="101"/>
      <c r="EY22" s="101"/>
      <c r="EZ22" s="101"/>
      <c r="FA22" s="101"/>
      <c r="FB22" s="101"/>
      <c r="FC22" s="101"/>
      <c r="FD22" s="101"/>
      <c r="FE22" s="101"/>
      <c r="FF22" s="101"/>
      <c r="FG22" s="101"/>
      <c r="FH22" s="101"/>
      <c r="FI22" s="101"/>
      <c r="FJ22" s="101"/>
      <c r="FK22" s="101"/>
      <c r="FL22" s="101"/>
      <c r="FM22" s="101"/>
      <c r="FN22" s="101"/>
      <c r="FO22" s="101"/>
      <c r="FP22" s="101"/>
      <c r="FQ22" s="101"/>
      <c r="FR22" s="101"/>
      <c r="FS22" s="101"/>
      <c r="FT22" s="101"/>
      <c r="FU22" s="101"/>
      <c r="FV22" s="101"/>
      <c r="FW22" s="101"/>
      <c r="FX22" s="101"/>
      <c r="FY22" s="101"/>
      <c r="FZ22" s="101"/>
      <c r="GA22" s="101"/>
      <c r="GB22" s="101"/>
      <c r="GC22" s="101"/>
      <c r="GD22" s="101"/>
      <c r="GE22" s="101"/>
      <c r="GF22" s="101"/>
      <c r="GG22" s="101"/>
      <c r="GH22" s="101"/>
      <c r="GI22" s="101"/>
      <c r="GJ22" s="101"/>
      <c r="GK22" s="101"/>
      <c r="GL22" s="101"/>
      <c r="GM22" s="101"/>
      <c r="GN22" s="101"/>
      <c r="GO22" s="101"/>
      <c r="GP22" s="101"/>
      <c r="GQ22" s="101"/>
      <c r="GR22" s="101"/>
      <c r="GS22" s="101"/>
      <c r="GT22" s="101"/>
      <c r="GU22" s="101"/>
      <c r="GV22" s="101"/>
      <c r="GW22" s="101"/>
      <c r="GX22" s="101"/>
      <c r="GY22" s="101"/>
      <c r="GZ22" s="101"/>
      <c r="HA22" s="101"/>
      <c r="HB22" s="101"/>
      <c r="HC22" s="101"/>
      <c r="HD22" s="101"/>
      <c r="HE22" s="101"/>
      <c r="HF22" s="101"/>
      <c r="HG22" s="101"/>
      <c r="HH22" s="101"/>
      <c r="HI22" s="101"/>
      <c r="HJ22" s="101"/>
      <c r="HK22" s="101"/>
      <c r="HL22" s="101"/>
      <c r="HM22" s="101"/>
      <c r="HN22" s="101"/>
      <c r="HO22" s="101"/>
      <c r="HP22" s="101"/>
      <c r="HQ22" s="101"/>
      <c r="HR22" s="101"/>
      <c r="HS22" s="101"/>
      <c r="HT22" s="101"/>
      <c r="HU22" s="101"/>
      <c r="HV22" s="101"/>
      <c r="HW22" s="101"/>
      <c r="HX22" s="101"/>
      <c r="HY22" s="101"/>
      <c r="HZ22" s="101"/>
      <c r="IA22" s="101"/>
      <c r="IB22" s="101"/>
      <c r="IC22" s="101"/>
      <c r="ID22" s="101"/>
      <c r="IE22" s="101"/>
      <c r="IF22" s="101"/>
      <c r="IG22" s="101"/>
      <c r="IH22" s="101"/>
      <c r="II22" s="101"/>
      <c r="IJ22" s="101"/>
      <c r="IK22" s="101"/>
      <c r="IL22" s="101"/>
      <c r="IM22" s="101"/>
      <c r="IN22" s="101"/>
      <c r="IO22" s="101"/>
      <c r="IP22" s="101"/>
      <c r="IQ22" s="101"/>
      <c r="IR22" s="101"/>
      <c r="IS22" s="101"/>
      <c r="IT22" s="101"/>
      <c r="IU22" s="101"/>
      <c r="IV22" s="101"/>
      <c r="IW22" s="101"/>
      <c r="IX22" s="101"/>
      <c r="IY22" s="101"/>
      <c r="IZ22" s="101"/>
      <c r="JA22" s="101"/>
      <c r="JB22" s="101"/>
      <c r="JC22" s="101"/>
      <c r="JD22" s="101"/>
      <c r="JE22" s="101"/>
      <c r="JF22" s="101"/>
      <c r="JG22" s="101"/>
      <c r="JH22" s="101"/>
      <c r="JI22" s="101"/>
      <c r="JJ22" s="101"/>
      <c r="JK22" s="101"/>
      <c r="JL22" s="101"/>
      <c r="JM22" s="101"/>
      <c r="JN22" s="101"/>
      <c r="JO22" s="101"/>
      <c r="JP22" s="101"/>
      <c r="JQ22" s="101"/>
      <c r="JR22" s="101"/>
      <c r="JS22" s="101"/>
      <c r="JT22" s="101"/>
      <c r="JU22" s="101"/>
      <c r="JV22" s="101"/>
      <c r="JW22" s="101"/>
      <c r="JX22" s="101"/>
      <c r="JY22" s="101"/>
      <c r="JZ22" s="101"/>
      <c r="KA22" s="101"/>
      <c r="KB22" s="101"/>
      <c r="KC22" s="101"/>
      <c r="KD22" s="101"/>
      <c r="KE22" s="101"/>
      <c r="KF22" s="101"/>
      <c r="KG22" s="101"/>
      <c r="KH22" s="101"/>
      <c r="KI22" s="101"/>
      <c r="KJ22" s="101"/>
      <c r="KK22" s="101"/>
      <c r="KL22" s="101"/>
      <c r="KM22" s="101"/>
      <c r="KN22" s="101"/>
      <c r="KO22" s="101"/>
      <c r="KP22" s="101"/>
      <c r="KQ22" s="101"/>
      <c r="KR22" s="101"/>
      <c r="KS22" s="101"/>
      <c r="KT22" s="101"/>
      <c r="KU22" s="101"/>
      <c r="KV22" s="101"/>
      <c r="KW22" s="101"/>
      <c r="KX22" s="101"/>
      <c r="KY22" s="101"/>
      <c r="KZ22" s="101"/>
      <c r="LA22" s="101"/>
      <c r="LB22" s="101"/>
      <c r="LC22" s="101"/>
      <c r="LD22" s="101"/>
      <c r="LE22" s="101"/>
      <c r="LF22" s="101"/>
      <c r="LG22" s="101"/>
      <c r="LH22" s="101"/>
      <c r="LI22" s="101"/>
      <c r="LJ22" s="101"/>
      <c r="LK22" s="101"/>
      <c r="LL22" s="101"/>
      <c r="LM22" s="101"/>
      <c r="LN22" s="101"/>
      <c r="LO22" s="101"/>
      <c r="LP22" s="101"/>
      <c r="LQ22" s="101"/>
      <c r="LR22" s="101"/>
      <c r="LS22" s="101"/>
      <c r="LT22" s="101"/>
      <c r="LU22" s="101"/>
      <c r="LV22" s="101"/>
      <c r="LW22" s="101"/>
      <c r="LX22" s="101"/>
      <c r="LY22" s="101"/>
      <c r="LZ22" s="101"/>
      <c r="MA22" s="101"/>
      <c r="MB22" s="101"/>
      <c r="MC22" s="101"/>
      <c r="MD22" s="101"/>
      <c r="ME22" s="101"/>
      <c r="MF22" s="101"/>
      <c r="MG22" s="101"/>
      <c r="MH22" s="101"/>
      <c r="MI22" s="101"/>
      <c r="MJ22" s="101"/>
      <c r="MK22" s="101"/>
      <c r="ML22" s="101"/>
      <c r="MM22" s="101"/>
      <c r="MN22" s="101"/>
      <c r="MO22" s="101"/>
      <c r="MP22" s="101"/>
      <c r="MQ22" s="101"/>
      <c r="MR22" s="101"/>
      <c r="MS22" s="101"/>
      <c r="MT22" s="101"/>
      <c r="MU22" s="101"/>
      <c r="MV22" s="101"/>
      <c r="MW22" s="101"/>
      <c r="MX22" s="101"/>
      <c r="MY22" s="101"/>
      <c r="MZ22" s="101"/>
      <c r="NA22" s="101"/>
      <c r="NB22" s="101"/>
      <c r="NC22" s="101"/>
      <c r="ND22" s="101"/>
      <c r="NE22" s="101"/>
      <c r="NF22" s="101"/>
      <c r="NG22" s="101"/>
      <c r="NH22" s="101"/>
      <c r="NI22" s="101"/>
      <c r="NJ22" s="101"/>
      <c r="NK22" s="101"/>
      <c r="NL22" s="101"/>
      <c r="NM22" s="101"/>
      <c r="NN22" s="101"/>
      <c r="NO22" s="101"/>
      <c r="NP22" s="101"/>
      <c r="NQ22" s="101"/>
      <c r="NR22" s="101"/>
      <c r="NS22" s="101"/>
      <c r="NT22" s="101"/>
      <c r="NU22" s="101"/>
      <c r="NV22" s="101"/>
      <c r="NW22" s="101"/>
      <c r="NX22" s="101"/>
      <c r="NY22" s="101"/>
      <c r="NZ22" s="101"/>
      <c r="OA22" s="101"/>
      <c r="OB22" s="101"/>
      <c r="OC22" s="101"/>
      <c r="OD22" s="101"/>
      <c r="OE22" s="101"/>
      <c r="OF22" s="101"/>
      <c r="OG22" s="101"/>
      <c r="OH22" s="101"/>
      <c r="OI22" s="101"/>
      <c r="OJ22" s="101"/>
      <c r="OK22" s="101"/>
      <c r="OL22" s="101"/>
      <c r="OM22" s="101"/>
      <c r="ON22" s="101"/>
      <c r="OO22" s="101"/>
      <c r="OP22" s="101"/>
      <c r="OQ22" s="101"/>
      <c r="OR22" s="101"/>
      <c r="OS22" s="101"/>
      <c r="OT22" s="101"/>
      <c r="OU22" s="101"/>
      <c r="OV22" s="101"/>
      <c r="OW22" s="101"/>
      <c r="OX22" s="101"/>
      <c r="OY22" s="101"/>
      <c r="OZ22" s="101"/>
      <c r="PA22" s="101"/>
      <c r="PB22" s="101"/>
      <c r="PC22" s="101"/>
      <c r="PD22" s="101"/>
      <c r="PE22" s="101"/>
      <c r="PF22" s="101"/>
      <c r="PG22" s="101"/>
      <c r="PH22" s="101"/>
      <c r="PI22" s="101"/>
      <c r="PJ22" s="101"/>
      <c r="PK22" s="101"/>
      <c r="PL22" s="101"/>
      <c r="PM22" s="101"/>
      <c r="PN22" s="101"/>
      <c r="PO22" s="101"/>
      <c r="PP22" s="101"/>
      <c r="PQ22" s="101"/>
      <c r="PR22" s="101"/>
      <c r="PS22" s="101"/>
      <c r="PT22" s="101"/>
      <c r="PU22" s="101"/>
      <c r="PV22" s="101"/>
      <c r="PW22" s="101"/>
      <c r="PX22" s="101"/>
      <c r="PY22" s="101"/>
      <c r="PZ22" s="101"/>
      <c r="QA22" s="101"/>
      <c r="QB22" s="101"/>
      <c r="QC22" s="101"/>
      <c r="QD22" s="101"/>
      <c r="QE22" s="101"/>
      <c r="QF22" s="101"/>
      <c r="QG22" s="101"/>
      <c r="QH22" s="101"/>
      <c r="QI22" s="101"/>
      <c r="QJ22" s="101"/>
      <c r="QK22" s="101"/>
      <c r="QL22" s="101"/>
      <c r="QM22" s="101"/>
      <c r="QN22" s="101"/>
      <c r="QO22" s="101"/>
      <c r="QP22" s="101"/>
      <c r="QQ22" s="101"/>
      <c r="QR22" s="101"/>
      <c r="QS22" s="101"/>
      <c r="QT22" s="101"/>
      <c r="QU22" s="101"/>
      <c r="QV22" s="101"/>
      <c r="QW22" s="101"/>
      <c r="QX22" s="101"/>
      <c r="QY22" s="101"/>
      <c r="QZ22" s="101"/>
      <c r="RA22" s="101"/>
      <c r="RB22" s="101"/>
      <c r="RC22" s="101"/>
      <c r="RD22" s="101"/>
      <c r="RE22" s="101"/>
      <c r="RF22" s="101"/>
      <c r="RG22" s="101"/>
      <c r="RH22" s="101"/>
      <c r="RI22" s="101"/>
      <c r="RJ22" s="101"/>
      <c r="RK22" s="101"/>
      <c r="RL22" s="101"/>
      <c r="RM22" s="101"/>
      <c r="RN22" s="101"/>
      <c r="RO22" s="101"/>
      <c r="RP22" s="101"/>
      <c r="RQ22" s="101"/>
      <c r="RR22" s="101"/>
      <c r="RS22" s="101"/>
      <c r="RT22" s="101"/>
      <c r="RU22" s="101"/>
      <c r="RV22" s="101"/>
      <c r="RW22" s="101"/>
      <c r="RX22" s="101"/>
      <c r="RY22" s="101"/>
      <c r="RZ22" s="101"/>
      <c r="SA22" s="101"/>
      <c r="SB22" s="101"/>
      <c r="SC22" s="101"/>
      <c r="SD22" s="101"/>
      <c r="SE22" s="101"/>
      <c r="SF22" s="101"/>
      <c r="SG22" s="101"/>
      <c r="SH22" s="101"/>
      <c r="SI22" s="101"/>
      <c r="SJ22" s="101"/>
      <c r="SK22" s="101"/>
      <c r="SL22" s="101"/>
      <c r="SM22" s="101"/>
      <c r="SN22" s="101"/>
      <c r="SO22" s="101"/>
      <c r="SP22" s="101"/>
      <c r="SQ22" s="101"/>
      <c r="SR22" s="101"/>
      <c r="SS22" s="101"/>
      <c r="ST22" s="101"/>
      <c r="SU22" s="101"/>
      <c r="SV22" s="101"/>
      <c r="SW22" s="101"/>
      <c r="SX22" s="101"/>
      <c r="SY22" s="101"/>
      <c r="SZ22" s="101"/>
      <c r="TA22" s="101"/>
      <c r="TB22" s="101"/>
      <c r="TC22" s="101"/>
      <c r="TD22" s="101"/>
      <c r="TE22" s="101"/>
      <c r="TF22" s="101"/>
      <c r="TG22" s="101"/>
      <c r="TH22" s="101"/>
      <c r="TI22" s="101"/>
      <c r="TJ22" s="101"/>
      <c r="TK22" s="101"/>
      <c r="TL22" s="101"/>
      <c r="TM22" s="101"/>
      <c r="TN22" s="101"/>
      <c r="TO22" s="101"/>
      <c r="TP22" s="101"/>
      <c r="TQ22" s="101"/>
      <c r="TR22" s="101"/>
      <c r="TS22" s="101"/>
      <c r="TT22" s="101"/>
      <c r="TU22" s="101"/>
      <c r="TV22" s="101"/>
      <c r="TW22" s="101"/>
      <c r="TX22" s="101"/>
      <c r="TY22" s="101"/>
      <c r="TZ22" s="101"/>
      <c r="UA22" s="101"/>
      <c r="UB22" s="101"/>
      <c r="UC22" s="101"/>
      <c r="UD22" s="101"/>
      <c r="UE22" s="101"/>
      <c r="UF22" s="101"/>
      <c r="UG22" s="101"/>
      <c r="UH22" s="101"/>
      <c r="UI22" s="101"/>
      <c r="UJ22" s="101"/>
      <c r="UK22" s="101"/>
      <c r="UL22" s="101"/>
      <c r="UM22" s="101"/>
      <c r="UN22" s="101"/>
      <c r="UO22" s="101"/>
      <c r="UP22" s="101"/>
      <c r="UQ22" s="101"/>
      <c r="UR22" s="101"/>
      <c r="US22" s="101"/>
      <c r="UT22" s="101"/>
      <c r="UU22" s="101"/>
      <c r="UV22" s="101"/>
      <c r="UW22" s="101"/>
      <c r="UX22" s="101"/>
      <c r="UY22" s="101"/>
      <c r="UZ22" s="101"/>
      <c r="VA22" s="101"/>
      <c r="VB22" s="101"/>
      <c r="VC22" s="101"/>
      <c r="VD22" s="101"/>
      <c r="VE22" s="101"/>
      <c r="VF22" s="101"/>
      <c r="VG22" s="101"/>
      <c r="VH22" s="101"/>
      <c r="VI22" s="101"/>
      <c r="VJ22" s="101"/>
      <c r="VK22" s="101"/>
      <c r="VL22" s="101"/>
      <c r="VM22" s="101"/>
      <c r="VN22" s="101"/>
      <c r="VO22" s="101"/>
      <c r="VP22" s="101"/>
      <c r="VQ22" s="101"/>
      <c r="VR22" s="101"/>
      <c r="VS22" s="101"/>
      <c r="VT22" s="101"/>
      <c r="VU22" s="101"/>
      <c r="VV22" s="101"/>
      <c r="VW22" s="101"/>
      <c r="VX22" s="101"/>
      <c r="VY22" s="101"/>
      <c r="VZ22" s="101"/>
      <c r="WA22" s="101"/>
      <c r="WB22" s="101"/>
      <c r="WC22" s="101"/>
      <c r="WD22" s="101"/>
      <c r="WE22" s="101"/>
      <c r="WF22" s="101"/>
      <c r="WG22" s="101"/>
      <c r="WH22" s="101"/>
      <c r="WI22" s="101"/>
      <c r="WJ22" s="101"/>
      <c r="WK22" s="101"/>
      <c r="WL22" s="101"/>
      <c r="WM22" s="101"/>
      <c r="WN22" s="101"/>
      <c r="WO22" s="101"/>
      <c r="WP22" s="101"/>
      <c r="WQ22" s="101"/>
      <c r="WR22" s="101"/>
      <c r="WS22" s="101"/>
      <c r="WT22" s="101"/>
      <c r="WU22" s="101"/>
      <c r="WV22" s="101"/>
      <c r="WW22" s="101"/>
      <c r="WX22" s="101"/>
      <c r="WY22" s="101"/>
      <c r="WZ22" s="101"/>
      <c r="XA22" s="101"/>
      <c r="XB22" s="101"/>
      <c r="XC22" s="101"/>
      <c r="XD22" s="101"/>
      <c r="XE22" s="101"/>
      <c r="XF22" s="101"/>
      <c r="XG22" s="101"/>
      <c r="XH22" s="101"/>
      <c r="XI22" s="101"/>
      <c r="XJ22" s="101"/>
      <c r="XK22" s="101"/>
      <c r="XL22" s="101"/>
      <c r="XM22" s="101"/>
      <c r="XN22" s="101"/>
      <c r="XO22" s="101"/>
      <c r="XP22" s="101"/>
      <c r="XQ22" s="101"/>
      <c r="XR22" s="101"/>
      <c r="XS22" s="101"/>
      <c r="XT22" s="101"/>
      <c r="XU22" s="101"/>
      <c r="XV22" s="101"/>
      <c r="XW22" s="101"/>
      <c r="XX22" s="101"/>
      <c r="XY22" s="101"/>
      <c r="XZ22" s="101"/>
      <c r="YA22" s="101"/>
      <c r="YB22" s="101"/>
      <c r="YC22" s="101"/>
      <c r="YD22" s="101"/>
      <c r="YE22" s="101"/>
      <c r="YF22" s="101"/>
      <c r="YG22" s="101"/>
      <c r="YH22" s="101"/>
      <c r="YI22" s="101"/>
      <c r="YJ22" s="101"/>
      <c r="YK22" s="101"/>
      <c r="YL22" s="101"/>
      <c r="YM22" s="101"/>
      <c r="YN22" s="101"/>
      <c r="YO22" s="101"/>
      <c r="YP22" s="101"/>
      <c r="YQ22" s="101"/>
      <c r="YR22" s="101"/>
      <c r="YS22" s="101"/>
      <c r="YT22" s="101"/>
      <c r="YU22" s="101"/>
      <c r="YV22" s="101"/>
      <c r="YW22" s="101"/>
      <c r="YX22" s="101"/>
      <c r="YY22" s="101"/>
      <c r="YZ22" s="101"/>
      <c r="ZA22" s="101"/>
      <c r="ZB22" s="101"/>
      <c r="ZC22" s="101"/>
      <c r="ZD22" s="101"/>
      <c r="ZE22" s="101"/>
      <c r="ZF22" s="101"/>
      <c r="ZG22" s="101"/>
      <c r="ZH22" s="101"/>
      <c r="ZI22" s="101"/>
      <c r="ZJ22" s="101"/>
      <c r="ZK22" s="101"/>
      <c r="ZL22" s="101"/>
      <c r="ZM22" s="101"/>
      <c r="ZN22" s="101"/>
      <c r="ZO22" s="101"/>
      <c r="ZP22" s="101"/>
      <c r="ZQ22" s="101"/>
      <c r="ZR22" s="101"/>
      <c r="ZS22" s="101"/>
      <c r="ZT22" s="101"/>
      <c r="ZU22" s="101"/>
      <c r="ZV22" s="101"/>
      <c r="ZW22" s="101"/>
      <c r="ZX22" s="101"/>
      <c r="ZY22" s="101"/>
      <c r="ZZ22" s="101"/>
      <c r="AAA22" s="101"/>
      <c r="AAB22" s="101"/>
      <c r="AAC22" s="101"/>
      <c r="AAD22" s="101"/>
      <c r="AAE22" s="101"/>
      <c r="AAF22" s="101"/>
      <c r="AAG22" s="101"/>
      <c r="AAH22" s="101"/>
      <c r="AAI22" s="101"/>
      <c r="AAJ22" s="101"/>
      <c r="AAK22" s="101"/>
      <c r="AAL22" s="101"/>
      <c r="AAM22" s="101"/>
      <c r="AAN22" s="101"/>
      <c r="AAO22" s="101"/>
      <c r="AAP22" s="101"/>
      <c r="AAQ22" s="101"/>
      <c r="AAR22" s="101"/>
      <c r="AAS22" s="101"/>
      <c r="AAT22" s="101"/>
      <c r="AAU22" s="101"/>
      <c r="AAV22" s="101"/>
      <c r="AAW22" s="101"/>
      <c r="AAX22" s="101"/>
      <c r="AAY22" s="101"/>
      <c r="AAZ22" s="101"/>
      <c r="ABA22" s="101"/>
      <c r="ABB22" s="101"/>
      <c r="ABC22" s="101"/>
      <c r="ABD22" s="101"/>
      <c r="ABE22" s="101"/>
      <c r="ABF22" s="101"/>
      <c r="ABG22" s="101"/>
      <c r="ABH22" s="101"/>
      <c r="ABI22" s="101"/>
      <c r="ABJ22" s="101"/>
      <c r="ABK22" s="101"/>
      <c r="ABL22" s="101"/>
      <c r="ABM22" s="101"/>
      <c r="ABN22" s="101"/>
      <c r="ABO22" s="101"/>
      <c r="ABP22" s="101"/>
      <c r="ABQ22" s="101"/>
      <c r="ABR22" s="101"/>
      <c r="ABS22" s="101"/>
      <c r="ABT22" s="101"/>
      <c r="ABU22" s="101"/>
      <c r="ABV22" s="101"/>
      <c r="ABW22" s="101"/>
      <c r="ABX22" s="101"/>
      <c r="ABY22" s="101"/>
      <c r="ABZ22" s="101"/>
      <c r="ACA22" s="101"/>
      <c r="ACB22" s="101"/>
      <c r="ACC22" s="101"/>
      <c r="ACD22" s="101"/>
      <c r="ACE22" s="101"/>
      <c r="ACF22" s="101"/>
      <c r="ACG22" s="101"/>
      <c r="ACH22" s="101"/>
      <c r="ACI22" s="101"/>
      <c r="ACJ22" s="101"/>
      <c r="ACK22" s="101"/>
      <c r="ACL22" s="101"/>
      <c r="ACM22" s="101"/>
      <c r="ACN22" s="101"/>
      <c r="ACO22" s="101"/>
      <c r="ACP22" s="101"/>
      <c r="ACQ22" s="101"/>
      <c r="ACR22" s="101"/>
      <c r="ACS22" s="101"/>
      <c r="ACT22" s="101"/>
      <c r="ACU22" s="101"/>
      <c r="ACV22" s="101"/>
      <c r="ACW22" s="101"/>
      <c r="ACX22" s="101"/>
      <c r="ACY22" s="101"/>
      <c r="ACZ22" s="101"/>
      <c r="ADA22" s="101"/>
      <c r="ADB22" s="101"/>
      <c r="ADC22" s="101"/>
      <c r="ADD22" s="101"/>
      <c r="ADE22" s="101"/>
      <c r="ADF22" s="101"/>
      <c r="ADG22" s="101"/>
      <c r="ADH22" s="101"/>
      <c r="ADI22" s="101"/>
      <c r="ADJ22" s="101"/>
      <c r="ADK22" s="101"/>
      <c r="ADL22" s="101"/>
      <c r="ADM22" s="101"/>
      <c r="ADN22" s="101"/>
      <c r="ADO22" s="101"/>
      <c r="ADP22" s="101"/>
      <c r="ADQ22" s="101"/>
      <c r="ADR22" s="101"/>
      <c r="ADS22" s="101"/>
      <c r="ADT22" s="101"/>
      <c r="ADU22" s="101"/>
      <c r="ADV22" s="101"/>
      <c r="ADW22" s="101"/>
      <c r="ADX22" s="101"/>
      <c r="ADY22" s="101"/>
      <c r="ADZ22" s="101"/>
      <c r="AEA22" s="101"/>
      <c r="AEB22" s="101"/>
      <c r="AEC22" s="101"/>
      <c r="AED22" s="101"/>
      <c r="AEE22" s="101"/>
      <c r="AEF22" s="101"/>
      <c r="AEG22" s="101"/>
      <c r="AEH22" s="101"/>
      <c r="AEI22" s="101"/>
      <c r="AEJ22" s="101"/>
      <c r="AEK22" s="101"/>
      <c r="AEL22" s="101"/>
      <c r="AEM22" s="101"/>
      <c r="AEN22" s="101"/>
      <c r="AEO22" s="101"/>
      <c r="AEP22" s="101"/>
      <c r="AEQ22" s="101"/>
      <c r="AER22" s="101"/>
      <c r="AES22" s="101"/>
      <c r="AET22" s="101"/>
      <c r="AEU22" s="101"/>
      <c r="AEV22" s="101"/>
      <c r="AEW22" s="101"/>
      <c r="AEX22" s="101"/>
      <c r="AEY22" s="101"/>
      <c r="AEZ22" s="101"/>
      <c r="AFA22" s="101"/>
      <c r="AFB22" s="101"/>
      <c r="AFC22" s="101"/>
      <c r="AFD22" s="101"/>
      <c r="AFE22" s="101"/>
      <c r="AFF22" s="101"/>
      <c r="AFG22" s="101"/>
      <c r="AFH22" s="101"/>
      <c r="AFI22" s="101"/>
      <c r="AFJ22" s="101"/>
      <c r="AFK22" s="101"/>
      <c r="AFL22" s="101"/>
      <c r="AFM22" s="101"/>
      <c r="AFN22" s="101"/>
      <c r="AFO22" s="101"/>
      <c r="AFP22" s="101"/>
      <c r="AFQ22" s="101"/>
      <c r="AFR22" s="101"/>
      <c r="AFS22" s="101"/>
      <c r="AFT22" s="101"/>
      <c r="AFU22" s="101"/>
      <c r="AFV22" s="101"/>
      <c r="AFW22" s="101"/>
      <c r="AFX22" s="101"/>
      <c r="AFY22" s="101"/>
      <c r="AFZ22" s="101"/>
      <c r="AGA22" s="101"/>
      <c r="AGB22" s="101"/>
      <c r="AGC22" s="101"/>
      <c r="AGD22" s="101"/>
      <c r="AGE22" s="101"/>
      <c r="AGF22" s="101"/>
      <c r="AGG22" s="101"/>
      <c r="AGH22" s="101"/>
      <c r="AGI22" s="101"/>
      <c r="AGJ22" s="101"/>
      <c r="AGK22" s="101"/>
      <c r="AGL22" s="101"/>
      <c r="AGM22" s="101"/>
      <c r="AGN22" s="101"/>
      <c r="AGO22" s="101"/>
      <c r="AGP22" s="101"/>
      <c r="AGQ22" s="101"/>
      <c r="AGR22" s="101"/>
      <c r="AGS22" s="101"/>
      <c r="AGT22" s="101"/>
      <c r="AGU22" s="101"/>
      <c r="AGV22" s="101"/>
      <c r="AGW22" s="101"/>
      <c r="AGX22" s="101"/>
      <c r="AGY22" s="101"/>
      <c r="AGZ22" s="101"/>
      <c r="AHA22" s="101"/>
      <c r="AHB22" s="101"/>
      <c r="AHC22" s="101"/>
      <c r="AHD22" s="101"/>
      <c r="AHE22" s="101"/>
      <c r="AHF22" s="101"/>
      <c r="AHG22" s="101"/>
      <c r="AHH22" s="101"/>
      <c r="AHI22" s="101"/>
      <c r="AHJ22" s="101"/>
      <c r="AHK22" s="101"/>
      <c r="AHL22" s="101"/>
      <c r="AHM22" s="101"/>
      <c r="AHN22" s="101"/>
      <c r="AHO22" s="101"/>
      <c r="AHP22" s="101"/>
      <c r="AHQ22" s="101"/>
      <c r="AHR22" s="101"/>
      <c r="AHS22" s="101"/>
      <c r="AHT22" s="101"/>
      <c r="AHU22" s="101"/>
      <c r="AHV22" s="101"/>
      <c r="AHW22" s="101"/>
      <c r="AHX22" s="101"/>
      <c r="AHY22" s="101"/>
      <c r="AHZ22" s="101"/>
      <c r="AIA22" s="101"/>
      <c r="AIB22" s="101"/>
      <c r="AIC22" s="101"/>
      <c r="AID22" s="101"/>
      <c r="AIE22" s="101"/>
      <c r="AIF22" s="101"/>
      <c r="AIG22" s="101"/>
      <c r="AIH22" s="101"/>
      <c r="AII22" s="101"/>
      <c r="AIJ22" s="101"/>
      <c r="AIK22" s="101"/>
      <c r="AIL22" s="101"/>
      <c r="AIM22" s="101"/>
      <c r="AIN22" s="101"/>
      <c r="AIO22" s="101"/>
      <c r="AIP22" s="101"/>
      <c r="AIQ22" s="101"/>
      <c r="AIR22" s="101"/>
      <c r="AIS22" s="101"/>
      <c r="AIT22" s="101"/>
      <c r="AIU22" s="101"/>
      <c r="AIV22" s="101"/>
      <c r="AIW22" s="101"/>
      <c r="AIX22" s="101"/>
      <c r="AIY22" s="101"/>
      <c r="AIZ22" s="101"/>
      <c r="AJA22" s="101"/>
      <c r="AJB22" s="101"/>
      <c r="AJC22" s="101"/>
      <c r="AJD22" s="101"/>
      <c r="AJE22" s="101"/>
      <c r="AJF22" s="101"/>
      <c r="AJG22" s="101"/>
      <c r="AJH22" s="101"/>
      <c r="AJI22" s="101"/>
      <c r="AJJ22" s="101"/>
      <c r="AJK22" s="101"/>
      <c r="AJL22" s="101"/>
      <c r="AJM22" s="101"/>
      <c r="AJN22" s="101"/>
      <c r="AJO22" s="101"/>
      <c r="AJP22" s="101"/>
      <c r="AJQ22" s="101"/>
      <c r="AJR22" s="101"/>
      <c r="AJS22" s="101"/>
      <c r="AJT22" s="101"/>
      <c r="AJU22" s="101"/>
      <c r="AJV22" s="101"/>
      <c r="AJW22" s="101"/>
      <c r="AJX22" s="101"/>
      <c r="AJY22" s="101"/>
      <c r="AJZ22" s="101"/>
      <c r="AKA22" s="101"/>
      <c r="AKB22" s="101"/>
      <c r="AKC22" s="101"/>
      <c r="AKD22" s="101"/>
      <c r="AKE22" s="101"/>
      <c r="AKF22" s="101"/>
      <c r="AKG22" s="101"/>
      <c r="AKH22" s="101"/>
      <c r="AKI22" s="101"/>
      <c r="AKJ22" s="101"/>
      <c r="AKK22" s="101"/>
      <c r="AKL22" s="101"/>
      <c r="AKM22" s="101"/>
      <c r="AKN22" s="101"/>
      <c r="AKO22" s="101"/>
      <c r="AKP22" s="101"/>
      <c r="AKQ22" s="101"/>
      <c r="AKR22" s="101"/>
      <c r="AKS22" s="101"/>
      <c r="AKT22" s="101"/>
      <c r="AKU22" s="101"/>
      <c r="AKV22" s="101"/>
      <c r="AKW22" s="101"/>
      <c r="AKX22" s="101"/>
      <c r="AKY22" s="101"/>
      <c r="AKZ22" s="101"/>
      <c r="ALA22" s="101"/>
      <c r="ALB22" s="101"/>
      <c r="ALC22" s="101"/>
      <c r="ALD22" s="101"/>
      <c r="ALE22" s="101"/>
      <c r="ALF22" s="101"/>
      <c r="ALG22" s="101"/>
      <c r="ALH22" s="101"/>
      <c r="ALI22" s="101"/>
      <c r="ALJ22" s="101"/>
      <c r="ALK22" s="101"/>
      <c r="ALL22" s="101"/>
      <c r="ALM22" s="101"/>
      <c r="ALN22" s="101"/>
      <c r="ALO22" s="101"/>
      <c r="ALP22" s="101"/>
      <c r="ALQ22" s="101"/>
      <c r="ALR22" s="101"/>
      <c r="ALS22" s="101"/>
      <c r="ALT22" s="101"/>
      <c r="ALU22" s="101"/>
      <c r="ALV22" s="101"/>
      <c r="ALW22" s="101"/>
      <c r="ALX22" s="101"/>
      <c r="ALY22" s="101"/>
      <c r="ALZ22" s="101"/>
      <c r="AMA22" s="101"/>
      <c r="AMB22" s="101"/>
      <c r="AMC22" s="101"/>
      <c r="AMD22" s="101"/>
      <c r="AME22" s="101"/>
      <c r="AMF22" s="101"/>
      <c r="AMG22" s="101"/>
      <c r="AMH22" s="101"/>
      <c r="AMI22" s="101"/>
      <c r="AMJ22" s="101"/>
      <c r="AMK22" s="101"/>
      <c r="AML22" s="101"/>
      <c r="AMM22" s="101"/>
      <c r="AMN22" s="101"/>
      <c r="AMO22" s="101"/>
      <c r="AMP22" s="101"/>
      <c r="AMQ22" s="101"/>
      <c r="AMR22" s="101"/>
      <c r="AMS22" s="101"/>
      <c r="AMT22" s="101"/>
      <c r="AMU22" s="101"/>
      <c r="AMV22" s="101"/>
      <c r="AMW22" s="101"/>
      <c r="AMX22" s="101"/>
      <c r="AMY22" s="101"/>
      <c r="AMZ22" s="101"/>
      <c r="ANA22" s="101"/>
      <c r="ANB22" s="101"/>
      <c r="ANC22" s="101"/>
      <c r="AND22" s="101"/>
      <c r="ANE22" s="101"/>
      <c r="ANF22" s="101"/>
      <c r="ANG22" s="101"/>
      <c r="ANH22" s="101"/>
      <c r="ANI22" s="101"/>
      <c r="ANJ22" s="101"/>
      <c r="ANK22" s="101"/>
      <c r="ANL22" s="101"/>
      <c r="ANM22" s="101"/>
      <c r="ANN22" s="101"/>
      <c r="ANO22" s="101"/>
      <c r="ANP22" s="101"/>
      <c r="ANQ22" s="101"/>
      <c r="ANR22" s="101"/>
      <c r="ANS22" s="101"/>
      <c r="ANT22" s="101"/>
      <c r="ANU22" s="101"/>
      <c r="ANV22" s="101"/>
      <c r="ANW22" s="101"/>
      <c r="ANX22" s="101"/>
      <c r="ANY22" s="101"/>
      <c r="ANZ22" s="101"/>
      <c r="AOA22" s="101"/>
      <c r="AOB22" s="101"/>
      <c r="AOC22" s="101"/>
      <c r="AOD22" s="101"/>
      <c r="AOE22" s="101"/>
      <c r="AOF22" s="101"/>
      <c r="AOG22" s="101"/>
      <c r="AOH22" s="101"/>
      <c r="AOI22" s="101"/>
      <c r="AOJ22" s="101"/>
      <c r="AOK22" s="101"/>
      <c r="AOL22" s="101"/>
      <c r="AOM22" s="101"/>
      <c r="AON22" s="101"/>
      <c r="AOO22" s="101"/>
      <c r="AOP22" s="101"/>
      <c r="AOQ22" s="101"/>
      <c r="AOR22" s="101"/>
      <c r="AOS22" s="101"/>
      <c r="AOT22" s="101"/>
      <c r="AOU22" s="101"/>
      <c r="AOV22" s="101"/>
      <c r="AOW22" s="101"/>
      <c r="AOX22" s="101"/>
      <c r="AOY22" s="101"/>
      <c r="AOZ22" s="101"/>
      <c r="APA22" s="101"/>
      <c r="APB22" s="101"/>
      <c r="APC22" s="101"/>
      <c r="APD22" s="101"/>
      <c r="APE22" s="101"/>
      <c r="APF22" s="101"/>
      <c r="APG22" s="101"/>
      <c r="APH22" s="101"/>
      <c r="API22" s="101"/>
      <c r="APJ22" s="101"/>
      <c r="APK22" s="101"/>
      <c r="APL22" s="101"/>
      <c r="APM22" s="101"/>
      <c r="APN22" s="101"/>
      <c r="APO22" s="101"/>
      <c r="APP22" s="101"/>
      <c r="APQ22" s="101"/>
      <c r="APR22" s="101"/>
      <c r="APS22" s="101"/>
      <c r="APT22" s="101"/>
      <c r="APU22" s="101"/>
      <c r="APV22" s="101"/>
      <c r="APW22" s="101"/>
      <c r="APX22" s="101"/>
      <c r="APY22" s="101"/>
      <c r="APZ22" s="101"/>
      <c r="AQA22" s="101"/>
      <c r="AQB22" s="101"/>
      <c r="AQC22" s="101"/>
      <c r="AQD22" s="101"/>
      <c r="AQE22" s="101"/>
      <c r="AQF22" s="101"/>
      <c r="AQG22" s="101"/>
      <c r="AQH22" s="101"/>
      <c r="AQI22" s="101"/>
      <c r="AQJ22" s="101"/>
      <c r="AQK22" s="101"/>
      <c r="AQL22" s="101"/>
      <c r="AQM22" s="101"/>
      <c r="AQN22" s="101"/>
      <c r="AQO22" s="101"/>
      <c r="AQP22" s="101"/>
      <c r="AQQ22" s="101"/>
      <c r="AQR22" s="101"/>
      <c r="AQS22" s="101"/>
      <c r="AQT22" s="101"/>
      <c r="AQU22" s="101"/>
      <c r="AQV22" s="101"/>
      <c r="AQW22" s="101"/>
      <c r="AQX22" s="101"/>
      <c r="AQY22" s="101"/>
      <c r="AQZ22" s="101"/>
      <c r="ARA22" s="101"/>
      <c r="ARB22" s="101"/>
      <c r="ARC22" s="101"/>
      <c r="ARD22" s="101"/>
      <c r="ARE22" s="101"/>
      <c r="ARF22" s="101"/>
      <c r="ARG22" s="101"/>
      <c r="ARH22" s="101"/>
      <c r="ARI22" s="101"/>
      <c r="ARJ22" s="101"/>
      <c r="ARK22" s="101"/>
      <c r="ARL22" s="101"/>
      <c r="ARM22" s="101"/>
      <c r="ARN22" s="101"/>
      <c r="ARO22" s="101"/>
      <c r="ARP22" s="101"/>
      <c r="ARQ22" s="101"/>
      <c r="ARR22" s="101"/>
      <c r="ARS22" s="101"/>
      <c r="ART22" s="101"/>
      <c r="ARU22" s="101"/>
      <c r="ARV22" s="101"/>
      <c r="ARW22" s="101"/>
      <c r="ARX22" s="101"/>
      <c r="ARY22" s="101"/>
      <c r="ARZ22" s="101"/>
      <c r="ASA22" s="101"/>
      <c r="ASB22" s="101"/>
      <c r="ASC22" s="101"/>
      <c r="ASD22" s="101"/>
      <c r="ASE22" s="101"/>
      <c r="ASF22" s="101"/>
      <c r="ASG22" s="101"/>
      <c r="ASH22" s="101"/>
      <c r="ASI22" s="101"/>
      <c r="ASJ22" s="101"/>
      <c r="ASK22" s="101"/>
      <c r="ASL22" s="101"/>
      <c r="ASM22" s="101"/>
      <c r="ASN22" s="101"/>
      <c r="ASO22" s="101"/>
      <c r="ASP22" s="101"/>
      <c r="ASQ22" s="101"/>
      <c r="ASR22" s="101"/>
      <c r="ASS22" s="101"/>
      <c r="AST22" s="101"/>
      <c r="ASU22" s="101"/>
      <c r="ASV22" s="101"/>
      <c r="ASW22" s="101"/>
      <c r="ASX22" s="101"/>
      <c r="ASY22" s="101"/>
      <c r="ASZ22" s="101"/>
      <c r="ATA22" s="101"/>
      <c r="ATB22" s="101"/>
      <c r="ATC22" s="101"/>
      <c r="ATD22" s="101"/>
      <c r="ATE22" s="101"/>
      <c r="ATF22" s="101"/>
      <c r="ATG22" s="101"/>
      <c r="ATH22" s="101"/>
      <c r="ATI22" s="101"/>
      <c r="ATJ22" s="101"/>
      <c r="ATK22" s="101"/>
      <c r="ATL22" s="101"/>
      <c r="ATM22" s="101"/>
      <c r="ATN22" s="101"/>
      <c r="ATO22" s="101"/>
      <c r="ATP22" s="101"/>
      <c r="ATQ22" s="101"/>
      <c r="ATR22" s="101"/>
      <c r="ATS22" s="101"/>
      <c r="ATT22" s="101"/>
      <c r="ATU22" s="101"/>
      <c r="ATV22" s="101"/>
      <c r="ATW22" s="101"/>
      <c r="ATX22" s="101"/>
      <c r="ATY22" s="101"/>
      <c r="ATZ22" s="101"/>
      <c r="AUA22" s="101"/>
      <c r="AUB22" s="101"/>
      <c r="AUC22" s="101"/>
      <c r="AUD22" s="101"/>
      <c r="AUE22" s="101"/>
      <c r="AUF22" s="101"/>
      <c r="AUG22" s="101"/>
      <c r="AUH22" s="101"/>
      <c r="AUI22" s="101"/>
      <c r="AUJ22" s="101"/>
      <c r="AUK22" s="101"/>
      <c r="AUL22" s="101"/>
      <c r="AUM22" s="101"/>
      <c r="AUN22" s="101"/>
      <c r="AUO22" s="101"/>
      <c r="AUP22" s="101"/>
      <c r="AUQ22" s="101"/>
      <c r="AUR22" s="101"/>
      <c r="AUS22" s="101"/>
      <c r="AUT22" s="101"/>
      <c r="AUU22" s="101"/>
      <c r="AUV22" s="101"/>
      <c r="AUW22" s="101"/>
      <c r="AUX22" s="101"/>
      <c r="AUY22" s="101"/>
      <c r="AUZ22" s="101"/>
      <c r="AVA22" s="101"/>
      <c r="AVB22" s="101"/>
      <c r="AVC22" s="101"/>
      <c r="AVD22" s="101"/>
      <c r="AVE22" s="101"/>
      <c r="AVF22" s="101"/>
      <c r="AVG22" s="101"/>
      <c r="AVH22" s="101"/>
      <c r="AVI22" s="101"/>
      <c r="AVJ22" s="101"/>
      <c r="AVK22" s="101"/>
      <c r="AVL22" s="101"/>
      <c r="AVM22" s="101"/>
      <c r="AVN22" s="101"/>
      <c r="AVO22" s="101"/>
      <c r="AVP22" s="101"/>
      <c r="AVQ22" s="101"/>
      <c r="AVR22" s="101"/>
      <c r="AVS22" s="101"/>
      <c r="AVT22" s="101"/>
      <c r="AVU22" s="101"/>
      <c r="AVV22" s="101"/>
      <c r="AVW22" s="101"/>
      <c r="AVX22" s="101"/>
      <c r="AVY22" s="101"/>
      <c r="AVZ22" s="101"/>
      <c r="AWA22" s="101"/>
      <c r="AWB22" s="101"/>
      <c r="AWC22" s="101"/>
      <c r="AWD22" s="101"/>
      <c r="AWE22" s="101"/>
      <c r="AWF22" s="101"/>
      <c r="AWG22" s="101"/>
      <c r="AWH22" s="101"/>
      <c r="AWI22" s="101"/>
      <c r="AWJ22" s="101"/>
      <c r="AWK22" s="101"/>
      <c r="AWL22" s="101"/>
      <c r="AWM22" s="101"/>
      <c r="AWN22" s="101"/>
      <c r="AWO22" s="101"/>
      <c r="AWP22" s="101"/>
      <c r="AWQ22" s="101"/>
      <c r="AWR22" s="101"/>
      <c r="AWS22" s="101"/>
      <c r="AWT22" s="101"/>
      <c r="AWU22" s="101"/>
      <c r="AWV22" s="101"/>
      <c r="AWW22" s="101"/>
      <c r="AWX22" s="101"/>
      <c r="AWY22" s="101"/>
      <c r="AWZ22" s="101"/>
      <c r="AXA22" s="101"/>
      <c r="AXB22" s="101"/>
      <c r="AXC22" s="101"/>
      <c r="AXD22" s="101"/>
      <c r="AXE22" s="101"/>
      <c r="AXF22" s="101"/>
      <c r="AXG22" s="101"/>
      <c r="AXH22" s="101"/>
      <c r="AXI22" s="101"/>
      <c r="AXJ22" s="101"/>
      <c r="AXK22" s="101"/>
      <c r="AXL22" s="101"/>
      <c r="AXM22" s="101"/>
      <c r="AXN22" s="101"/>
      <c r="AXO22" s="101"/>
      <c r="AXP22" s="101"/>
      <c r="AXQ22" s="101"/>
      <c r="AXR22" s="101"/>
      <c r="AXS22" s="101"/>
      <c r="AXT22" s="101"/>
      <c r="AXU22" s="101"/>
      <c r="AXV22" s="101"/>
      <c r="AXW22" s="101"/>
      <c r="AXX22" s="101"/>
      <c r="AXY22" s="101"/>
      <c r="AXZ22" s="101"/>
      <c r="AYA22" s="101"/>
      <c r="AYB22" s="101"/>
      <c r="AYC22" s="101"/>
      <c r="AYD22" s="101"/>
      <c r="AYE22" s="101"/>
      <c r="AYF22" s="101"/>
      <c r="AYG22" s="101"/>
      <c r="AYH22" s="101"/>
      <c r="AYI22" s="101"/>
      <c r="AYJ22" s="101"/>
      <c r="AYK22" s="101"/>
      <c r="AYL22" s="101"/>
      <c r="AYM22" s="101"/>
      <c r="AYN22" s="101"/>
      <c r="AYO22" s="101"/>
      <c r="AYP22" s="101"/>
      <c r="AYQ22" s="101"/>
      <c r="AYR22" s="101"/>
      <c r="AYS22" s="101"/>
      <c r="AYT22" s="101"/>
      <c r="AYU22" s="101"/>
      <c r="AYV22" s="101"/>
      <c r="AYW22" s="101"/>
      <c r="AYX22" s="101"/>
      <c r="AYY22" s="101"/>
      <c r="AYZ22" s="101"/>
      <c r="AZA22" s="101"/>
      <c r="AZB22" s="101"/>
      <c r="AZC22" s="101"/>
      <c r="AZD22" s="101"/>
      <c r="AZE22" s="101"/>
      <c r="AZF22" s="101"/>
      <c r="AZG22" s="101"/>
      <c r="AZH22" s="101"/>
      <c r="AZI22" s="101"/>
      <c r="AZJ22" s="101"/>
      <c r="AZK22" s="101"/>
      <c r="AZL22" s="101"/>
      <c r="AZM22" s="101"/>
      <c r="AZN22" s="101"/>
      <c r="AZO22" s="101"/>
      <c r="AZP22" s="101"/>
      <c r="AZQ22" s="101"/>
      <c r="AZR22" s="101"/>
      <c r="AZS22" s="101"/>
      <c r="AZT22" s="101"/>
      <c r="AZU22" s="101"/>
      <c r="AZV22" s="101"/>
      <c r="AZW22" s="101"/>
      <c r="AZX22" s="101"/>
      <c r="AZY22" s="101"/>
      <c r="AZZ22" s="101"/>
      <c r="BAA22" s="101"/>
      <c r="BAB22" s="101"/>
      <c r="BAC22" s="101"/>
      <c r="BAD22" s="101"/>
      <c r="BAE22" s="101"/>
      <c r="BAF22" s="101"/>
      <c r="BAG22" s="101"/>
      <c r="BAH22" s="101"/>
      <c r="BAI22" s="101"/>
      <c r="BAJ22" s="101"/>
      <c r="BAK22" s="101"/>
      <c r="BAL22" s="101"/>
      <c r="BAM22" s="101"/>
      <c r="BAN22" s="101"/>
      <c r="BAO22" s="101"/>
      <c r="BAP22" s="101"/>
      <c r="BAQ22" s="101"/>
      <c r="BAR22" s="101"/>
      <c r="BAS22" s="101"/>
      <c r="BAT22" s="101"/>
      <c r="BAU22" s="101"/>
      <c r="BAV22" s="101"/>
      <c r="BAW22" s="101"/>
      <c r="BAX22" s="101"/>
      <c r="BAY22" s="101"/>
      <c r="BAZ22" s="101"/>
      <c r="BBA22" s="101"/>
      <c r="BBB22" s="101"/>
      <c r="BBC22" s="101"/>
      <c r="BBD22" s="101"/>
      <c r="BBE22" s="101"/>
      <c r="BBF22" s="101"/>
      <c r="BBG22" s="101"/>
      <c r="BBH22" s="101"/>
      <c r="BBI22" s="101"/>
      <c r="BBJ22" s="101"/>
      <c r="BBK22" s="101"/>
      <c r="BBL22" s="101"/>
      <c r="BBM22" s="101"/>
      <c r="BBN22" s="101"/>
      <c r="BBO22" s="101"/>
      <c r="BBP22" s="101"/>
      <c r="BBQ22" s="101"/>
      <c r="BBR22" s="101"/>
      <c r="BBS22" s="101"/>
      <c r="BBT22" s="101"/>
      <c r="BBU22" s="101"/>
      <c r="BBV22" s="101"/>
      <c r="BBW22" s="101"/>
      <c r="BBX22" s="101"/>
      <c r="BBY22" s="101"/>
      <c r="BBZ22" s="101"/>
      <c r="BCA22" s="101"/>
      <c r="BCB22" s="101"/>
      <c r="BCC22" s="101"/>
      <c r="BCD22" s="101"/>
      <c r="BCE22" s="101"/>
      <c r="BCF22" s="101"/>
      <c r="BCG22" s="101"/>
      <c r="BCH22" s="101"/>
      <c r="BCI22" s="101"/>
      <c r="BCJ22" s="101"/>
      <c r="BCK22" s="101"/>
      <c r="BCL22" s="101"/>
      <c r="BCM22" s="101"/>
      <c r="BCN22" s="101"/>
      <c r="BCO22" s="101"/>
      <c r="BCP22" s="101"/>
      <c r="BCQ22" s="101"/>
      <c r="BCR22" s="101"/>
      <c r="BCS22" s="101"/>
      <c r="BCT22" s="101"/>
      <c r="BCU22" s="101"/>
      <c r="BCV22" s="101"/>
      <c r="BCW22" s="101"/>
      <c r="BCX22" s="101"/>
      <c r="BCY22" s="101"/>
      <c r="BCZ22" s="101"/>
      <c r="BDA22" s="101"/>
      <c r="BDB22" s="101"/>
      <c r="BDC22" s="101"/>
      <c r="BDD22" s="101"/>
      <c r="BDE22" s="101"/>
      <c r="BDF22" s="101"/>
      <c r="BDG22" s="101"/>
      <c r="BDH22" s="101"/>
      <c r="BDI22" s="101"/>
      <c r="BDJ22" s="101"/>
      <c r="BDK22" s="101"/>
      <c r="BDL22" s="101"/>
      <c r="BDM22" s="101"/>
      <c r="BDN22" s="101"/>
      <c r="BDO22" s="101"/>
      <c r="BDP22" s="101"/>
      <c r="BDQ22" s="101"/>
      <c r="BDR22" s="101"/>
      <c r="BDS22" s="101"/>
      <c r="BDT22" s="101"/>
      <c r="BDU22" s="101"/>
      <c r="BDV22" s="101"/>
      <c r="BDW22" s="101"/>
      <c r="BDX22" s="101"/>
      <c r="BDY22" s="101"/>
      <c r="BDZ22" s="101"/>
      <c r="BEA22" s="101"/>
      <c r="BEB22" s="101"/>
      <c r="BEC22" s="101"/>
      <c r="BED22" s="101"/>
      <c r="BEE22" s="101"/>
      <c r="BEF22" s="101"/>
      <c r="BEG22" s="101"/>
      <c r="BEH22" s="101"/>
      <c r="BEI22" s="101"/>
      <c r="BEJ22" s="101"/>
      <c r="BEK22" s="101"/>
      <c r="BEL22" s="101"/>
      <c r="BEM22" s="101"/>
      <c r="BEN22" s="101"/>
      <c r="BEO22" s="101"/>
      <c r="BEP22" s="101"/>
      <c r="BEQ22" s="101"/>
      <c r="BER22" s="101"/>
      <c r="BES22" s="101"/>
      <c r="BET22" s="101"/>
      <c r="BEU22" s="101"/>
      <c r="BEV22" s="101"/>
      <c r="BEW22" s="101"/>
      <c r="BEX22" s="101"/>
      <c r="BEY22" s="101"/>
      <c r="BEZ22" s="101"/>
      <c r="BFA22" s="101"/>
      <c r="BFB22" s="101"/>
      <c r="BFC22" s="101"/>
      <c r="BFD22" s="101"/>
      <c r="BFE22" s="101"/>
      <c r="BFF22" s="101"/>
      <c r="BFG22" s="101"/>
      <c r="BFH22" s="101"/>
      <c r="BFI22" s="101"/>
      <c r="BFJ22" s="101"/>
      <c r="BFK22" s="101"/>
      <c r="BFL22" s="101"/>
      <c r="BFM22" s="101"/>
      <c r="BFN22" s="101"/>
      <c r="BFO22" s="101"/>
      <c r="BFP22" s="101"/>
      <c r="BFQ22" s="101"/>
      <c r="BFR22" s="101"/>
      <c r="BFS22" s="101"/>
      <c r="BFT22" s="101"/>
      <c r="BFU22" s="101"/>
      <c r="BFV22" s="101"/>
      <c r="BFW22" s="101"/>
      <c r="BFX22" s="101"/>
      <c r="BFY22" s="101"/>
      <c r="BFZ22" s="101"/>
      <c r="BGA22" s="101"/>
      <c r="BGB22" s="101"/>
      <c r="BGC22" s="101"/>
      <c r="BGD22" s="101"/>
      <c r="BGE22" s="101"/>
      <c r="BGF22" s="101"/>
      <c r="BGG22" s="101"/>
      <c r="BGH22" s="101"/>
      <c r="BGI22" s="101"/>
      <c r="BGJ22" s="101"/>
      <c r="BGK22" s="101"/>
      <c r="BGL22" s="101"/>
      <c r="BGM22" s="101"/>
      <c r="BGN22" s="101"/>
      <c r="BGO22" s="101"/>
      <c r="BGP22" s="101"/>
      <c r="BGQ22" s="101"/>
      <c r="BGR22" s="101"/>
      <c r="BGS22" s="101"/>
      <c r="BGT22" s="101"/>
      <c r="BGU22" s="101"/>
      <c r="BGV22" s="101"/>
      <c r="BGW22" s="101"/>
      <c r="BGX22" s="101"/>
      <c r="BGY22" s="101"/>
      <c r="BGZ22" s="101"/>
      <c r="BHA22" s="101"/>
      <c r="BHB22" s="101"/>
      <c r="BHC22" s="101"/>
      <c r="BHD22" s="101"/>
      <c r="BHE22" s="101"/>
      <c r="BHF22" s="101"/>
      <c r="BHG22" s="101"/>
      <c r="BHH22" s="101"/>
      <c r="BHI22" s="101"/>
      <c r="BHJ22" s="101"/>
      <c r="BHK22" s="101"/>
      <c r="BHL22" s="101"/>
      <c r="BHM22" s="101"/>
      <c r="BHN22" s="101"/>
      <c r="BHO22" s="101"/>
      <c r="BHP22" s="101"/>
      <c r="BHQ22" s="101"/>
      <c r="BHR22" s="101"/>
      <c r="BHS22" s="101"/>
      <c r="BHT22" s="101"/>
      <c r="BHU22" s="101"/>
      <c r="BHV22" s="101"/>
      <c r="BHW22" s="101"/>
      <c r="BHX22" s="101"/>
      <c r="BHY22" s="101"/>
      <c r="BHZ22" s="101"/>
      <c r="BIA22" s="101"/>
      <c r="BIB22" s="101"/>
      <c r="BIC22" s="101"/>
      <c r="BID22" s="101"/>
      <c r="BIE22" s="101"/>
      <c r="BIF22" s="101"/>
      <c r="BIG22" s="101"/>
      <c r="BIH22" s="101"/>
      <c r="BII22" s="101"/>
      <c r="BIJ22" s="101"/>
      <c r="BIK22" s="101"/>
      <c r="BIL22" s="101"/>
      <c r="BIM22" s="101"/>
      <c r="BIN22" s="101"/>
      <c r="BIO22" s="101"/>
      <c r="BIP22" s="101"/>
      <c r="BIQ22" s="101"/>
      <c r="BIR22" s="101"/>
      <c r="BIS22" s="101"/>
      <c r="BIT22" s="101"/>
      <c r="BIU22" s="101"/>
      <c r="BIV22" s="101"/>
      <c r="BIW22" s="101"/>
      <c r="BIX22" s="101"/>
      <c r="BIY22" s="101"/>
      <c r="BIZ22" s="101"/>
      <c r="BJA22" s="101"/>
      <c r="BJB22" s="101"/>
      <c r="BJC22" s="101"/>
      <c r="BJD22" s="101"/>
      <c r="BJE22" s="101"/>
      <c r="BJF22" s="101"/>
      <c r="BJG22" s="101"/>
      <c r="BJH22" s="101"/>
      <c r="BJI22" s="101"/>
      <c r="BJJ22" s="101"/>
      <c r="BJK22" s="101"/>
      <c r="BJL22" s="101"/>
      <c r="BJM22" s="101"/>
      <c r="BJN22" s="101"/>
      <c r="BJO22" s="101"/>
      <c r="BJP22" s="101"/>
      <c r="BJQ22" s="101"/>
      <c r="BJR22" s="101"/>
      <c r="BJS22" s="101"/>
      <c r="BJT22" s="101"/>
      <c r="BJU22" s="101"/>
      <c r="BJV22" s="101"/>
      <c r="BJW22" s="101"/>
      <c r="BJX22" s="101"/>
      <c r="BJY22" s="101"/>
      <c r="BJZ22" s="101"/>
      <c r="BKA22" s="101"/>
      <c r="BKB22" s="101"/>
      <c r="BKC22" s="101"/>
      <c r="BKD22" s="101"/>
      <c r="BKE22" s="101"/>
      <c r="BKF22" s="101"/>
      <c r="BKG22" s="101"/>
      <c r="BKH22" s="101"/>
      <c r="BKI22" s="101"/>
      <c r="BKJ22" s="101"/>
      <c r="BKK22" s="101"/>
      <c r="BKL22" s="101"/>
      <c r="BKM22" s="101"/>
      <c r="BKN22" s="101"/>
      <c r="BKO22" s="101"/>
      <c r="BKP22" s="101"/>
      <c r="BKQ22" s="101"/>
      <c r="BKR22" s="101"/>
      <c r="BKS22" s="101"/>
      <c r="BKT22" s="101"/>
      <c r="BKU22" s="101"/>
      <c r="BKV22" s="101"/>
      <c r="BKW22" s="101"/>
      <c r="BKX22" s="101"/>
      <c r="BKY22" s="101"/>
      <c r="BKZ22" s="101"/>
      <c r="BLA22" s="101"/>
      <c r="BLB22" s="101"/>
      <c r="BLC22" s="101"/>
      <c r="BLD22" s="101"/>
      <c r="BLE22" s="101"/>
      <c r="BLF22" s="101"/>
      <c r="BLG22" s="101"/>
      <c r="BLH22" s="101"/>
      <c r="BLI22" s="101"/>
      <c r="BLJ22" s="101"/>
      <c r="BLK22" s="101"/>
      <c r="BLL22" s="101"/>
      <c r="BLM22" s="101"/>
      <c r="BLN22" s="101"/>
      <c r="BLO22" s="101"/>
      <c r="BLP22" s="101"/>
      <c r="BLQ22" s="101"/>
      <c r="BLR22" s="101"/>
      <c r="BLS22" s="101"/>
      <c r="BLT22" s="101"/>
      <c r="BLU22" s="101"/>
      <c r="BLV22" s="101"/>
      <c r="BLW22" s="101"/>
      <c r="BLX22" s="101"/>
      <c r="BLY22" s="101"/>
      <c r="BLZ22" s="101"/>
      <c r="BMA22" s="101"/>
      <c r="BMB22" s="101"/>
      <c r="BMC22" s="101"/>
      <c r="BMD22" s="101"/>
      <c r="BME22" s="101"/>
      <c r="BMF22" s="101"/>
      <c r="BMG22" s="101"/>
      <c r="BMH22" s="101"/>
      <c r="BMI22" s="101"/>
      <c r="BMJ22" s="101"/>
      <c r="BMK22" s="101"/>
      <c r="BML22" s="101"/>
      <c r="BMM22" s="101"/>
      <c r="BMN22" s="101"/>
      <c r="BMO22" s="101"/>
      <c r="BMP22" s="101"/>
      <c r="BMQ22" s="101"/>
      <c r="BMR22" s="101"/>
      <c r="BMS22" s="101"/>
      <c r="BMT22" s="101"/>
      <c r="BMU22" s="101"/>
      <c r="BMV22" s="101"/>
      <c r="BMW22" s="101"/>
      <c r="BMX22" s="101"/>
      <c r="BMY22" s="101"/>
      <c r="BMZ22" s="101"/>
      <c r="BNA22" s="101"/>
      <c r="BNB22" s="101"/>
      <c r="BNC22" s="101"/>
      <c r="BND22" s="101"/>
      <c r="BNE22" s="101"/>
      <c r="BNF22" s="101"/>
      <c r="BNG22" s="101"/>
      <c r="BNH22" s="101"/>
      <c r="BNI22" s="101"/>
      <c r="BNJ22" s="101"/>
      <c r="BNK22" s="101"/>
      <c r="BNL22" s="101"/>
      <c r="BNM22" s="101"/>
      <c r="BNN22" s="101"/>
      <c r="BNO22" s="101"/>
      <c r="BNP22" s="101"/>
      <c r="BNQ22" s="101"/>
      <c r="BNR22" s="101"/>
      <c r="BNS22" s="101"/>
      <c r="BNT22" s="101"/>
      <c r="BNU22" s="101"/>
      <c r="BNV22" s="101"/>
      <c r="BNW22" s="101"/>
      <c r="BNX22" s="101"/>
      <c r="BNY22" s="101"/>
      <c r="BNZ22" s="101"/>
      <c r="BOA22" s="101"/>
      <c r="BOB22" s="101"/>
      <c r="BOC22" s="101"/>
      <c r="BOD22" s="101"/>
      <c r="BOE22" s="101"/>
      <c r="BOF22" s="101"/>
      <c r="BOG22" s="101"/>
      <c r="BOH22" s="101"/>
      <c r="BOI22" s="101"/>
      <c r="BOJ22" s="101"/>
      <c r="BOK22" s="101"/>
      <c r="BOL22" s="101"/>
      <c r="BOM22" s="101"/>
      <c r="BON22" s="101"/>
      <c r="BOO22" s="101"/>
      <c r="BOP22" s="101"/>
      <c r="BOQ22" s="101"/>
      <c r="BOR22" s="101"/>
      <c r="BOS22" s="101"/>
      <c r="BOT22" s="101"/>
      <c r="BOU22" s="101"/>
      <c r="BOV22" s="101"/>
      <c r="BOW22" s="101"/>
      <c r="BOX22" s="101"/>
      <c r="BOY22" s="101"/>
      <c r="BOZ22" s="101"/>
      <c r="BPA22" s="101"/>
      <c r="BPB22" s="101"/>
      <c r="BPC22" s="161"/>
    </row>
    <row r="23" s="102" customFormat="1" ht="75" customHeight="1" outlineLevel="1" spans="1:1024 1025:1771">
      <c r="A23" s="150" t="s">
        <v>84</v>
      </c>
      <c r="B23" s="151" t="s">
        <v>1063</v>
      </c>
      <c r="C23" s="158" t="s">
        <v>1064</v>
      </c>
      <c r="D23" s="153" t="s">
        <v>1044</v>
      </c>
      <c r="E23" s="154"/>
      <c r="F23" s="159"/>
      <c r="G23" s="154"/>
      <c r="H23" s="155">
        <v>46137</v>
      </c>
      <c r="I23" s="156" t="s">
        <v>7</v>
      </c>
      <c r="J23" s="153"/>
      <c r="K23" s="5"/>
      <c r="L23" s="5" t="s">
        <v>1041</v>
      </c>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1"/>
      <c r="DO23" s="101"/>
      <c r="DP23" s="101"/>
      <c r="DQ23" s="101"/>
      <c r="DR23" s="101"/>
      <c r="DS23" s="101"/>
      <c r="DT23" s="101"/>
      <c r="DU23" s="101"/>
      <c r="DV23" s="101"/>
      <c r="DW23" s="101"/>
      <c r="DX23" s="101"/>
      <c r="DY23" s="101"/>
      <c r="DZ23" s="101"/>
      <c r="EA23" s="101"/>
      <c r="EB23" s="101"/>
      <c r="EC23" s="101"/>
      <c r="ED23" s="101"/>
      <c r="EE23" s="101"/>
      <c r="EF23" s="101"/>
      <c r="EG23" s="101"/>
      <c r="EH23" s="101"/>
      <c r="EI23" s="101"/>
      <c r="EJ23" s="101"/>
      <c r="EK23" s="101"/>
      <c r="EL23" s="101"/>
      <c r="EM23" s="101"/>
      <c r="EN23" s="101"/>
      <c r="EO23" s="101"/>
      <c r="EP23" s="101"/>
      <c r="EQ23" s="101"/>
      <c r="ER23" s="101"/>
      <c r="ES23" s="101"/>
      <c r="ET23" s="101"/>
      <c r="EU23" s="101"/>
      <c r="EV23" s="101"/>
      <c r="EW23" s="101"/>
      <c r="EX23" s="101"/>
      <c r="EY23" s="101"/>
      <c r="EZ23" s="101"/>
      <c r="FA23" s="101"/>
      <c r="FB23" s="101"/>
      <c r="FC23" s="101"/>
      <c r="FD23" s="101"/>
      <c r="FE23" s="101"/>
      <c r="FF23" s="101"/>
      <c r="FG23" s="101"/>
      <c r="FH23" s="101"/>
      <c r="FI23" s="101"/>
      <c r="FJ23" s="101"/>
      <c r="FK23" s="101"/>
      <c r="FL23" s="101"/>
      <c r="FM23" s="101"/>
      <c r="FN23" s="101"/>
      <c r="FO23" s="101"/>
      <c r="FP23" s="101"/>
      <c r="FQ23" s="101"/>
      <c r="FR23" s="101"/>
      <c r="FS23" s="101"/>
      <c r="FT23" s="101"/>
      <c r="FU23" s="101"/>
      <c r="FV23" s="101"/>
      <c r="FW23" s="101"/>
      <c r="FX23" s="101"/>
      <c r="FY23" s="101"/>
      <c r="FZ23" s="101"/>
      <c r="GA23" s="101"/>
      <c r="GB23" s="101"/>
      <c r="GC23" s="101"/>
      <c r="GD23" s="101"/>
      <c r="GE23" s="101"/>
      <c r="GF23" s="101"/>
      <c r="GG23" s="101"/>
      <c r="GH23" s="101"/>
      <c r="GI23" s="101"/>
      <c r="GJ23" s="101"/>
      <c r="GK23" s="101"/>
      <c r="GL23" s="101"/>
      <c r="GM23" s="101"/>
      <c r="GN23" s="101"/>
      <c r="GO23" s="101"/>
      <c r="GP23" s="101"/>
      <c r="GQ23" s="101"/>
      <c r="GR23" s="101"/>
      <c r="GS23" s="101"/>
      <c r="GT23" s="101"/>
      <c r="GU23" s="101"/>
      <c r="GV23" s="101"/>
      <c r="GW23" s="101"/>
      <c r="GX23" s="101"/>
      <c r="GY23" s="101"/>
      <c r="GZ23" s="101"/>
      <c r="HA23" s="101"/>
      <c r="HB23" s="101"/>
      <c r="HC23" s="101"/>
      <c r="HD23" s="101"/>
      <c r="HE23" s="101"/>
      <c r="HF23" s="101"/>
      <c r="HG23" s="101"/>
      <c r="HH23" s="101"/>
      <c r="HI23" s="101"/>
      <c r="HJ23" s="101"/>
      <c r="HK23" s="101"/>
      <c r="HL23" s="101"/>
      <c r="HM23" s="101"/>
      <c r="HN23" s="101"/>
      <c r="HO23" s="101"/>
      <c r="HP23" s="101"/>
      <c r="HQ23" s="101"/>
      <c r="HR23" s="101"/>
      <c r="HS23" s="101"/>
      <c r="HT23" s="101"/>
      <c r="HU23" s="101"/>
      <c r="HV23" s="101"/>
      <c r="HW23" s="101"/>
      <c r="HX23" s="101"/>
      <c r="HY23" s="101"/>
      <c r="HZ23" s="101"/>
      <c r="IA23" s="101"/>
      <c r="IB23" s="101"/>
      <c r="IC23" s="101"/>
      <c r="ID23" s="101"/>
      <c r="IE23" s="101"/>
      <c r="IF23" s="101"/>
      <c r="IG23" s="101"/>
      <c r="IH23" s="101"/>
      <c r="II23" s="101"/>
      <c r="IJ23" s="101"/>
      <c r="IK23" s="101"/>
      <c r="IL23" s="101"/>
      <c r="IM23" s="101"/>
      <c r="IN23" s="101"/>
      <c r="IO23" s="101"/>
      <c r="IP23" s="101"/>
      <c r="IQ23" s="101"/>
      <c r="IR23" s="101"/>
      <c r="IS23" s="101"/>
      <c r="IT23" s="101"/>
      <c r="IU23" s="101"/>
      <c r="IV23" s="101"/>
      <c r="IW23" s="101"/>
      <c r="IX23" s="101"/>
      <c r="IY23" s="101"/>
      <c r="IZ23" s="101"/>
      <c r="JA23" s="101"/>
      <c r="JB23" s="101"/>
      <c r="JC23" s="101"/>
      <c r="JD23" s="101"/>
      <c r="JE23" s="101"/>
      <c r="JF23" s="101"/>
      <c r="JG23" s="101"/>
      <c r="JH23" s="101"/>
      <c r="JI23" s="101"/>
      <c r="JJ23" s="101"/>
      <c r="JK23" s="101"/>
      <c r="JL23" s="101"/>
      <c r="JM23" s="101"/>
      <c r="JN23" s="101"/>
      <c r="JO23" s="101"/>
      <c r="JP23" s="101"/>
      <c r="JQ23" s="101"/>
      <c r="JR23" s="101"/>
      <c r="JS23" s="101"/>
      <c r="JT23" s="101"/>
      <c r="JU23" s="101"/>
      <c r="JV23" s="101"/>
      <c r="JW23" s="101"/>
      <c r="JX23" s="101"/>
      <c r="JY23" s="101"/>
      <c r="JZ23" s="101"/>
      <c r="KA23" s="101"/>
      <c r="KB23" s="101"/>
      <c r="KC23" s="101"/>
      <c r="KD23" s="101"/>
      <c r="KE23" s="101"/>
      <c r="KF23" s="101"/>
      <c r="KG23" s="101"/>
      <c r="KH23" s="101"/>
      <c r="KI23" s="101"/>
      <c r="KJ23" s="101"/>
      <c r="KK23" s="101"/>
      <c r="KL23" s="101"/>
      <c r="KM23" s="101"/>
      <c r="KN23" s="101"/>
      <c r="KO23" s="101"/>
      <c r="KP23" s="101"/>
      <c r="KQ23" s="101"/>
      <c r="KR23" s="101"/>
      <c r="KS23" s="101"/>
      <c r="KT23" s="101"/>
      <c r="KU23" s="101"/>
      <c r="KV23" s="101"/>
      <c r="KW23" s="101"/>
      <c r="KX23" s="101"/>
      <c r="KY23" s="101"/>
      <c r="KZ23" s="101"/>
      <c r="LA23" s="101"/>
      <c r="LB23" s="101"/>
      <c r="LC23" s="101"/>
      <c r="LD23" s="101"/>
      <c r="LE23" s="101"/>
      <c r="LF23" s="101"/>
      <c r="LG23" s="101"/>
      <c r="LH23" s="101"/>
      <c r="LI23" s="101"/>
      <c r="LJ23" s="101"/>
      <c r="LK23" s="101"/>
      <c r="LL23" s="101"/>
      <c r="LM23" s="101"/>
      <c r="LN23" s="101"/>
      <c r="LO23" s="101"/>
      <c r="LP23" s="101"/>
      <c r="LQ23" s="101"/>
      <c r="LR23" s="101"/>
      <c r="LS23" s="101"/>
      <c r="LT23" s="101"/>
      <c r="LU23" s="101"/>
      <c r="LV23" s="101"/>
      <c r="LW23" s="101"/>
      <c r="LX23" s="101"/>
      <c r="LY23" s="101"/>
      <c r="LZ23" s="101"/>
      <c r="MA23" s="101"/>
      <c r="MB23" s="101"/>
      <c r="MC23" s="101"/>
      <c r="MD23" s="101"/>
      <c r="ME23" s="101"/>
      <c r="MF23" s="101"/>
      <c r="MG23" s="101"/>
      <c r="MH23" s="101"/>
      <c r="MI23" s="101"/>
      <c r="MJ23" s="101"/>
      <c r="MK23" s="101"/>
      <c r="ML23" s="101"/>
      <c r="MM23" s="101"/>
      <c r="MN23" s="101"/>
      <c r="MO23" s="101"/>
      <c r="MP23" s="101"/>
      <c r="MQ23" s="101"/>
      <c r="MR23" s="101"/>
      <c r="MS23" s="101"/>
      <c r="MT23" s="101"/>
      <c r="MU23" s="101"/>
      <c r="MV23" s="101"/>
      <c r="MW23" s="101"/>
      <c r="MX23" s="101"/>
      <c r="MY23" s="101"/>
      <c r="MZ23" s="101"/>
      <c r="NA23" s="101"/>
      <c r="NB23" s="101"/>
      <c r="NC23" s="101"/>
      <c r="ND23" s="101"/>
      <c r="NE23" s="101"/>
      <c r="NF23" s="101"/>
      <c r="NG23" s="101"/>
      <c r="NH23" s="101"/>
      <c r="NI23" s="101"/>
      <c r="NJ23" s="101"/>
      <c r="NK23" s="101"/>
      <c r="NL23" s="101"/>
      <c r="NM23" s="101"/>
      <c r="NN23" s="101"/>
      <c r="NO23" s="101"/>
      <c r="NP23" s="101"/>
      <c r="NQ23" s="101"/>
      <c r="NR23" s="101"/>
      <c r="NS23" s="101"/>
      <c r="NT23" s="101"/>
      <c r="NU23" s="101"/>
      <c r="NV23" s="101"/>
      <c r="NW23" s="101"/>
      <c r="NX23" s="101"/>
      <c r="NY23" s="101"/>
      <c r="NZ23" s="101"/>
      <c r="OA23" s="101"/>
      <c r="OB23" s="101"/>
      <c r="OC23" s="101"/>
      <c r="OD23" s="101"/>
      <c r="OE23" s="101"/>
      <c r="OF23" s="101"/>
      <c r="OG23" s="101"/>
      <c r="OH23" s="101"/>
      <c r="OI23" s="101"/>
      <c r="OJ23" s="101"/>
      <c r="OK23" s="101"/>
      <c r="OL23" s="101"/>
      <c r="OM23" s="101"/>
      <c r="ON23" s="101"/>
      <c r="OO23" s="101"/>
      <c r="OP23" s="101"/>
      <c r="OQ23" s="101"/>
      <c r="OR23" s="101"/>
      <c r="OS23" s="101"/>
      <c r="OT23" s="101"/>
      <c r="OU23" s="101"/>
      <c r="OV23" s="101"/>
      <c r="OW23" s="101"/>
      <c r="OX23" s="101"/>
      <c r="OY23" s="101"/>
      <c r="OZ23" s="101"/>
      <c r="PA23" s="101"/>
      <c r="PB23" s="101"/>
      <c r="PC23" s="101"/>
      <c r="PD23" s="101"/>
      <c r="PE23" s="101"/>
      <c r="PF23" s="101"/>
      <c r="PG23" s="101"/>
      <c r="PH23" s="101"/>
      <c r="PI23" s="101"/>
      <c r="PJ23" s="101"/>
      <c r="PK23" s="101"/>
      <c r="PL23" s="101"/>
      <c r="PM23" s="101"/>
      <c r="PN23" s="101"/>
      <c r="PO23" s="101"/>
      <c r="PP23" s="101"/>
      <c r="PQ23" s="101"/>
      <c r="PR23" s="101"/>
      <c r="PS23" s="101"/>
      <c r="PT23" s="101"/>
      <c r="PU23" s="101"/>
      <c r="PV23" s="101"/>
      <c r="PW23" s="101"/>
      <c r="PX23" s="101"/>
      <c r="PY23" s="101"/>
      <c r="PZ23" s="101"/>
      <c r="QA23" s="101"/>
      <c r="QB23" s="101"/>
      <c r="QC23" s="101"/>
      <c r="QD23" s="101"/>
      <c r="QE23" s="101"/>
      <c r="QF23" s="101"/>
      <c r="QG23" s="101"/>
      <c r="QH23" s="101"/>
      <c r="QI23" s="101"/>
      <c r="QJ23" s="101"/>
      <c r="QK23" s="101"/>
      <c r="QL23" s="101"/>
      <c r="QM23" s="101"/>
      <c r="QN23" s="101"/>
      <c r="QO23" s="101"/>
      <c r="QP23" s="101"/>
      <c r="QQ23" s="101"/>
      <c r="QR23" s="101"/>
      <c r="QS23" s="101"/>
      <c r="QT23" s="101"/>
      <c r="QU23" s="101"/>
      <c r="QV23" s="101"/>
      <c r="QW23" s="101"/>
      <c r="QX23" s="101"/>
      <c r="QY23" s="101"/>
      <c r="QZ23" s="101"/>
      <c r="RA23" s="101"/>
      <c r="RB23" s="101"/>
      <c r="RC23" s="101"/>
      <c r="RD23" s="101"/>
      <c r="RE23" s="101"/>
      <c r="RF23" s="101"/>
      <c r="RG23" s="101"/>
      <c r="RH23" s="101"/>
      <c r="RI23" s="101"/>
      <c r="RJ23" s="101"/>
      <c r="RK23" s="101"/>
      <c r="RL23" s="101"/>
      <c r="RM23" s="101"/>
      <c r="RN23" s="101"/>
      <c r="RO23" s="101"/>
      <c r="RP23" s="101"/>
      <c r="RQ23" s="101"/>
      <c r="RR23" s="101"/>
      <c r="RS23" s="101"/>
      <c r="RT23" s="101"/>
      <c r="RU23" s="101"/>
      <c r="RV23" s="101"/>
      <c r="RW23" s="101"/>
      <c r="RX23" s="101"/>
      <c r="RY23" s="101"/>
      <c r="RZ23" s="101"/>
      <c r="SA23" s="101"/>
      <c r="SB23" s="101"/>
      <c r="SC23" s="101"/>
      <c r="SD23" s="101"/>
      <c r="SE23" s="101"/>
      <c r="SF23" s="101"/>
      <c r="SG23" s="101"/>
      <c r="SH23" s="101"/>
      <c r="SI23" s="101"/>
      <c r="SJ23" s="101"/>
      <c r="SK23" s="101"/>
      <c r="SL23" s="101"/>
      <c r="SM23" s="101"/>
      <c r="SN23" s="101"/>
      <c r="SO23" s="101"/>
      <c r="SP23" s="101"/>
      <c r="SQ23" s="101"/>
      <c r="SR23" s="101"/>
      <c r="SS23" s="101"/>
      <c r="ST23" s="101"/>
      <c r="SU23" s="101"/>
      <c r="SV23" s="101"/>
      <c r="SW23" s="101"/>
      <c r="SX23" s="101"/>
      <c r="SY23" s="101"/>
      <c r="SZ23" s="101"/>
      <c r="TA23" s="101"/>
      <c r="TB23" s="101"/>
      <c r="TC23" s="101"/>
      <c r="TD23" s="101"/>
      <c r="TE23" s="101"/>
      <c r="TF23" s="101"/>
      <c r="TG23" s="101"/>
      <c r="TH23" s="101"/>
      <c r="TI23" s="101"/>
      <c r="TJ23" s="101"/>
      <c r="TK23" s="101"/>
      <c r="TL23" s="101"/>
      <c r="TM23" s="101"/>
      <c r="TN23" s="101"/>
      <c r="TO23" s="101"/>
      <c r="TP23" s="101"/>
      <c r="TQ23" s="101"/>
      <c r="TR23" s="101"/>
      <c r="TS23" s="101"/>
      <c r="TT23" s="101"/>
      <c r="TU23" s="101"/>
      <c r="TV23" s="101"/>
      <c r="TW23" s="101"/>
      <c r="TX23" s="101"/>
      <c r="TY23" s="101"/>
      <c r="TZ23" s="101"/>
      <c r="UA23" s="101"/>
      <c r="UB23" s="101"/>
      <c r="UC23" s="101"/>
      <c r="UD23" s="101"/>
      <c r="UE23" s="101"/>
      <c r="UF23" s="101"/>
      <c r="UG23" s="101"/>
      <c r="UH23" s="101"/>
      <c r="UI23" s="101"/>
      <c r="UJ23" s="101"/>
      <c r="UK23" s="101"/>
      <c r="UL23" s="101"/>
      <c r="UM23" s="101"/>
      <c r="UN23" s="101"/>
      <c r="UO23" s="101"/>
      <c r="UP23" s="101"/>
      <c r="UQ23" s="101"/>
      <c r="UR23" s="101"/>
      <c r="US23" s="101"/>
      <c r="UT23" s="101"/>
      <c r="UU23" s="101"/>
      <c r="UV23" s="101"/>
      <c r="UW23" s="101"/>
      <c r="UX23" s="101"/>
      <c r="UY23" s="101"/>
      <c r="UZ23" s="101"/>
      <c r="VA23" s="101"/>
      <c r="VB23" s="101"/>
      <c r="VC23" s="101"/>
      <c r="VD23" s="101"/>
      <c r="VE23" s="101"/>
      <c r="VF23" s="101"/>
      <c r="VG23" s="101"/>
      <c r="VH23" s="101"/>
      <c r="VI23" s="101"/>
      <c r="VJ23" s="101"/>
      <c r="VK23" s="101"/>
      <c r="VL23" s="101"/>
      <c r="VM23" s="101"/>
      <c r="VN23" s="101"/>
      <c r="VO23" s="101"/>
      <c r="VP23" s="101"/>
      <c r="VQ23" s="101"/>
      <c r="VR23" s="101"/>
      <c r="VS23" s="101"/>
      <c r="VT23" s="101"/>
      <c r="VU23" s="101"/>
      <c r="VV23" s="101"/>
      <c r="VW23" s="101"/>
      <c r="VX23" s="101"/>
      <c r="VY23" s="101"/>
      <c r="VZ23" s="101"/>
      <c r="WA23" s="101"/>
      <c r="WB23" s="101"/>
      <c r="WC23" s="101"/>
      <c r="WD23" s="101"/>
      <c r="WE23" s="101"/>
      <c r="WF23" s="101"/>
      <c r="WG23" s="101"/>
      <c r="WH23" s="101"/>
      <c r="WI23" s="101"/>
      <c r="WJ23" s="101"/>
      <c r="WK23" s="101"/>
      <c r="WL23" s="101"/>
      <c r="WM23" s="101"/>
      <c r="WN23" s="101"/>
      <c r="WO23" s="101"/>
      <c r="WP23" s="101"/>
      <c r="WQ23" s="101"/>
      <c r="WR23" s="101"/>
      <c r="WS23" s="101"/>
      <c r="WT23" s="101"/>
      <c r="WU23" s="101"/>
      <c r="WV23" s="101"/>
      <c r="WW23" s="101"/>
      <c r="WX23" s="101"/>
      <c r="WY23" s="101"/>
      <c r="WZ23" s="101"/>
      <c r="XA23" s="101"/>
      <c r="XB23" s="101"/>
      <c r="XC23" s="101"/>
      <c r="XD23" s="101"/>
      <c r="XE23" s="101"/>
      <c r="XF23" s="101"/>
      <c r="XG23" s="101"/>
      <c r="XH23" s="101"/>
      <c r="XI23" s="101"/>
      <c r="XJ23" s="101"/>
      <c r="XK23" s="101"/>
      <c r="XL23" s="101"/>
      <c r="XM23" s="101"/>
      <c r="XN23" s="101"/>
      <c r="XO23" s="101"/>
      <c r="XP23" s="101"/>
      <c r="XQ23" s="101"/>
      <c r="XR23" s="101"/>
      <c r="XS23" s="101"/>
      <c r="XT23" s="101"/>
      <c r="XU23" s="101"/>
      <c r="XV23" s="101"/>
      <c r="XW23" s="101"/>
      <c r="XX23" s="101"/>
      <c r="XY23" s="101"/>
      <c r="XZ23" s="101"/>
      <c r="YA23" s="101"/>
      <c r="YB23" s="101"/>
      <c r="YC23" s="101"/>
      <c r="YD23" s="101"/>
      <c r="YE23" s="101"/>
      <c r="YF23" s="101"/>
      <c r="YG23" s="101"/>
      <c r="YH23" s="101"/>
      <c r="YI23" s="101"/>
      <c r="YJ23" s="101"/>
      <c r="YK23" s="101"/>
      <c r="YL23" s="101"/>
      <c r="YM23" s="101"/>
      <c r="YN23" s="101"/>
      <c r="YO23" s="101"/>
      <c r="YP23" s="101"/>
      <c r="YQ23" s="101"/>
      <c r="YR23" s="101"/>
      <c r="YS23" s="101"/>
      <c r="YT23" s="101"/>
      <c r="YU23" s="101"/>
      <c r="YV23" s="101"/>
      <c r="YW23" s="101"/>
      <c r="YX23" s="101"/>
      <c r="YY23" s="101"/>
      <c r="YZ23" s="101"/>
      <c r="ZA23" s="101"/>
      <c r="ZB23" s="101"/>
      <c r="ZC23" s="101"/>
      <c r="ZD23" s="101"/>
      <c r="ZE23" s="101"/>
      <c r="ZF23" s="101"/>
      <c r="ZG23" s="101"/>
      <c r="ZH23" s="101"/>
      <c r="ZI23" s="101"/>
      <c r="ZJ23" s="101"/>
      <c r="ZK23" s="101"/>
      <c r="ZL23" s="101"/>
      <c r="ZM23" s="101"/>
      <c r="ZN23" s="101"/>
      <c r="ZO23" s="101"/>
      <c r="ZP23" s="101"/>
      <c r="ZQ23" s="101"/>
      <c r="ZR23" s="101"/>
      <c r="ZS23" s="101"/>
      <c r="ZT23" s="101"/>
      <c r="ZU23" s="101"/>
      <c r="ZV23" s="101"/>
      <c r="ZW23" s="101"/>
      <c r="ZX23" s="101"/>
      <c r="ZY23" s="101"/>
      <c r="ZZ23" s="101"/>
      <c r="AAA23" s="101"/>
      <c r="AAB23" s="101"/>
      <c r="AAC23" s="101"/>
      <c r="AAD23" s="101"/>
      <c r="AAE23" s="101"/>
      <c r="AAF23" s="101"/>
      <c r="AAG23" s="101"/>
      <c r="AAH23" s="101"/>
      <c r="AAI23" s="101"/>
      <c r="AAJ23" s="101"/>
      <c r="AAK23" s="101"/>
      <c r="AAL23" s="101"/>
      <c r="AAM23" s="101"/>
      <c r="AAN23" s="101"/>
      <c r="AAO23" s="101"/>
      <c r="AAP23" s="101"/>
      <c r="AAQ23" s="101"/>
      <c r="AAR23" s="101"/>
      <c r="AAS23" s="101"/>
      <c r="AAT23" s="101"/>
      <c r="AAU23" s="101"/>
      <c r="AAV23" s="101"/>
      <c r="AAW23" s="101"/>
      <c r="AAX23" s="101"/>
      <c r="AAY23" s="101"/>
      <c r="AAZ23" s="101"/>
      <c r="ABA23" s="101"/>
      <c r="ABB23" s="101"/>
      <c r="ABC23" s="101"/>
      <c r="ABD23" s="101"/>
      <c r="ABE23" s="101"/>
      <c r="ABF23" s="101"/>
      <c r="ABG23" s="101"/>
      <c r="ABH23" s="101"/>
      <c r="ABI23" s="101"/>
      <c r="ABJ23" s="101"/>
      <c r="ABK23" s="101"/>
      <c r="ABL23" s="101"/>
      <c r="ABM23" s="101"/>
      <c r="ABN23" s="101"/>
      <c r="ABO23" s="101"/>
      <c r="ABP23" s="101"/>
      <c r="ABQ23" s="101"/>
      <c r="ABR23" s="101"/>
      <c r="ABS23" s="101"/>
      <c r="ABT23" s="101"/>
      <c r="ABU23" s="101"/>
      <c r="ABV23" s="101"/>
      <c r="ABW23" s="101"/>
      <c r="ABX23" s="101"/>
      <c r="ABY23" s="101"/>
      <c r="ABZ23" s="101"/>
      <c r="ACA23" s="101"/>
      <c r="ACB23" s="101"/>
      <c r="ACC23" s="101"/>
      <c r="ACD23" s="101"/>
      <c r="ACE23" s="101"/>
      <c r="ACF23" s="101"/>
      <c r="ACG23" s="101"/>
      <c r="ACH23" s="101"/>
      <c r="ACI23" s="101"/>
      <c r="ACJ23" s="101"/>
      <c r="ACK23" s="101"/>
      <c r="ACL23" s="101"/>
      <c r="ACM23" s="101"/>
      <c r="ACN23" s="101"/>
      <c r="ACO23" s="101"/>
      <c r="ACP23" s="101"/>
      <c r="ACQ23" s="101"/>
      <c r="ACR23" s="101"/>
      <c r="ACS23" s="101"/>
      <c r="ACT23" s="101"/>
      <c r="ACU23" s="101"/>
      <c r="ACV23" s="101"/>
      <c r="ACW23" s="101"/>
      <c r="ACX23" s="101"/>
      <c r="ACY23" s="101"/>
      <c r="ACZ23" s="101"/>
      <c r="ADA23" s="101"/>
      <c r="ADB23" s="101"/>
      <c r="ADC23" s="101"/>
      <c r="ADD23" s="101"/>
      <c r="ADE23" s="101"/>
      <c r="ADF23" s="101"/>
      <c r="ADG23" s="101"/>
      <c r="ADH23" s="101"/>
      <c r="ADI23" s="101"/>
      <c r="ADJ23" s="101"/>
      <c r="ADK23" s="101"/>
      <c r="ADL23" s="101"/>
      <c r="ADM23" s="101"/>
      <c r="ADN23" s="101"/>
      <c r="ADO23" s="101"/>
      <c r="ADP23" s="101"/>
      <c r="ADQ23" s="101"/>
      <c r="ADR23" s="101"/>
      <c r="ADS23" s="101"/>
      <c r="ADT23" s="101"/>
      <c r="ADU23" s="101"/>
      <c r="ADV23" s="101"/>
      <c r="ADW23" s="101"/>
      <c r="ADX23" s="101"/>
      <c r="ADY23" s="101"/>
      <c r="ADZ23" s="101"/>
      <c r="AEA23" s="101"/>
      <c r="AEB23" s="101"/>
      <c r="AEC23" s="101"/>
      <c r="AED23" s="101"/>
      <c r="AEE23" s="101"/>
      <c r="AEF23" s="101"/>
      <c r="AEG23" s="101"/>
      <c r="AEH23" s="101"/>
      <c r="AEI23" s="101"/>
      <c r="AEJ23" s="101"/>
      <c r="AEK23" s="101"/>
      <c r="AEL23" s="101"/>
      <c r="AEM23" s="101"/>
      <c r="AEN23" s="101"/>
      <c r="AEO23" s="101"/>
      <c r="AEP23" s="101"/>
      <c r="AEQ23" s="101"/>
      <c r="AER23" s="101"/>
      <c r="AES23" s="101"/>
      <c r="AET23" s="101"/>
      <c r="AEU23" s="101"/>
      <c r="AEV23" s="101"/>
      <c r="AEW23" s="101"/>
      <c r="AEX23" s="101"/>
      <c r="AEY23" s="101"/>
      <c r="AEZ23" s="101"/>
      <c r="AFA23" s="101"/>
      <c r="AFB23" s="101"/>
      <c r="AFC23" s="101"/>
      <c r="AFD23" s="101"/>
      <c r="AFE23" s="101"/>
      <c r="AFF23" s="101"/>
      <c r="AFG23" s="101"/>
      <c r="AFH23" s="101"/>
      <c r="AFI23" s="101"/>
      <c r="AFJ23" s="101"/>
      <c r="AFK23" s="101"/>
      <c r="AFL23" s="101"/>
      <c r="AFM23" s="101"/>
      <c r="AFN23" s="101"/>
      <c r="AFO23" s="101"/>
      <c r="AFP23" s="101"/>
      <c r="AFQ23" s="101"/>
      <c r="AFR23" s="101"/>
      <c r="AFS23" s="101"/>
      <c r="AFT23" s="101"/>
      <c r="AFU23" s="101"/>
      <c r="AFV23" s="101"/>
      <c r="AFW23" s="101"/>
      <c r="AFX23" s="101"/>
      <c r="AFY23" s="101"/>
      <c r="AFZ23" s="101"/>
      <c r="AGA23" s="101"/>
      <c r="AGB23" s="101"/>
      <c r="AGC23" s="101"/>
      <c r="AGD23" s="101"/>
      <c r="AGE23" s="101"/>
      <c r="AGF23" s="101"/>
      <c r="AGG23" s="101"/>
      <c r="AGH23" s="101"/>
      <c r="AGI23" s="101"/>
      <c r="AGJ23" s="101"/>
      <c r="AGK23" s="101"/>
      <c r="AGL23" s="101"/>
      <c r="AGM23" s="101"/>
      <c r="AGN23" s="101"/>
      <c r="AGO23" s="101"/>
      <c r="AGP23" s="101"/>
      <c r="AGQ23" s="101"/>
      <c r="AGR23" s="101"/>
      <c r="AGS23" s="101"/>
      <c r="AGT23" s="101"/>
      <c r="AGU23" s="101"/>
      <c r="AGV23" s="101"/>
      <c r="AGW23" s="101"/>
      <c r="AGX23" s="101"/>
      <c r="AGY23" s="101"/>
      <c r="AGZ23" s="101"/>
      <c r="AHA23" s="101"/>
      <c r="AHB23" s="101"/>
      <c r="AHC23" s="101"/>
      <c r="AHD23" s="101"/>
      <c r="AHE23" s="101"/>
      <c r="AHF23" s="101"/>
      <c r="AHG23" s="101"/>
      <c r="AHH23" s="101"/>
      <c r="AHI23" s="101"/>
      <c r="AHJ23" s="101"/>
      <c r="AHK23" s="101"/>
      <c r="AHL23" s="101"/>
      <c r="AHM23" s="101"/>
      <c r="AHN23" s="101"/>
      <c r="AHO23" s="101"/>
      <c r="AHP23" s="101"/>
      <c r="AHQ23" s="101"/>
      <c r="AHR23" s="101"/>
      <c r="AHS23" s="101"/>
      <c r="AHT23" s="101"/>
      <c r="AHU23" s="101"/>
      <c r="AHV23" s="101"/>
      <c r="AHW23" s="101"/>
      <c r="AHX23" s="101"/>
      <c r="AHY23" s="101"/>
      <c r="AHZ23" s="101"/>
      <c r="AIA23" s="101"/>
      <c r="AIB23" s="101"/>
      <c r="AIC23" s="101"/>
      <c r="AID23" s="101"/>
      <c r="AIE23" s="101"/>
      <c r="AIF23" s="101"/>
      <c r="AIG23" s="101"/>
      <c r="AIH23" s="101"/>
      <c r="AII23" s="101"/>
      <c r="AIJ23" s="101"/>
      <c r="AIK23" s="101"/>
      <c r="AIL23" s="101"/>
      <c r="AIM23" s="101"/>
      <c r="AIN23" s="101"/>
      <c r="AIO23" s="101"/>
      <c r="AIP23" s="101"/>
      <c r="AIQ23" s="101"/>
      <c r="AIR23" s="101"/>
      <c r="AIS23" s="101"/>
      <c r="AIT23" s="101"/>
      <c r="AIU23" s="101"/>
      <c r="AIV23" s="101"/>
      <c r="AIW23" s="101"/>
      <c r="AIX23" s="101"/>
      <c r="AIY23" s="101"/>
      <c r="AIZ23" s="101"/>
      <c r="AJA23" s="101"/>
      <c r="AJB23" s="101"/>
      <c r="AJC23" s="101"/>
      <c r="AJD23" s="101"/>
      <c r="AJE23" s="101"/>
      <c r="AJF23" s="101"/>
      <c r="AJG23" s="101"/>
      <c r="AJH23" s="101"/>
      <c r="AJI23" s="101"/>
      <c r="AJJ23" s="101"/>
      <c r="AJK23" s="101"/>
      <c r="AJL23" s="101"/>
      <c r="AJM23" s="101"/>
      <c r="AJN23" s="101"/>
      <c r="AJO23" s="101"/>
      <c r="AJP23" s="101"/>
      <c r="AJQ23" s="101"/>
      <c r="AJR23" s="101"/>
      <c r="AJS23" s="101"/>
      <c r="AJT23" s="101"/>
      <c r="AJU23" s="101"/>
      <c r="AJV23" s="101"/>
      <c r="AJW23" s="101"/>
      <c r="AJX23" s="101"/>
      <c r="AJY23" s="101"/>
      <c r="AJZ23" s="101"/>
      <c r="AKA23" s="101"/>
      <c r="AKB23" s="101"/>
      <c r="AKC23" s="101"/>
      <c r="AKD23" s="101"/>
      <c r="AKE23" s="101"/>
      <c r="AKF23" s="101"/>
      <c r="AKG23" s="101"/>
      <c r="AKH23" s="101"/>
      <c r="AKI23" s="101"/>
      <c r="AKJ23" s="101"/>
      <c r="AKK23" s="101"/>
      <c r="AKL23" s="101"/>
      <c r="AKM23" s="101"/>
      <c r="AKN23" s="101"/>
      <c r="AKO23" s="101"/>
      <c r="AKP23" s="101"/>
      <c r="AKQ23" s="101"/>
      <c r="AKR23" s="101"/>
      <c r="AKS23" s="101"/>
      <c r="AKT23" s="101"/>
      <c r="AKU23" s="101"/>
      <c r="AKV23" s="101"/>
      <c r="AKW23" s="101"/>
      <c r="AKX23" s="101"/>
      <c r="AKY23" s="101"/>
      <c r="AKZ23" s="101"/>
      <c r="ALA23" s="101"/>
      <c r="ALB23" s="101"/>
      <c r="ALC23" s="101"/>
      <c r="ALD23" s="101"/>
      <c r="ALE23" s="101"/>
      <c r="ALF23" s="101"/>
      <c r="ALG23" s="101"/>
      <c r="ALH23" s="101"/>
      <c r="ALI23" s="101"/>
      <c r="ALJ23" s="101"/>
      <c r="ALK23" s="101"/>
      <c r="ALL23" s="101"/>
      <c r="ALM23" s="101"/>
      <c r="ALN23" s="101"/>
      <c r="ALO23" s="101"/>
      <c r="ALP23" s="101"/>
      <c r="ALQ23" s="101"/>
      <c r="ALR23" s="101"/>
      <c r="ALS23" s="101"/>
      <c r="ALT23" s="101"/>
      <c r="ALU23" s="101"/>
      <c r="ALV23" s="101"/>
      <c r="ALW23" s="101"/>
      <c r="ALX23" s="101"/>
      <c r="ALY23" s="101"/>
      <c r="ALZ23" s="101"/>
      <c r="AMA23" s="101"/>
      <c r="AMB23" s="101"/>
      <c r="AMC23" s="101"/>
      <c r="AMD23" s="101"/>
      <c r="AME23" s="101"/>
      <c r="AMF23" s="101"/>
      <c r="AMG23" s="101"/>
      <c r="AMH23" s="101"/>
      <c r="AMI23" s="101"/>
      <c r="AMJ23" s="101"/>
      <c r="AMK23" s="101"/>
      <c r="AML23" s="101"/>
      <c r="AMM23" s="101"/>
      <c r="AMN23" s="101"/>
      <c r="AMO23" s="101"/>
      <c r="AMP23" s="101"/>
      <c r="AMQ23" s="101"/>
      <c r="AMR23" s="101"/>
      <c r="AMS23" s="101"/>
      <c r="AMT23" s="101"/>
      <c r="AMU23" s="101"/>
      <c r="AMV23" s="101"/>
      <c r="AMW23" s="101"/>
      <c r="AMX23" s="101"/>
      <c r="AMY23" s="101"/>
      <c r="AMZ23" s="101"/>
      <c r="ANA23" s="101"/>
      <c r="ANB23" s="101"/>
      <c r="ANC23" s="101"/>
      <c r="AND23" s="101"/>
      <c r="ANE23" s="101"/>
      <c r="ANF23" s="101"/>
      <c r="ANG23" s="101"/>
      <c r="ANH23" s="101"/>
      <c r="ANI23" s="101"/>
      <c r="ANJ23" s="101"/>
      <c r="ANK23" s="101"/>
      <c r="ANL23" s="101"/>
      <c r="ANM23" s="101"/>
      <c r="ANN23" s="101"/>
      <c r="ANO23" s="101"/>
      <c r="ANP23" s="101"/>
      <c r="ANQ23" s="101"/>
      <c r="ANR23" s="101"/>
      <c r="ANS23" s="101"/>
      <c r="ANT23" s="101"/>
      <c r="ANU23" s="101"/>
      <c r="ANV23" s="101"/>
      <c r="ANW23" s="101"/>
      <c r="ANX23" s="101"/>
      <c r="ANY23" s="101"/>
      <c r="ANZ23" s="101"/>
      <c r="AOA23" s="101"/>
      <c r="AOB23" s="101"/>
      <c r="AOC23" s="101"/>
      <c r="AOD23" s="101"/>
      <c r="AOE23" s="101"/>
      <c r="AOF23" s="101"/>
      <c r="AOG23" s="101"/>
      <c r="AOH23" s="101"/>
      <c r="AOI23" s="101"/>
      <c r="AOJ23" s="101"/>
      <c r="AOK23" s="101"/>
      <c r="AOL23" s="101"/>
      <c r="AOM23" s="101"/>
      <c r="AON23" s="101"/>
      <c r="AOO23" s="101"/>
      <c r="AOP23" s="101"/>
      <c r="AOQ23" s="101"/>
      <c r="AOR23" s="101"/>
      <c r="AOS23" s="101"/>
      <c r="AOT23" s="101"/>
      <c r="AOU23" s="101"/>
      <c r="AOV23" s="101"/>
      <c r="AOW23" s="101"/>
      <c r="AOX23" s="101"/>
      <c r="AOY23" s="101"/>
      <c r="AOZ23" s="101"/>
      <c r="APA23" s="101"/>
      <c r="APB23" s="101"/>
      <c r="APC23" s="101"/>
      <c r="APD23" s="101"/>
      <c r="APE23" s="101"/>
      <c r="APF23" s="101"/>
      <c r="APG23" s="101"/>
      <c r="APH23" s="101"/>
      <c r="API23" s="101"/>
      <c r="APJ23" s="101"/>
      <c r="APK23" s="101"/>
      <c r="APL23" s="101"/>
      <c r="APM23" s="101"/>
      <c r="APN23" s="101"/>
      <c r="APO23" s="101"/>
      <c r="APP23" s="101"/>
      <c r="APQ23" s="101"/>
      <c r="APR23" s="101"/>
      <c r="APS23" s="101"/>
      <c r="APT23" s="101"/>
      <c r="APU23" s="101"/>
      <c r="APV23" s="101"/>
      <c r="APW23" s="101"/>
      <c r="APX23" s="101"/>
      <c r="APY23" s="101"/>
      <c r="APZ23" s="101"/>
      <c r="AQA23" s="101"/>
      <c r="AQB23" s="101"/>
      <c r="AQC23" s="101"/>
      <c r="AQD23" s="101"/>
      <c r="AQE23" s="101"/>
      <c r="AQF23" s="101"/>
      <c r="AQG23" s="101"/>
      <c r="AQH23" s="101"/>
      <c r="AQI23" s="101"/>
      <c r="AQJ23" s="101"/>
      <c r="AQK23" s="101"/>
      <c r="AQL23" s="101"/>
      <c r="AQM23" s="101"/>
      <c r="AQN23" s="101"/>
      <c r="AQO23" s="101"/>
      <c r="AQP23" s="101"/>
      <c r="AQQ23" s="101"/>
      <c r="AQR23" s="101"/>
      <c r="AQS23" s="101"/>
      <c r="AQT23" s="101"/>
      <c r="AQU23" s="101"/>
      <c r="AQV23" s="101"/>
      <c r="AQW23" s="101"/>
      <c r="AQX23" s="101"/>
      <c r="AQY23" s="101"/>
      <c r="AQZ23" s="101"/>
      <c r="ARA23" s="101"/>
      <c r="ARB23" s="101"/>
      <c r="ARC23" s="101"/>
      <c r="ARD23" s="101"/>
      <c r="ARE23" s="101"/>
      <c r="ARF23" s="101"/>
      <c r="ARG23" s="101"/>
      <c r="ARH23" s="101"/>
      <c r="ARI23" s="101"/>
      <c r="ARJ23" s="101"/>
      <c r="ARK23" s="101"/>
      <c r="ARL23" s="101"/>
      <c r="ARM23" s="101"/>
      <c r="ARN23" s="101"/>
      <c r="ARO23" s="101"/>
      <c r="ARP23" s="101"/>
      <c r="ARQ23" s="101"/>
      <c r="ARR23" s="101"/>
      <c r="ARS23" s="101"/>
      <c r="ART23" s="101"/>
      <c r="ARU23" s="101"/>
      <c r="ARV23" s="101"/>
      <c r="ARW23" s="101"/>
      <c r="ARX23" s="101"/>
      <c r="ARY23" s="101"/>
      <c r="ARZ23" s="101"/>
      <c r="ASA23" s="101"/>
      <c r="ASB23" s="101"/>
      <c r="ASC23" s="101"/>
      <c r="ASD23" s="101"/>
      <c r="ASE23" s="101"/>
      <c r="ASF23" s="101"/>
      <c r="ASG23" s="101"/>
      <c r="ASH23" s="101"/>
      <c r="ASI23" s="101"/>
      <c r="ASJ23" s="101"/>
      <c r="ASK23" s="101"/>
      <c r="ASL23" s="101"/>
      <c r="ASM23" s="101"/>
      <c r="ASN23" s="101"/>
      <c r="ASO23" s="101"/>
      <c r="ASP23" s="101"/>
      <c r="ASQ23" s="101"/>
      <c r="ASR23" s="101"/>
      <c r="ASS23" s="101"/>
      <c r="AST23" s="101"/>
      <c r="ASU23" s="101"/>
      <c r="ASV23" s="101"/>
      <c r="ASW23" s="101"/>
      <c r="ASX23" s="101"/>
      <c r="ASY23" s="101"/>
      <c r="ASZ23" s="101"/>
      <c r="ATA23" s="101"/>
      <c r="ATB23" s="101"/>
      <c r="ATC23" s="101"/>
      <c r="ATD23" s="101"/>
      <c r="ATE23" s="101"/>
      <c r="ATF23" s="101"/>
      <c r="ATG23" s="101"/>
      <c r="ATH23" s="101"/>
      <c r="ATI23" s="101"/>
      <c r="ATJ23" s="101"/>
      <c r="ATK23" s="101"/>
      <c r="ATL23" s="101"/>
      <c r="ATM23" s="101"/>
      <c r="ATN23" s="101"/>
      <c r="ATO23" s="101"/>
      <c r="ATP23" s="101"/>
      <c r="ATQ23" s="101"/>
      <c r="ATR23" s="101"/>
      <c r="ATS23" s="101"/>
      <c r="ATT23" s="101"/>
      <c r="ATU23" s="101"/>
      <c r="ATV23" s="101"/>
      <c r="ATW23" s="101"/>
      <c r="ATX23" s="101"/>
      <c r="ATY23" s="101"/>
      <c r="ATZ23" s="101"/>
      <c r="AUA23" s="101"/>
      <c r="AUB23" s="101"/>
      <c r="AUC23" s="101"/>
      <c r="AUD23" s="101"/>
      <c r="AUE23" s="101"/>
      <c r="AUF23" s="101"/>
      <c r="AUG23" s="101"/>
      <c r="AUH23" s="101"/>
      <c r="AUI23" s="101"/>
      <c r="AUJ23" s="101"/>
      <c r="AUK23" s="101"/>
      <c r="AUL23" s="101"/>
      <c r="AUM23" s="101"/>
      <c r="AUN23" s="101"/>
      <c r="AUO23" s="101"/>
      <c r="AUP23" s="101"/>
      <c r="AUQ23" s="101"/>
      <c r="AUR23" s="101"/>
      <c r="AUS23" s="101"/>
      <c r="AUT23" s="101"/>
      <c r="AUU23" s="101"/>
      <c r="AUV23" s="101"/>
      <c r="AUW23" s="101"/>
      <c r="AUX23" s="101"/>
      <c r="AUY23" s="101"/>
      <c r="AUZ23" s="101"/>
      <c r="AVA23" s="101"/>
      <c r="AVB23" s="101"/>
      <c r="AVC23" s="101"/>
      <c r="AVD23" s="101"/>
      <c r="AVE23" s="101"/>
      <c r="AVF23" s="101"/>
      <c r="AVG23" s="101"/>
      <c r="AVH23" s="101"/>
      <c r="AVI23" s="101"/>
      <c r="AVJ23" s="101"/>
      <c r="AVK23" s="101"/>
      <c r="AVL23" s="101"/>
      <c r="AVM23" s="101"/>
      <c r="AVN23" s="101"/>
      <c r="AVO23" s="101"/>
      <c r="AVP23" s="101"/>
      <c r="AVQ23" s="101"/>
      <c r="AVR23" s="101"/>
      <c r="AVS23" s="101"/>
      <c r="AVT23" s="101"/>
      <c r="AVU23" s="101"/>
      <c r="AVV23" s="101"/>
      <c r="AVW23" s="101"/>
      <c r="AVX23" s="101"/>
      <c r="AVY23" s="101"/>
      <c r="AVZ23" s="101"/>
      <c r="AWA23" s="101"/>
      <c r="AWB23" s="101"/>
      <c r="AWC23" s="101"/>
      <c r="AWD23" s="101"/>
      <c r="AWE23" s="101"/>
      <c r="AWF23" s="101"/>
      <c r="AWG23" s="101"/>
      <c r="AWH23" s="101"/>
      <c r="AWI23" s="101"/>
      <c r="AWJ23" s="101"/>
      <c r="AWK23" s="101"/>
      <c r="AWL23" s="101"/>
      <c r="AWM23" s="101"/>
      <c r="AWN23" s="101"/>
      <c r="AWO23" s="101"/>
      <c r="AWP23" s="101"/>
      <c r="AWQ23" s="101"/>
      <c r="AWR23" s="101"/>
      <c r="AWS23" s="101"/>
      <c r="AWT23" s="101"/>
      <c r="AWU23" s="101"/>
      <c r="AWV23" s="101"/>
      <c r="AWW23" s="101"/>
      <c r="AWX23" s="101"/>
      <c r="AWY23" s="101"/>
      <c r="AWZ23" s="101"/>
      <c r="AXA23" s="101"/>
      <c r="AXB23" s="101"/>
      <c r="AXC23" s="101"/>
      <c r="AXD23" s="101"/>
      <c r="AXE23" s="101"/>
      <c r="AXF23" s="101"/>
      <c r="AXG23" s="101"/>
      <c r="AXH23" s="101"/>
      <c r="AXI23" s="101"/>
      <c r="AXJ23" s="101"/>
      <c r="AXK23" s="101"/>
      <c r="AXL23" s="101"/>
      <c r="AXM23" s="101"/>
      <c r="AXN23" s="101"/>
      <c r="AXO23" s="101"/>
      <c r="AXP23" s="101"/>
      <c r="AXQ23" s="101"/>
      <c r="AXR23" s="101"/>
      <c r="AXS23" s="101"/>
      <c r="AXT23" s="101"/>
      <c r="AXU23" s="101"/>
      <c r="AXV23" s="101"/>
      <c r="AXW23" s="101"/>
      <c r="AXX23" s="101"/>
      <c r="AXY23" s="101"/>
      <c r="AXZ23" s="101"/>
      <c r="AYA23" s="101"/>
      <c r="AYB23" s="101"/>
      <c r="AYC23" s="101"/>
      <c r="AYD23" s="101"/>
      <c r="AYE23" s="101"/>
      <c r="AYF23" s="101"/>
      <c r="AYG23" s="101"/>
      <c r="AYH23" s="101"/>
      <c r="AYI23" s="101"/>
      <c r="AYJ23" s="101"/>
      <c r="AYK23" s="101"/>
      <c r="AYL23" s="101"/>
      <c r="AYM23" s="101"/>
      <c r="AYN23" s="101"/>
      <c r="AYO23" s="101"/>
      <c r="AYP23" s="101"/>
      <c r="AYQ23" s="101"/>
      <c r="AYR23" s="101"/>
      <c r="AYS23" s="101"/>
      <c r="AYT23" s="101"/>
      <c r="AYU23" s="101"/>
      <c r="AYV23" s="101"/>
      <c r="AYW23" s="101"/>
      <c r="AYX23" s="101"/>
      <c r="AYY23" s="101"/>
      <c r="AYZ23" s="101"/>
      <c r="AZA23" s="101"/>
      <c r="AZB23" s="101"/>
      <c r="AZC23" s="101"/>
      <c r="AZD23" s="101"/>
      <c r="AZE23" s="101"/>
      <c r="AZF23" s="101"/>
      <c r="AZG23" s="101"/>
      <c r="AZH23" s="101"/>
      <c r="AZI23" s="101"/>
      <c r="AZJ23" s="101"/>
      <c r="AZK23" s="101"/>
      <c r="AZL23" s="101"/>
      <c r="AZM23" s="101"/>
      <c r="AZN23" s="101"/>
      <c r="AZO23" s="101"/>
      <c r="AZP23" s="101"/>
      <c r="AZQ23" s="101"/>
      <c r="AZR23" s="101"/>
      <c r="AZS23" s="101"/>
      <c r="AZT23" s="101"/>
      <c r="AZU23" s="101"/>
      <c r="AZV23" s="101"/>
      <c r="AZW23" s="101"/>
      <c r="AZX23" s="101"/>
      <c r="AZY23" s="101"/>
      <c r="AZZ23" s="101"/>
      <c r="BAA23" s="101"/>
      <c r="BAB23" s="101"/>
      <c r="BAC23" s="101"/>
      <c r="BAD23" s="101"/>
      <c r="BAE23" s="101"/>
      <c r="BAF23" s="101"/>
      <c r="BAG23" s="101"/>
      <c r="BAH23" s="101"/>
      <c r="BAI23" s="101"/>
      <c r="BAJ23" s="101"/>
      <c r="BAK23" s="101"/>
      <c r="BAL23" s="101"/>
      <c r="BAM23" s="101"/>
      <c r="BAN23" s="101"/>
      <c r="BAO23" s="101"/>
      <c r="BAP23" s="101"/>
      <c r="BAQ23" s="101"/>
      <c r="BAR23" s="101"/>
      <c r="BAS23" s="101"/>
      <c r="BAT23" s="101"/>
      <c r="BAU23" s="101"/>
      <c r="BAV23" s="101"/>
      <c r="BAW23" s="101"/>
      <c r="BAX23" s="101"/>
      <c r="BAY23" s="101"/>
      <c r="BAZ23" s="101"/>
      <c r="BBA23" s="101"/>
      <c r="BBB23" s="101"/>
      <c r="BBC23" s="101"/>
      <c r="BBD23" s="101"/>
      <c r="BBE23" s="101"/>
      <c r="BBF23" s="101"/>
      <c r="BBG23" s="101"/>
      <c r="BBH23" s="101"/>
      <c r="BBI23" s="101"/>
      <c r="BBJ23" s="101"/>
      <c r="BBK23" s="101"/>
      <c r="BBL23" s="101"/>
      <c r="BBM23" s="101"/>
      <c r="BBN23" s="101"/>
      <c r="BBO23" s="101"/>
      <c r="BBP23" s="101"/>
      <c r="BBQ23" s="101"/>
      <c r="BBR23" s="101"/>
      <c r="BBS23" s="101"/>
      <c r="BBT23" s="101"/>
      <c r="BBU23" s="101"/>
      <c r="BBV23" s="101"/>
      <c r="BBW23" s="101"/>
      <c r="BBX23" s="101"/>
      <c r="BBY23" s="101"/>
      <c r="BBZ23" s="101"/>
      <c r="BCA23" s="101"/>
      <c r="BCB23" s="101"/>
      <c r="BCC23" s="101"/>
      <c r="BCD23" s="101"/>
      <c r="BCE23" s="101"/>
      <c r="BCF23" s="101"/>
      <c r="BCG23" s="101"/>
      <c r="BCH23" s="101"/>
      <c r="BCI23" s="101"/>
      <c r="BCJ23" s="101"/>
      <c r="BCK23" s="101"/>
      <c r="BCL23" s="101"/>
      <c r="BCM23" s="101"/>
      <c r="BCN23" s="101"/>
      <c r="BCO23" s="101"/>
      <c r="BCP23" s="101"/>
      <c r="BCQ23" s="101"/>
      <c r="BCR23" s="101"/>
      <c r="BCS23" s="101"/>
      <c r="BCT23" s="101"/>
      <c r="BCU23" s="101"/>
      <c r="BCV23" s="101"/>
      <c r="BCW23" s="101"/>
      <c r="BCX23" s="101"/>
      <c r="BCY23" s="101"/>
      <c r="BCZ23" s="101"/>
      <c r="BDA23" s="101"/>
      <c r="BDB23" s="101"/>
      <c r="BDC23" s="101"/>
      <c r="BDD23" s="101"/>
      <c r="BDE23" s="101"/>
      <c r="BDF23" s="101"/>
      <c r="BDG23" s="101"/>
      <c r="BDH23" s="101"/>
      <c r="BDI23" s="101"/>
      <c r="BDJ23" s="101"/>
      <c r="BDK23" s="101"/>
      <c r="BDL23" s="101"/>
      <c r="BDM23" s="101"/>
      <c r="BDN23" s="101"/>
      <c r="BDO23" s="101"/>
      <c r="BDP23" s="101"/>
      <c r="BDQ23" s="101"/>
      <c r="BDR23" s="101"/>
      <c r="BDS23" s="101"/>
      <c r="BDT23" s="101"/>
      <c r="BDU23" s="101"/>
      <c r="BDV23" s="101"/>
      <c r="BDW23" s="101"/>
      <c r="BDX23" s="101"/>
      <c r="BDY23" s="101"/>
      <c r="BDZ23" s="101"/>
      <c r="BEA23" s="101"/>
      <c r="BEB23" s="101"/>
      <c r="BEC23" s="101"/>
      <c r="BED23" s="101"/>
      <c r="BEE23" s="101"/>
      <c r="BEF23" s="101"/>
      <c r="BEG23" s="101"/>
      <c r="BEH23" s="101"/>
      <c r="BEI23" s="101"/>
      <c r="BEJ23" s="101"/>
      <c r="BEK23" s="101"/>
      <c r="BEL23" s="101"/>
      <c r="BEM23" s="101"/>
      <c r="BEN23" s="101"/>
      <c r="BEO23" s="101"/>
      <c r="BEP23" s="101"/>
      <c r="BEQ23" s="101"/>
      <c r="BER23" s="101"/>
      <c r="BES23" s="101"/>
      <c r="BET23" s="101"/>
      <c r="BEU23" s="101"/>
      <c r="BEV23" s="101"/>
      <c r="BEW23" s="101"/>
      <c r="BEX23" s="101"/>
      <c r="BEY23" s="101"/>
      <c r="BEZ23" s="101"/>
      <c r="BFA23" s="101"/>
      <c r="BFB23" s="101"/>
      <c r="BFC23" s="101"/>
      <c r="BFD23" s="101"/>
      <c r="BFE23" s="101"/>
      <c r="BFF23" s="101"/>
      <c r="BFG23" s="101"/>
      <c r="BFH23" s="101"/>
      <c r="BFI23" s="101"/>
      <c r="BFJ23" s="101"/>
      <c r="BFK23" s="101"/>
      <c r="BFL23" s="101"/>
      <c r="BFM23" s="101"/>
      <c r="BFN23" s="101"/>
      <c r="BFO23" s="101"/>
      <c r="BFP23" s="101"/>
      <c r="BFQ23" s="101"/>
      <c r="BFR23" s="101"/>
      <c r="BFS23" s="101"/>
      <c r="BFT23" s="101"/>
      <c r="BFU23" s="101"/>
      <c r="BFV23" s="101"/>
      <c r="BFW23" s="101"/>
      <c r="BFX23" s="101"/>
      <c r="BFY23" s="101"/>
      <c r="BFZ23" s="101"/>
      <c r="BGA23" s="101"/>
      <c r="BGB23" s="101"/>
      <c r="BGC23" s="101"/>
      <c r="BGD23" s="101"/>
      <c r="BGE23" s="101"/>
      <c r="BGF23" s="101"/>
      <c r="BGG23" s="101"/>
      <c r="BGH23" s="101"/>
      <c r="BGI23" s="101"/>
      <c r="BGJ23" s="101"/>
      <c r="BGK23" s="101"/>
      <c r="BGL23" s="101"/>
      <c r="BGM23" s="101"/>
      <c r="BGN23" s="101"/>
      <c r="BGO23" s="101"/>
      <c r="BGP23" s="101"/>
      <c r="BGQ23" s="101"/>
      <c r="BGR23" s="101"/>
      <c r="BGS23" s="101"/>
      <c r="BGT23" s="101"/>
      <c r="BGU23" s="101"/>
      <c r="BGV23" s="101"/>
      <c r="BGW23" s="101"/>
      <c r="BGX23" s="101"/>
      <c r="BGY23" s="101"/>
      <c r="BGZ23" s="101"/>
      <c r="BHA23" s="101"/>
      <c r="BHB23" s="101"/>
      <c r="BHC23" s="101"/>
      <c r="BHD23" s="101"/>
      <c r="BHE23" s="101"/>
      <c r="BHF23" s="101"/>
      <c r="BHG23" s="101"/>
      <c r="BHH23" s="101"/>
      <c r="BHI23" s="101"/>
      <c r="BHJ23" s="101"/>
      <c r="BHK23" s="101"/>
      <c r="BHL23" s="101"/>
      <c r="BHM23" s="101"/>
      <c r="BHN23" s="101"/>
      <c r="BHO23" s="101"/>
      <c r="BHP23" s="101"/>
      <c r="BHQ23" s="101"/>
      <c r="BHR23" s="101"/>
      <c r="BHS23" s="101"/>
      <c r="BHT23" s="101"/>
      <c r="BHU23" s="101"/>
      <c r="BHV23" s="101"/>
      <c r="BHW23" s="101"/>
      <c r="BHX23" s="101"/>
      <c r="BHY23" s="101"/>
      <c r="BHZ23" s="101"/>
      <c r="BIA23" s="101"/>
      <c r="BIB23" s="101"/>
      <c r="BIC23" s="101"/>
      <c r="BID23" s="101"/>
      <c r="BIE23" s="101"/>
      <c r="BIF23" s="101"/>
      <c r="BIG23" s="101"/>
      <c r="BIH23" s="101"/>
      <c r="BII23" s="101"/>
      <c r="BIJ23" s="101"/>
      <c r="BIK23" s="101"/>
      <c r="BIL23" s="101"/>
      <c r="BIM23" s="101"/>
      <c r="BIN23" s="101"/>
      <c r="BIO23" s="101"/>
      <c r="BIP23" s="101"/>
      <c r="BIQ23" s="101"/>
      <c r="BIR23" s="101"/>
      <c r="BIS23" s="101"/>
      <c r="BIT23" s="101"/>
      <c r="BIU23" s="101"/>
      <c r="BIV23" s="101"/>
      <c r="BIW23" s="101"/>
      <c r="BIX23" s="101"/>
      <c r="BIY23" s="101"/>
      <c r="BIZ23" s="101"/>
      <c r="BJA23" s="101"/>
      <c r="BJB23" s="101"/>
      <c r="BJC23" s="101"/>
      <c r="BJD23" s="101"/>
      <c r="BJE23" s="101"/>
      <c r="BJF23" s="101"/>
      <c r="BJG23" s="101"/>
      <c r="BJH23" s="101"/>
      <c r="BJI23" s="101"/>
      <c r="BJJ23" s="101"/>
      <c r="BJK23" s="101"/>
      <c r="BJL23" s="101"/>
      <c r="BJM23" s="101"/>
      <c r="BJN23" s="101"/>
      <c r="BJO23" s="101"/>
      <c r="BJP23" s="101"/>
      <c r="BJQ23" s="101"/>
      <c r="BJR23" s="101"/>
      <c r="BJS23" s="101"/>
      <c r="BJT23" s="101"/>
      <c r="BJU23" s="101"/>
      <c r="BJV23" s="101"/>
      <c r="BJW23" s="101"/>
      <c r="BJX23" s="101"/>
      <c r="BJY23" s="101"/>
      <c r="BJZ23" s="101"/>
      <c r="BKA23" s="101"/>
      <c r="BKB23" s="101"/>
      <c r="BKC23" s="101"/>
      <c r="BKD23" s="101"/>
      <c r="BKE23" s="101"/>
      <c r="BKF23" s="101"/>
      <c r="BKG23" s="101"/>
      <c r="BKH23" s="101"/>
      <c r="BKI23" s="101"/>
      <c r="BKJ23" s="101"/>
      <c r="BKK23" s="101"/>
      <c r="BKL23" s="101"/>
      <c r="BKM23" s="101"/>
      <c r="BKN23" s="101"/>
      <c r="BKO23" s="101"/>
      <c r="BKP23" s="101"/>
      <c r="BKQ23" s="101"/>
      <c r="BKR23" s="101"/>
      <c r="BKS23" s="101"/>
      <c r="BKT23" s="101"/>
      <c r="BKU23" s="101"/>
      <c r="BKV23" s="101"/>
      <c r="BKW23" s="101"/>
      <c r="BKX23" s="101"/>
      <c r="BKY23" s="101"/>
      <c r="BKZ23" s="101"/>
      <c r="BLA23" s="101"/>
      <c r="BLB23" s="101"/>
      <c r="BLC23" s="101"/>
      <c r="BLD23" s="101"/>
      <c r="BLE23" s="101"/>
      <c r="BLF23" s="101"/>
      <c r="BLG23" s="101"/>
      <c r="BLH23" s="101"/>
      <c r="BLI23" s="101"/>
      <c r="BLJ23" s="101"/>
      <c r="BLK23" s="101"/>
      <c r="BLL23" s="101"/>
      <c r="BLM23" s="101"/>
      <c r="BLN23" s="101"/>
      <c r="BLO23" s="101"/>
      <c r="BLP23" s="101"/>
      <c r="BLQ23" s="101"/>
      <c r="BLR23" s="101"/>
      <c r="BLS23" s="101"/>
      <c r="BLT23" s="101"/>
      <c r="BLU23" s="101"/>
      <c r="BLV23" s="101"/>
      <c r="BLW23" s="101"/>
      <c r="BLX23" s="101"/>
      <c r="BLY23" s="101"/>
      <c r="BLZ23" s="101"/>
      <c r="BMA23" s="101"/>
      <c r="BMB23" s="101"/>
      <c r="BMC23" s="101"/>
      <c r="BMD23" s="101"/>
      <c r="BME23" s="101"/>
      <c r="BMF23" s="101"/>
      <c r="BMG23" s="101"/>
      <c r="BMH23" s="101"/>
      <c r="BMI23" s="101"/>
      <c r="BMJ23" s="101"/>
      <c r="BMK23" s="101"/>
      <c r="BML23" s="101"/>
      <c r="BMM23" s="101"/>
      <c r="BMN23" s="101"/>
      <c r="BMO23" s="101"/>
      <c r="BMP23" s="101"/>
      <c r="BMQ23" s="101"/>
      <c r="BMR23" s="101"/>
      <c r="BMS23" s="101"/>
      <c r="BMT23" s="101"/>
      <c r="BMU23" s="101"/>
      <c r="BMV23" s="101"/>
      <c r="BMW23" s="101"/>
      <c r="BMX23" s="101"/>
      <c r="BMY23" s="101"/>
      <c r="BMZ23" s="101"/>
      <c r="BNA23" s="101"/>
      <c r="BNB23" s="101"/>
      <c r="BNC23" s="101"/>
      <c r="BND23" s="101"/>
      <c r="BNE23" s="101"/>
      <c r="BNF23" s="101"/>
      <c r="BNG23" s="101"/>
      <c r="BNH23" s="101"/>
      <c r="BNI23" s="101"/>
      <c r="BNJ23" s="101"/>
      <c r="BNK23" s="101"/>
      <c r="BNL23" s="101"/>
      <c r="BNM23" s="101"/>
      <c r="BNN23" s="101"/>
      <c r="BNO23" s="101"/>
      <c r="BNP23" s="101"/>
      <c r="BNQ23" s="101"/>
      <c r="BNR23" s="101"/>
      <c r="BNS23" s="101"/>
      <c r="BNT23" s="101"/>
      <c r="BNU23" s="101"/>
      <c r="BNV23" s="101"/>
      <c r="BNW23" s="101"/>
      <c r="BNX23" s="101"/>
      <c r="BNY23" s="101"/>
      <c r="BNZ23" s="101"/>
      <c r="BOA23" s="101"/>
      <c r="BOB23" s="101"/>
      <c r="BOC23" s="101"/>
      <c r="BOD23" s="101"/>
      <c r="BOE23" s="101"/>
      <c r="BOF23" s="101"/>
      <c r="BOG23" s="101"/>
      <c r="BOH23" s="101"/>
      <c r="BOI23" s="101"/>
      <c r="BOJ23" s="101"/>
      <c r="BOK23" s="101"/>
      <c r="BOL23" s="101"/>
      <c r="BOM23" s="101"/>
      <c r="BON23" s="101"/>
      <c r="BOO23" s="101"/>
      <c r="BOP23" s="101"/>
      <c r="BOQ23" s="101"/>
      <c r="BOR23" s="101"/>
      <c r="BOS23" s="101"/>
      <c r="BOT23" s="101"/>
      <c r="BOU23" s="101"/>
      <c r="BOV23" s="101"/>
      <c r="BOW23" s="101"/>
      <c r="BOX23" s="101"/>
      <c r="BOY23" s="101"/>
      <c r="BOZ23" s="101"/>
      <c r="BPA23" s="101"/>
      <c r="BPB23" s="101"/>
      <c r="BPC23" s="161"/>
    </row>
    <row r="24" s="103" customFormat="1" ht="75" customHeight="1" outlineLevel="1" spans="1:1024 1025:1771">
      <c r="A24" s="157" t="s">
        <v>88</v>
      </c>
      <c r="B24" s="151" t="s">
        <v>1065</v>
      </c>
      <c r="C24" s="158" t="s">
        <v>1066</v>
      </c>
      <c r="D24" s="153" t="s">
        <v>1044</v>
      </c>
      <c r="E24" s="154"/>
      <c r="F24" s="159"/>
      <c r="G24" s="160"/>
      <c r="H24" s="155">
        <v>46137</v>
      </c>
      <c r="I24" s="156" t="s">
        <v>7</v>
      </c>
      <c r="J24" s="153"/>
      <c r="K24" s="5"/>
      <c r="L24" s="5" t="s">
        <v>1041</v>
      </c>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c r="DQ24" s="101"/>
      <c r="DR24" s="101"/>
      <c r="DS24" s="101"/>
      <c r="DT24" s="101"/>
      <c r="DU24" s="101"/>
      <c r="DV24" s="101"/>
      <c r="DW24" s="101"/>
      <c r="DX24" s="101"/>
      <c r="DY24" s="101"/>
      <c r="DZ24" s="101"/>
      <c r="EA24" s="101"/>
      <c r="EB24" s="101"/>
      <c r="EC24" s="101"/>
      <c r="ED24" s="101"/>
      <c r="EE24" s="101"/>
      <c r="EF24" s="101"/>
      <c r="EG24" s="101"/>
      <c r="EH24" s="101"/>
      <c r="EI24" s="101"/>
      <c r="EJ24" s="101"/>
      <c r="EK24" s="101"/>
      <c r="EL24" s="101"/>
      <c r="EM24" s="101"/>
      <c r="EN24" s="101"/>
      <c r="EO24" s="101"/>
      <c r="EP24" s="101"/>
      <c r="EQ24" s="101"/>
      <c r="ER24" s="101"/>
      <c r="ES24" s="101"/>
      <c r="ET24" s="101"/>
      <c r="EU24" s="101"/>
      <c r="EV24" s="101"/>
      <c r="EW24" s="101"/>
      <c r="EX24" s="101"/>
      <c r="EY24" s="101"/>
      <c r="EZ24" s="101"/>
      <c r="FA24" s="101"/>
      <c r="FB24" s="101"/>
      <c r="FC24" s="101"/>
      <c r="FD24" s="101"/>
      <c r="FE24" s="101"/>
      <c r="FF24" s="101"/>
      <c r="FG24" s="101"/>
      <c r="FH24" s="101"/>
      <c r="FI24" s="101"/>
      <c r="FJ24" s="101"/>
      <c r="FK24" s="101"/>
      <c r="FL24" s="101"/>
      <c r="FM24" s="101"/>
      <c r="FN24" s="101"/>
      <c r="FO24" s="101"/>
      <c r="FP24" s="101"/>
      <c r="FQ24" s="101"/>
      <c r="FR24" s="101"/>
      <c r="FS24" s="101"/>
      <c r="FT24" s="101"/>
      <c r="FU24" s="101"/>
      <c r="FV24" s="101"/>
      <c r="FW24" s="101"/>
      <c r="FX24" s="101"/>
      <c r="FY24" s="101"/>
      <c r="FZ24" s="101"/>
      <c r="GA24" s="101"/>
      <c r="GB24" s="101"/>
      <c r="GC24" s="101"/>
      <c r="GD24" s="101"/>
      <c r="GE24" s="101"/>
      <c r="GF24" s="101"/>
      <c r="GG24" s="101"/>
      <c r="GH24" s="101"/>
      <c r="GI24" s="101"/>
      <c r="GJ24" s="101"/>
      <c r="GK24" s="101"/>
      <c r="GL24" s="101"/>
      <c r="GM24" s="101"/>
      <c r="GN24" s="101"/>
      <c r="GO24" s="101"/>
      <c r="GP24" s="101"/>
      <c r="GQ24" s="101"/>
      <c r="GR24" s="101"/>
      <c r="GS24" s="101"/>
      <c r="GT24" s="101"/>
      <c r="GU24" s="101"/>
      <c r="GV24" s="101"/>
      <c r="GW24" s="101"/>
      <c r="GX24" s="101"/>
      <c r="GY24" s="101"/>
      <c r="GZ24" s="101"/>
      <c r="HA24" s="101"/>
      <c r="HB24" s="101"/>
      <c r="HC24" s="101"/>
      <c r="HD24" s="101"/>
      <c r="HE24" s="101"/>
      <c r="HF24" s="101"/>
      <c r="HG24" s="101"/>
      <c r="HH24" s="101"/>
      <c r="HI24" s="101"/>
      <c r="HJ24" s="101"/>
      <c r="HK24" s="101"/>
      <c r="HL24" s="101"/>
      <c r="HM24" s="101"/>
      <c r="HN24" s="101"/>
      <c r="HO24" s="101"/>
      <c r="HP24" s="101"/>
      <c r="HQ24" s="101"/>
      <c r="HR24" s="101"/>
      <c r="HS24" s="101"/>
      <c r="HT24" s="101"/>
      <c r="HU24" s="101"/>
      <c r="HV24" s="101"/>
      <c r="HW24" s="101"/>
      <c r="HX24" s="101"/>
      <c r="HY24" s="101"/>
      <c r="HZ24" s="101"/>
      <c r="IA24" s="101"/>
      <c r="IB24" s="101"/>
      <c r="IC24" s="101"/>
      <c r="ID24" s="101"/>
      <c r="IE24" s="101"/>
      <c r="IF24" s="101"/>
      <c r="IG24" s="101"/>
      <c r="IH24" s="101"/>
      <c r="II24" s="101"/>
      <c r="IJ24" s="101"/>
      <c r="IK24" s="101"/>
      <c r="IL24" s="101"/>
      <c r="IM24" s="101"/>
      <c r="IN24" s="101"/>
      <c r="IO24" s="101"/>
      <c r="IP24" s="101"/>
      <c r="IQ24" s="101"/>
      <c r="IR24" s="101"/>
      <c r="IS24" s="101"/>
      <c r="IT24" s="101"/>
      <c r="IU24" s="101"/>
      <c r="IV24" s="101"/>
      <c r="IW24" s="101"/>
      <c r="IX24" s="101"/>
      <c r="IY24" s="101"/>
      <c r="IZ24" s="101"/>
      <c r="JA24" s="101"/>
      <c r="JB24" s="101"/>
      <c r="JC24" s="101"/>
      <c r="JD24" s="101"/>
      <c r="JE24" s="101"/>
      <c r="JF24" s="101"/>
      <c r="JG24" s="101"/>
      <c r="JH24" s="101"/>
      <c r="JI24" s="101"/>
      <c r="JJ24" s="101"/>
      <c r="JK24" s="101"/>
      <c r="JL24" s="101"/>
      <c r="JM24" s="101"/>
      <c r="JN24" s="101"/>
      <c r="JO24" s="101"/>
      <c r="JP24" s="101"/>
      <c r="JQ24" s="101"/>
      <c r="JR24" s="101"/>
      <c r="JS24" s="101"/>
      <c r="JT24" s="101"/>
      <c r="JU24" s="101"/>
      <c r="JV24" s="101"/>
      <c r="JW24" s="101"/>
      <c r="JX24" s="101"/>
      <c r="JY24" s="101"/>
      <c r="JZ24" s="101"/>
      <c r="KA24" s="101"/>
      <c r="KB24" s="101"/>
      <c r="KC24" s="101"/>
      <c r="KD24" s="101"/>
      <c r="KE24" s="101"/>
      <c r="KF24" s="101"/>
      <c r="KG24" s="101"/>
      <c r="KH24" s="101"/>
      <c r="KI24" s="101"/>
      <c r="KJ24" s="101"/>
      <c r="KK24" s="101"/>
      <c r="KL24" s="101"/>
      <c r="KM24" s="101"/>
      <c r="KN24" s="101"/>
      <c r="KO24" s="101"/>
      <c r="KP24" s="101"/>
      <c r="KQ24" s="101"/>
      <c r="KR24" s="101"/>
      <c r="KS24" s="101"/>
      <c r="KT24" s="101"/>
      <c r="KU24" s="101"/>
      <c r="KV24" s="101"/>
      <c r="KW24" s="101"/>
      <c r="KX24" s="101"/>
      <c r="KY24" s="101"/>
      <c r="KZ24" s="101"/>
      <c r="LA24" s="101"/>
      <c r="LB24" s="101"/>
      <c r="LC24" s="101"/>
      <c r="LD24" s="101"/>
      <c r="LE24" s="101"/>
      <c r="LF24" s="101"/>
      <c r="LG24" s="101"/>
      <c r="LH24" s="101"/>
      <c r="LI24" s="101"/>
      <c r="LJ24" s="101"/>
      <c r="LK24" s="101"/>
      <c r="LL24" s="101"/>
      <c r="LM24" s="101"/>
      <c r="LN24" s="101"/>
      <c r="LO24" s="101"/>
      <c r="LP24" s="101"/>
      <c r="LQ24" s="101"/>
      <c r="LR24" s="101"/>
      <c r="LS24" s="101"/>
      <c r="LT24" s="101"/>
      <c r="LU24" s="101"/>
      <c r="LV24" s="101"/>
      <c r="LW24" s="101"/>
      <c r="LX24" s="101"/>
      <c r="LY24" s="101"/>
      <c r="LZ24" s="101"/>
      <c r="MA24" s="101"/>
      <c r="MB24" s="101"/>
      <c r="MC24" s="101"/>
      <c r="MD24" s="101"/>
      <c r="ME24" s="101"/>
      <c r="MF24" s="101"/>
      <c r="MG24" s="101"/>
      <c r="MH24" s="101"/>
      <c r="MI24" s="101"/>
      <c r="MJ24" s="101"/>
      <c r="MK24" s="101"/>
      <c r="ML24" s="101"/>
      <c r="MM24" s="101"/>
      <c r="MN24" s="101"/>
      <c r="MO24" s="101"/>
      <c r="MP24" s="101"/>
      <c r="MQ24" s="101"/>
      <c r="MR24" s="101"/>
      <c r="MS24" s="101"/>
      <c r="MT24" s="101"/>
      <c r="MU24" s="101"/>
      <c r="MV24" s="101"/>
      <c r="MW24" s="101"/>
      <c r="MX24" s="101"/>
      <c r="MY24" s="101"/>
      <c r="MZ24" s="101"/>
      <c r="NA24" s="101"/>
      <c r="NB24" s="101"/>
      <c r="NC24" s="101"/>
      <c r="ND24" s="101"/>
      <c r="NE24" s="101"/>
      <c r="NF24" s="101"/>
      <c r="NG24" s="101"/>
      <c r="NH24" s="101"/>
      <c r="NI24" s="101"/>
      <c r="NJ24" s="101"/>
      <c r="NK24" s="101"/>
      <c r="NL24" s="101"/>
      <c r="NM24" s="101"/>
      <c r="NN24" s="101"/>
      <c r="NO24" s="101"/>
      <c r="NP24" s="101"/>
      <c r="NQ24" s="101"/>
      <c r="NR24" s="101"/>
      <c r="NS24" s="101"/>
      <c r="NT24" s="101"/>
      <c r="NU24" s="101"/>
      <c r="NV24" s="101"/>
      <c r="NW24" s="101"/>
      <c r="NX24" s="101"/>
      <c r="NY24" s="101"/>
      <c r="NZ24" s="101"/>
      <c r="OA24" s="101"/>
      <c r="OB24" s="101"/>
      <c r="OC24" s="101"/>
      <c r="OD24" s="101"/>
      <c r="OE24" s="101"/>
      <c r="OF24" s="101"/>
      <c r="OG24" s="101"/>
      <c r="OH24" s="101"/>
      <c r="OI24" s="101"/>
      <c r="OJ24" s="101"/>
      <c r="OK24" s="101"/>
      <c r="OL24" s="101"/>
      <c r="OM24" s="101"/>
      <c r="ON24" s="101"/>
      <c r="OO24" s="101"/>
      <c r="OP24" s="101"/>
      <c r="OQ24" s="101"/>
      <c r="OR24" s="101"/>
      <c r="OS24" s="101"/>
      <c r="OT24" s="101"/>
      <c r="OU24" s="101"/>
      <c r="OV24" s="101"/>
      <c r="OW24" s="101"/>
      <c r="OX24" s="101"/>
      <c r="OY24" s="101"/>
      <c r="OZ24" s="101"/>
      <c r="PA24" s="101"/>
      <c r="PB24" s="101"/>
      <c r="PC24" s="101"/>
      <c r="PD24" s="101"/>
      <c r="PE24" s="101"/>
      <c r="PF24" s="101"/>
      <c r="PG24" s="101"/>
      <c r="PH24" s="101"/>
      <c r="PI24" s="101"/>
      <c r="PJ24" s="101"/>
      <c r="PK24" s="101"/>
      <c r="PL24" s="101"/>
      <c r="PM24" s="101"/>
      <c r="PN24" s="101"/>
      <c r="PO24" s="101"/>
      <c r="PP24" s="101"/>
      <c r="PQ24" s="101"/>
      <c r="PR24" s="101"/>
      <c r="PS24" s="101"/>
      <c r="PT24" s="101"/>
      <c r="PU24" s="101"/>
      <c r="PV24" s="101"/>
      <c r="PW24" s="101"/>
      <c r="PX24" s="101"/>
      <c r="PY24" s="101"/>
      <c r="PZ24" s="101"/>
      <c r="QA24" s="101"/>
      <c r="QB24" s="101"/>
      <c r="QC24" s="101"/>
      <c r="QD24" s="101"/>
      <c r="QE24" s="101"/>
      <c r="QF24" s="101"/>
      <c r="QG24" s="101"/>
      <c r="QH24" s="101"/>
      <c r="QI24" s="101"/>
      <c r="QJ24" s="101"/>
      <c r="QK24" s="101"/>
      <c r="QL24" s="101"/>
      <c r="QM24" s="101"/>
      <c r="QN24" s="101"/>
      <c r="QO24" s="101"/>
      <c r="QP24" s="101"/>
      <c r="QQ24" s="101"/>
      <c r="QR24" s="101"/>
      <c r="QS24" s="101"/>
      <c r="QT24" s="101"/>
      <c r="QU24" s="101"/>
      <c r="QV24" s="101"/>
      <c r="QW24" s="101"/>
      <c r="QX24" s="101"/>
      <c r="QY24" s="101"/>
      <c r="QZ24" s="101"/>
      <c r="RA24" s="101"/>
      <c r="RB24" s="101"/>
      <c r="RC24" s="101"/>
      <c r="RD24" s="101"/>
      <c r="RE24" s="101"/>
      <c r="RF24" s="101"/>
      <c r="RG24" s="101"/>
      <c r="RH24" s="101"/>
      <c r="RI24" s="101"/>
      <c r="RJ24" s="101"/>
      <c r="RK24" s="101"/>
      <c r="RL24" s="101"/>
      <c r="RM24" s="101"/>
      <c r="RN24" s="101"/>
      <c r="RO24" s="101"/>
      <c r="RP24" s="101"/>
      <c r="RQ24" s="101"/>
      <c r="RR24" s="101"/>
      <c r="RS24" s="101"/>
      <c r="RT24" s="101"/>
      <c r="RU24" s="101"/>
      <c r="RV24" s="101"/>
      <c r="RW24" s="101"/>
      <c r="RX24" s="101"/>
      <c r="RY24" s="101"/>
      <c r="RZ24" s="101"/>
      <c r="SA24" s="101"/>
      <c r="SB24" s="101"/>
      <c r="SC24" s="101"/>
      <c r="SD24" s="101"/>
      <c r="SE24" s="101"/>
      <c r="SF24" s="101"/>
      <c r="SG24" s="101"/>
      <c r="SH24" s="101"/>
      <c r="SI24" s="101"/>
      <c r="SJ24" s="101"/>
      <c r="SK24" s="101"/>
      <c r="SL24" s="101"/>
      <c r="SM24" s="101"/>
      <c r="SN24" s="101"/>
      <c r="SO24" s="101"/>
      <c r="SP24" s="101"/>
      <c r="SQ24" s="101"/>
      <c r="SR24" s="101"/>
      <c r="SS24" s="101"/>
      <c r="ST24" s="101"/>
      <c r="SU24" s="101"/>
      <c r="SV24" s="101"/>
      <c r="SW24" s="101"/>
      <c r="SX24" s="101"/>
      <c r="SY24" s="101"/>
      <c r="SZ24" s="101"/>
      <c r="TA24" s="101"/>
      <c r="TB24" s="101"/>
      <c r="TC24" s="101"/>
      <c r="TD24" s="101"/>
      <c r="TE24" s="101"/>
      <c r="TF24" s="101"/>
      <c r="TG24" s="101"/>
      <c r="TH24" s="101"/>
      <c r="TI24" s="101"/>
      <c r="TJ24" s="101"/>
      <c r="TK24" s="101"/>
      <c r="TL24" s="101"/>
      <c r="TM24" s="101"/>
      <c r="TN24" s="101"/>
      <c r="TO24" s="101"/>
      <c r="TP24" s="101"/>
      <c r="TQ24" s="101"/>
      <c r="TR24" s="101"/>
      <c r="TS24" s="101"/>
      <c r="TT24" s="101"/>
      <c r="TU24" s="101"/>
      <c r="TV24" s="101"/>
      <c r="TW24" s="101"/>
      <c r="TX24" s="101"/>
      <c r="TY24" s="101"/>
      <c r="TZ24" s="101"/>
      <c r="UA24" s="101"/>
      <c r="UB24" s="101"/>
      <c r="UC24" s="101"/>
      <c r="UD24" s="101"/>
      <c r="UE24" s="101"/>
      <c r="UF24" s="101"/>
      <c r="UG24" s="101"/>
      <c r="UH24" s="101"/>
      <c r="UI24" s="101"/>
      <c r="UJ24" s="101"/>
      <c r="UK24" s="101"/>
      <c r="UL24" s="101"/>
      <c r="UM24" s="101"/>
      <c r="UN24" s="101"/>
      <c r="UO24" s="101"/>
      <c r="UP24" s="101"/>
      <c r="UQ24" s="101"/>
      <c r="UR24" s="101"/>
      <c r="US24" s="101"/>
      <c r="UT24" s="101"/>
      <c r="UU24" s="101"/>
      <c r="UV24" s="101"/>
      <c r="UW24" s="101"/>
      <c r="UX24" s="101"/>
      <c r="UY24" s="101"/>
      <c r="UZ24" s="101"/>
      <c r="VA24" s="101"/>
      <c r="VB24" s="101"/>
      <c r="VC24" s="101"/>
      <c r="VD24" s="101"/>
      <c r="VE24" s="101"/>
      <c r="VF24" s="101"/>
      <c r="VG24" s="101"/>
      <c r="VH24" s="101"/>
      <c r="VI24" s="101"/>
      <c r="VJ24" s="101"/>
      <c r="VK24" s="101"/>
      <c r="VL24" s="101"/>
      <c r="VM24" s="101"/>
      <c r="VN24" s="101"/>
      <c r="VO24" s="101"/>
      <c r="VP24" s="101"/>
      <c r="VQ24" s="101"/>
      <c r="VR24" s="101"/>
      <c r="VS24" s="101"/>
      <c r="VT24" s="101"/>
      <c r="VU24" s="101"/>
      <c r="VV24" s="101"/>
      <c r="VW24" s="101"/>
      <c r="VX24" s="101"/>
      <c r="VY24" s="101"/>
      <c r="VZ24" s="101"/>
      <c r="WA24" s="101"/>
      <c r="WB24" s="101"/>
      <c r="WC24" s="101"/>
      <c r="WD24" s="101"/>
      <c r="WE24" s="101"/>
      <c r="WF24" s="101"/>
      <c r="WG24" s="101"/>
      <c r="WH24" s="101"/>
      <c r="WI24" s="101"/>
      <c r="WJ24" s="101"/>
      <c r="WK24" s="101"/>
      <c r="WL24" s="101"/>
      <c r="WM24" s="101"/>
      <c r="WN24" s="101"/>
      <c r="WO24" s="101"/>
      <c r="WP24" s="101"/>
      <c r="WQ24" s="101"/>
      <c r="WR24" s="101"/>
      <c r="WS24" s="101"/>
      <c r="WT24" s="101"/>
      <c r="WU24" s="101"/>
      <c r="WV24" s="101"/>
      <c r="WW24" s="101"/>
      <c r="WX24" s="101"/>
      <c r="WY24" s="101"/>
      <c r="WZ24" s="101"/>
      <c r="XA24" s="101"/>
      <c r="XB24" s="101"/>
      <c r="XC24" s="101"/>
      <c r="XD24" s="101"/>
      <c r="XE24" s="101"/>
      <c r="XF24" s="101"/>
      <c r="XG24" s="101"/>
      <c r="XH24" s="101"/>
      <c r="XI24" s="101"/>
      <c r="XJ24" s="101"/>
      <c r="XK24" s="101"/>
      <c r="XL24" s="101"/>
      <c r="XM24" s="101"/>
      <c r="XN24" s="101"/>
      <c r="XO24" s="101"/>
      <c r="XP24" s="101"/>
      <c r="XQ24" s="101"/>
      <c r="XR24" s="101"/>
      <c r="XS24" s="101"/>
      <c r="XT24" s="101"/>
      <c r="XU24" s="101"/>
      <c r="XV24" s="101"/>
      <c r="XW24" s="101"/>
      <c r="XX24" s="101"/>
      <c r="XY24" s="101"/>
      <c r="XZ24" s="101"/>
      <c r="YA24" s="101"/>
      <c r="YB24" s="101"/>
      <c r="YC24" s="101"/>
      <c r="YD24" s="101"/>
      <c r="YE24" s="101"/>
      <c r="YF24" s="101"/>
      <c r="YG24" s="101"/>
      <c r="YH24" s="101"/>
      <c r="YI24" s="101"/>
      <c r="YJ24" s="101"/>
      <c r="YK24" s="101"/>
      <c r="YL24" s="101"/>
      <c r="YM24" s="101"/>
      <c r="YN24" s="101"/>
      <c r="YO24" s="101"/>
      <c r="YP24" s="101"/>
      <c r="YQ24" s="101"/>
      <c r="YR24" s="101"/>
      <c r="YS24" s="101"/>
      <c r="YT24" s="101"/>
      <c r="YU24" s="101"/>
      <c r="YV24" s="101"/>
      <c r="YW24" s="101"/>
      <c r="YX24" s="101"/>
      <c r="YY24" s="101"/>
      <c r="YZ24" s="101"/>
      <c r="ZA24" s="101"/>
      <c r="ZB24" s="101"/>
      <c r="ZC24" s="101"/>
      <c r="ZD24" s="101"/>
      <c r="ZE24" s="101"/>
      <c r="ZF24" s="101"/>
      <c r="ZG24" s="101"/>
      <c r="ZH24" s="101"/>
      <c r="ZI24" s="101"/>
      <c r="ZJ24" s="101"/>
      <c r="ZK24" s="101"/>
      <c r="ZL24" s="101"/>
      <c r="ZM24" s="101"/>
      <c r="ZN24" s="101"/>
      <c r="ZO24" s="101"/>
      <c r="ZP24" s="101"/>
      <c r="ZQ24" s="101"/>
      <c r="ZR24" s="101"/>
      <c r="ZS24" s="101"/>
      <c r="ZT24" s="101"/>
      <c r="ZU24" s="101"/>
      <c r="ZV24" s="101"/>
      <c r="ZW24" s="101"/>
      <c r="ZX24" s="101"/>
      <c r="ZY24" s="101"/>
      <c r="ZZ24" s="101"/>
      <c r="AAA24" s="101"/>
      <c r="AAB24" s="101"/>
      <c r="AAC24" s="101"/>
      <c r="AAD24" s="101"/>
      <c r="AAE24" s="101"/>
      <c r="AAF24" s="101"/>
      <c r="AAG24" s="101"/>
      <c r="AAH24" s="101"/>
      <c r="AAI24" s="101"/>
      <c r="AAJ24" s="101"/>
      <c r="AAK24" s="101"/>
      <c r="AAL24" s="101"/>
      <c r="AAM24" s="101"/>
      <c r="AAN24" s="101"/>
      <c r="AAO24" s="101"/>
      <c r="AAP24" s="101"/>
      <c r="AAQ24" s="101"/>
      <c r="AAR24" s="101"/>
      <c r="AAS24" s="101"/>
      <c r="AAT24" s="101"/>
      <c r="AAU24" s="101"/>
      <c r="AAV24" s="101"/>
      <c r="AAW24" s="101"/>
      <c r="AAX24" s="101"/>
      <c r="AAY24" s="101"/>
      <c r="AAZ24" s="101"/>
      <c r="ABA24" s="101"/>
      <c r="ABB24" s="101"/>
      <c r="ABC24" s="101"/>
      <c r="ABD24" s="101"/>
      <c r="ABE24" s="101"/>
      <c r="ABF24" s="101"/>
      <c r="ABG24" s="101"/>
      <c r="ABH24" s="101"/>
      <c r="ABI24" s="101"/>
      <c r="ABJ24" s="101"/>
      <c r="ABK24" s="101"/>
      <c r="ABL24" s="101"/>
      <c r="ABM24" s="101"/>
      <c r="ABN24" s="101"/>
      <c r="ABO24" s="101"/>
      <c r="ABP24" s="101"/>
      <c r="ABQ24" s="101"/>
      <c r="ABR24" s="101"/>
      <c r="ABS24" s="101"/>
      <c r="ABT24" s="101"/>
      <c r="ABU24" s="101"/>
      <c r="ABV24" s="101"/>
      <c r="ABW24" s="101"/>
      <c r="ABX24" s="101"/>
      <c r="ABY24" s="101"/>
      <c r="ABZ24" s="101"/>
      <c r="ACA24" s="101"/>
      <c r="ACB24" s="101"/>
      <c r="ACC24" s="101"/>
      <c r="ACD24" s="101"/>
      <c r="ACE24" s="101"/>
      <c r="ACF24" s="101"/>
      <c r="ACG24" s="101"/>
      <c r="ACH24" s="101"/>
      <c r="ACI24" s="101"/>
      <c r="ACJ24" s="101"/>
      <c r="ACK24" s="101"/>
      <c r="ACL24" s="101"/>
      <c r="ACM24" s="101"/>
      <c r="ACN24" s="101"/>
      <c r="ACO24" s="101"/>
      <c r="ACP24" s="101"/>
      <c r="ACQ24" s="101"/>
      <c r="ACR24" s="101"/>
      <c r="ACS24" s="101"/>
      <c r="ACT24" s="101"/>
      <c r="ACU24" s="101"/>
      <c r="ACV24" s="101"/>
      <c r="ACW24" s="101"/>
      <c r="ACX24" s="101"/>
      <c r="ACY24" s="101"/>
      <c r="ACZ24" s="101"/>
      <c r="ADA24" s="101"/>
      <c r="ADB24" s="101"/>
      <c r="ADC24" s="101"/>
      <c r="ADD24" s="101"/>
      <c r="ADE24" s="101"/>
      <c r="ADF24" s="101"/>
      <c r="ADG24" s="101"/>
      <c r="ADH24" s="101"/>
      <c r="ADI24" s="101"/>
      <c r="ADJ24" s="101"/>
      <c r="ADK24" s="101"/>
      <c r="ADL24" s="101"/>
      <c r="ADM24" s="101"/>
      <c r="ADN24" s="101"/>
      <c r="ADO24" s="101"/>
      <c r="ADP24" s="101"/>
      <c r="ADQ24" s="101"/>
      <c r="ADR24" s="101"/>
      <c r="ADS24" s="101"/>
      <c r="ADT24" s="101"/>
      <c r="ADU24" s="101"/>
      <c r="ADV24" s="101"/>
      <c r="ADW24" s="101"/>
      <c r="ADX24" s="101"/>
      <c r="ADY24" s="101"/>
      <c r="ADZ24" s="101"/>
      <c r="AEA24" s="101"/>
      <c r="AEB24" s="101"/>
      <c r="AEC24" s="101"/>
      <c r="AED24" s="101"/>
      <c r="AEE24" s="101"/>
      <c r="AEF24" s="101"/>
      <c r="AEG24" s="101"/>
      <c r="AEH24" s="101"/>
      <c r="AEI24" s="101"/>
      <c r="AEJ24" s="101"/>
      <c r="AEK24" s="101"/>
      <c r="AEL24" s="101"/>
      <c r="AEM24" s="101"/>
      <c r="AEN24" s="101"/>
      <c r="AEO24" s="101"/>
      <c r="AEP24" s="101"/>
      <c r="AEQ24" s="101"/>
      <c r="AER24" s="101"/>
      <c r="AES24" s="101"/>
      <c r="AET24" s="101"/>
      <c r="AEU24" s="101"/>
      <c r="AEV24" s="101"/>
      <c r="AEW24" s="101"/>
      <c r="AEX24" s="101"/>
      <c r="AEY24" s="101"/>
      <c r="AEZ24" s="101"/>
      <c r="AFA24" s="101"/>
      <c r="AFB24" s="101"/>
      <c r="AFC24" s="101"/>
      <c r="AFD24" s="101"/>
      <c r="AFE24" s="101"/>
      <c r="AFF24" s="101"/>
      <c r="AFG24" s="101"/>
      <c r="AFH24" s="101"/>
      <c r="AFI24" s="101"/>
      <c r="AFJ24" s="101"/>
      <c r="AFK24" s="101"/>
      <c r="AFL24" s="101"/>
      <c r="AFM24" s="101"/>
      <c r="AFN24" s="101"/>
      <c r="AFO24" s="101"/>
      <c r="AFP24" s="101"/>
      <c r="AFQ24" s="101"/>
      <c r="AFR24" s="101"/>
      <c r="AFS24" s="101"/>
      <c r="AFT24" s="101"/>
      <c r="AFU24" s="101"/>
      <c r="AFV24" s="101"/>
      <c r="AFW24" s="101"/>
      <c r="AFX24" s="101"/>
      <c r="AFY24" s="101"/>
      <c r="AFZ24" s="101"/>
      <c r="AGA24" s="101"/>
      <c r="AGB24" s="101"/>
      <c r="AGC24" s="101"/>
      <c r="AGD24" s="101"/>
      <c r="AGE24" s="101"/>
      <c r="AGF24" s="101"/>
      <c r="AGG24" s="101"/>
      <c r="AGH24" s="101"/>
      <c r="AGI24" s="101"/>
      <c r="AGJ24" s="101"/>
      <c r="AGK24" s="101"/>
      <c r="AGL24" s="101"/>
      <c r="AGM24" s="101"/>
      <c r="AGN24" s="101"/>
      <c r="AGO24" s="101"/>
      <c r="AGP24" s="101"/>
      <c r="AGQ24" s="101"/>
      <c r="AGR24" s="101"/>
      <c r="AGS24" s="101"/>
      <c r="AGT24" s="101"/>
      <c r="AGU24" s="101"/>
      <c r="AGV24" s="101"/>
      <c r="AGW24" s="101"/>
      <c r="AGX24" s="101"/>
      <c r="AGY24" s="101"/>
      <c r="AGZ24" s="101"/>
      <c r="AHA24" s="101"/>
      <c r="AHB24" s="101"/>
      <c r="AHC24" s="101"/>
      <c r="AHD24" s="101"/>
      <c r="AHE24" s="101"/>
      <c r="AHF24" s="101"/>
      <c r="AHG24" s="101"/>
      <c r="AHH24" s="101"/>
      <c r="AHI24" s="101"/>
      <c r="AHJ24" s="101"/>
      <c r="AHK24" s="101"/>
      <c r="AHL24" s="101"/>
      <c r="AHM24" s="101"/>
      <c r="AHN24" s="101"/>
      <c r="AHO24" s="101"/>
      <c r="AHP24" s="101"/>
      <c r="AHQ24" s="101"/>
      <c r="AHR24" s="101"/>
      <c r="AHS24" s="101"/>
      <c r="AHT24" s="101"/>
      <c r="AHU24" s="101"/>
      <c r="AHV24" s="101"/>
      <c r="AHW24" s="101"/>
      <c r="AHX24" s="101"/>
      <c r="AHY24" s="101"/>
      <c r="AHZ24" s="101"/>
      <c r="AIA24" s="101"/>
      <c r="AIB24" s="101"/>
      <c r="AIC24" s="101"/>
      <c r="AID24" s="101"/>
      <c r="AIE24" s="101"/>
      <c r="AIF24" s="101"/>
      <c r="AIG24" s="101"/>
      <c r="AIH24" s="101"/>
      <c r="AII24" s="101"/>
      <c r="AIJ24" s="101"/>
      <c r="AIK24" s="101"/>
      <c r="AIL24" s="101"/>
      <c r="AIM24" s="101"/>
      <c r="AIN24" s="101"/>
      <c r="AIO24" s="101"/>
      <c r="AIP24" s="101"/>
      <c r="AIQ24" s="101"/>
      <c r="AIR24" s="101"/>
      <c r="AIS24" s="101"/>
      <c r="AIT24" s="101"/>
      <c r="AIU24" s="101"/>
      <c r="AIV24" s="101"/>
      <c r="AIW24" s="101"/>
      <c r="AIX24" s="101"/>
      <c r="AIY24" s="101"/>
      <c r="AIZ24" s="101"/>
      <c r="AJA24" s="101"/>
      <c r="AJB24" s="101"/>
      <c r="AJC24" s="101"/>
      <c r="AJD24" s="101"/>
      <c r="AJE24" s="101"/>
      <c r="AJF24" s="101"/>
      <c r="AJG24" s="101"/>
      <c r="AJH24" s="101"/>
      <c r="AJI24" s="101"/>
      <c r="AJJ24" s="101"/>
      <c r="AJK24" s="101"/>
      <c r="AJL24" s="101"/>
      <c r="AJM24" s="101"/>
      <c r="AJN24" s="101"/>
      <c r="AJO24" s="101"/>
      <c r="AJP24" s="101"/>
      <c r="AJQ24" s="101"/>
      <c r="AJR24" s="101"/>
      <c r="AJS24" s="101"/>
      <c r="AJT24" s="101"/>
      <c r="AJU24" s="101"/>
      <c r="AJV24" s="101"/>
      <c r="AJW24" s="101"/>
      <c r="AJX24" s="101"/>
      <c r="AJY24" s="101"/>
      <c r="AJZ24" s="101"/>
      <c r="AKA24" s="101"/>
      <c r="AKB24" s="101"/>
      <c r="AKC24" s="101"/>
      <c r="AKD24" s="101"/>
      <c r="AKE24" s="101"/>
      <c r="AKF24" s="101"/>
      <c r="AKG24" s="101"/>
      <c r="AKH24" s="101"/>
      <c r="AKI24" s="101"/>
      <c r="AKJ24" s="101"/>
      <c r="AKK24" s="101"/>
      <c r="AKL24" s="101"/>
      <c r="AKM24" s="101"/>
      <c r="AKN24" s="101"/>
      <c r="AKO24" s="101"/>
      <c r="AKP24" s="101"/>
      <c r="AKQ24" s="101"/>
      <c r="AKR24" s="101"/>
      <c r="AKS24" s="101"/>
      <c r="AKT24" s="101"/>
      <c r="AKU24" s="101"/>
      <c r="AKV24" s="101"/>
      <c r="AKW24" s="101"/>
      <c r="AKX24" s="101"/>
      <c r="AKY24" s="101"/>
      <c r="AKZ24" s="101"/>
      <c r="ALA24" s="101"/>
      <c r="ALB24" s="101"/>
      <c r="ALC24" s="101"/>
      <c r="ALD24" s="101"/>
      <c r="ALE24" s="101"/>
      <c r="ALF24" s="101"/>
      <c r="ALG24" s="101"/>
      <c r="ALH24" s="101"/>
      <c r="ALI24" s="101"/>
      <c r="ALJ24" s="101"/>
      <c r="ALK24" s="101"/>
      <c r="ALL24" s="101"/>
      <c r="ALM24" s="101"/>
      <c r="ALN24" s="101"/>
      <c r="ALO24" s="101"/>
      <c r="ALP24" s="101"/>
      <c r="ALQ24" s="101"/>
      <c r="ALR24" s="101"/>
      <c r="ALS24" s="101"/>
      <c r="ALT24" s="101"/>
      <c r="ALU24" s="101"/>
      <c r="ALV24" s="101"/>
      <c r="ALW24" s="101"/>
      <c r="ALX24" s="101"/>
      <c r="ALY24" s="101"/>
      <c r="ALZ24" s="101"/>
      <c r="AMA24" s="101"/>
      <c r="AMB24" s="101"/>
      <c r="AMC24" s="101"/>
      <c r="AMD24" s="101"/>
      <c r="AME24" s="101"/>
      <c r="AMF24" s="101"/>
      <c r="AMG24" s="101"/>
      <c r="AMH24" s="101"/>
      <c r="AMI24" s="101"/>
      <c r="AMJ24" s="101"/>
      <c r="AMK24" s="101"/>
      <c r="AML24" s="101"/>
      <c r="AMM24" s="101"/>
      <c r="AMN24" s="101"/>
      <c r="AMO24" s="101"/>
      <c r="AMP24" s="101"/>
      <c r="AMQ24" s="101"/>
      <c r="AMR24" s="101"/>
      <c r="AMS24" s="101"/>
      <c r="AMT24" s="101"/>
      <c r="AMU24" s="101"/>
      <c r="AMV24" s="101"/>
      <c r="AMW24" s="101"/>
      <c r="AMX24" s="101"/>
      <c r="AMY24" s="101"/>
      <c r="AMZ24" s="101"/>
      <c r="ANA24" s="101"/>
      <c r="ANB24" s="101"/>
      <c r="ANC24" s="101"/>
      <c r="AND24" s="101"/>
      <c r="ANE24" s="101"/>
      <c r="ANF24" s="101"/>
      <c r="ANG24" s="101"/>
      <c r="ANH24" s="101"/>
      <c r="ANI24" s="101"/>
      <c r="ANJ24" s="101"/>
      <c r="ANK24" s="101"/>
      <c r="ANL24" s="101"/>
      <c r="ANM24" s="101"/>
      <c r="ANN24" s="101"/>
      <c r="ANO24" s="101"/>
      <c r="ANP24" s="101"/>
      <c r="ANQ24" s="101"/>
      <c r="ANR24" s="101"/>
      <c r="ANS24" s="101"/>
      <c r="ANT24" s="101"/>
      <c r="ANU24" s="101"/>
      <c r="ANV24" s="101"/>
      <c r="ANW24" s="101"/>
      <c r="ANX24" s="101"/>
      <c r="ANY24" s="101"/>
      <c r="ANZ24" s="101"/>
      <c r="AOA24" s="101"/>
      <c r="AOB24" s="101"/>
      <c r="AOC24" s="101"/>
      <c r="AOD24" s="101"/>
      <c r="AOE24" s="101"/>
      <c r="AOF24" s="101"/>
      <c r="AOG24" s="101"/>
      <c r="AOH24" s="101"/>
      <c r="AOI24" s="101"/>
      <c r="AOJ24" s="101"/>
      <c r="AOK24" s="101"/>
      <c r="AOL24" s="101"/>
      <c r="AOM24" s="101"/>
      <c r="AON24" s="101"/>
      <c r="AOO24" s="101"/>
      <c r="AOP24" s="101"/>
      <c r="AOQ24" s="101"/>
      <c r="AOR24" s="101"/>
      <c r="AOS24" s="101"/>
      <c r="AOT24" s="101"/>
      <c r="AOU24" s="101"/>
      <c r="AOV24" s="101"/>
      <c r="AOW24" s="101"/>
      <c r="AOX24" s="101"/>
      <c r="AOY24" s="101"/>
      <c r="AOZ24" s="101"/>
      <c r="APA24" s="101"/>
      <c r="APB24" s="101"/>
      <c r="APC24" s="101"/>
      <c r="APD24" s="101"/>
      <c r="APE24" s="101"/>
      <c r="APF24" s="101"/>
      <c r="APG24" s="101"/>
      <c r="APH24" s="101"/>
      <c r="API24" s="101"/>
      <c r="APJ24" s="101"/>
      <c r="APK24" s="101"/>
      <c r="APL24" s="101"/>
      <c r="APM24" s="101"/>
      <c r="APN24" s="101"/>
      <c r="APO24" s="101"/>
      <c r="APP24" s="101"/>
      <c r="APQ24" s="101"/>
      <c r="APR24" s="101"/>
      <c r="APS24" s="101"/>
      <c r="APT24" s="101"/>
      <c r="APU24" s="101"/>
      <c r="APV24" s="101"/>
      <c r="APW24" s="101"/>
      <c r="APX24" s="101"/>
      <c r="APY24" s="101"/>
      <c r="APZ24" s="101"/>
      <c r="AQA24" s="101"/>
      <c r="AQB24" s="101"/>
      <c r="AQC24" s="101"/>
      <c r="AQD24" s="101"/>
      <c r="AQE24" s="101"/>
      <c r="AQF24" s="101"/>
      <c r="AQG24" s="101"/>
      <c r="AQH24" s="101"/>
      <c r="AQI24" s="101"/>
      <c r="AQJ24" s="101"/>
      <c r="AQK24" s="101"/>
      <c r="AQL24" s="101"/>
      <c r="AQM24" s="101"/>
      <c r="AQN24" s="101"/>
      <c r="AQO24" s="101"/>
      <c r="AQP24" s="101"/>
      <c r="AQQ24" s="101"/>
      <c r="AQR24" s="101"/>
      <c r="AQS24" s="101"/>
      <c r="AQT24" s="101"/>
      <c r="AQU24" s="101"/>
      <c r="AQV24" s="101"/>
      <c r="AQW24" s="101"/>
      <c r="AQX24" s="101"/>
      <c r="AQY24" s="101"/>
      <c r="AQZ24" s="101"/>
      <c r="ARA24" s="101"/>
      <c r="ARB24" s="101"/>
      <c r="ARC24" s="101"/>
      <c r="ARD24" s="101"/>
      <c r="ARE24" s="101"/>
      <c r="ARF24" s="101"/>
      <c r="ARG24" s="101"/>
      <c r="ARH24" s="101"/>
      <c r="ARI24" s="101"/>
      <c r="ARJ24" s="101"/>
      <c r="ARK24" s="101"/>
      <c r="ARL24" s="101"/>
      <c r="ARM24" s="101"/>
      <c r="ARN24" s="101"/>
      <c r="ARO24" s="101"/>
      <c r="ARP24" s="101"/>
      <c r="ARQ24" s="101"/>
      <c r="ARR24" s="101"/>
      <c r="ARS24" s="101"/>
      <c r="ART24" s="101"/>
      <c r="ARU24" s="101"/>
      <c r="ARV24" s="101"/>
      <c r="ARW24" s="101"/>
      <c r="ARX24" s="101"/>
      <c r="ARY24" s="101"/>
      <c r="ARZ24" s="101"/>
      <c r="ASA24" s="101"/>
      <c r="ASB24" s="101"/>
      <c r="ASC24" s="101"/>
      <c r="ASD24" s="101"/>
      <c r="ASE24" s="101"/>
      <c r="ASF24" s="101"/>
      <c r="ASG24" s="101"/>
      <c r="ASH24" s="101"/>
      <c r="ASI24" s="101"/>
      <c r="ASJ24" s="101"/>
      <c r="ASK24" s="101"/>
      <c r="ASL24" s="101"/>
      <c r="ASM24" s="101"/>
      <c r="ASN24" s="101"/>
      <c r="ASO24" s="101"/>
      <c r="ASP24" s="101"/>
      <c r="ASQ24" s="101"/>
      <c r="ASR24" s="101"/>
      <c r="ASS24" s="101"/>
      <c r="AST24" s="101"/>
      <c r="ASU24" s="101"/>
      <c r="ASV24" s="101"/>
      <c r="ASW24" s="101"/>
      <c r="ASX24" s="101"/>
      <c r="ASY24" s="101"/>
      <c r="ASZ24" s="101"/>
      <c r="ATA24" s="101"/>
      <c r="ATB24" s="101"/>
      <c r="ATC24" s="101"/>
      <c r="ATD24" s="101"/>
      <c r="ATE24" s="101"/>
      <c r="ATF24" s="101"/>
      <c r="ATG24" s="101"/>
      <c r="ATH24" s="101"/>
      <c r="ATI24" s="101"/>
      <c r="ATJ24" s="101"/>
      <c r="ATK24" s="101"/>
      <c r="ATL24" s="101"/>
      <c r="ATM24" s="101"/>
      <c r="ATN24" s="101"/>
      <c r="ATO24" s="101"/>
      <c r="ATP24" s="101"/>
      <c r="ATQ24" s="101"/>
      <c r="ATR24" s="101"/>
      <c r="ATS24" s="101"/>
      <c r="ATT24" s="101"/>
      <c r="ATU24" s="101"/>
      <c r="ATV24" s="101"/>
      <c r="ATW24" s="101"/>
      <c r="ATX24" s="101"/>
      <c r="ATY24" s="101"/>
      <c r="ATZ24" s="101"/>
      <c r="AUA24" s="101"/>
      <c r="AUB24" s="101"/>
      <c r="AUC24" s="101"/>
      <c r="AUD24" s="101"/>
      <c r="AUE24" s="101"/>
      <c r="AUF24" s="101"/>
      <c r="AUG24" s="101"/>
      <c r="AUH24" s="101"/>
      <c r="AUI24" s="101"/>
      <c r="AUJ24" s="101"/>
      <c r="AUK24" s="101"/>
      <c r="AUL24" s="101"/>
      <c r="AUM24" s="101"/>
      <c r="AUN24" s="101"/>
      <c r="AUO24" s="101"/>
      <c r="AUP24" s="101"/>
      <c r="AUQ24" s="101"/>
      <c r="AUR24" s="101"/>
      <c r="AUS24" s="101"/>
      <c r="AUT24" s="101"/>
      <c r="AUU24" s="101"/>
      <c r="AUV24" s="101"/>
      <c r="AUW24" s="101"/>
      <c r="AUX24" s="101"/>
      <c r="AUY24" s="101"/>
      <c r="AUZ24" s="101"/>
      <c r="AVA24" s="101"/>
      <c r="AVB24" s="101"/>
      <c r="AVC24" s="101"/>
      <c r="AVD24" s="101"/>
      <c r="AVE24" s="101"/>
      <c r="AVF24" s="101"/>
      <c r="AVG24" s="101"/>
      <c r="AVH24" s="101"/>
      <c r="AVI24" s="101"/>
      <c r="AVJ24" s="101"/>
      <c r="AVK24" s="101"/>
      <c r="AVL24" s="101"/>
      <c r="AVM24" s="101"/>
      <c r="AVN24" s="101"/>
      <c r="AVO24" s="101"/>
      <c r="AVP24" s="101"/>
      <c r="AVQ24" s="101"/>
      <c r="AVR24" s="101"/>
      <c r="AVS24" s="101"/>
      <c r="AVT24" s="101"/>
      <c r="AVU24" s="101"/>
      <c r="AVV24" s="101"/>
      <c r="AVW24" s="101"/>
      <c r="AVX24" s="101"/>
      <c r="AVY24" s="101"/>
      <c r="AVZ24" s="101"/>
      <c r="AWA24" s="101"/>
      <c r="AWB24" s="101"/>
      <c r="AWC24" s="101"/>
      <c r="AWD24" s="101"/>
      <c r="AWE24" s="101"/>
      <c r="AWF24" s="101"/>
      <c r="AWG24" s="101"/>
      <c r="AWH24" s="101"/>
      <c r="AWI24" s="101"/>
      <c r="AWJ24" s="101"/>
      <c r="AWK24" s="101"/>
      <c r="AWL24" s="101"/>
      <c r="AWM24" s="101"/>
      <c r="AWN24" s="101"/>
      <c r="AWO24" s="101"/>
      <c r="AWP24" s="101"/>
      <c r="AWQ24" s="101"/>
      <c r="AWR24" s="101"/>
      <c r="AWS24" s="101"/>
      <c r="AWT24" s="101"/>
      <c r="AWU24" s="101"/>
      <c r="AWV24" s="101"/>
      <c r="AWW24" s="101"/>
      <c r="AWX24" s="101"/>
      <c r="AWY24" s="101"/>
      <c r="AWZ24" s="101"/>
      <c r="AXA24" s="101"/>
      <c r="AXB24" s="101"/>
      <c r="AXC24" s="101"/>
      <c r="AXD24" s="101"/>
      <c r="AXE24" s="101"/>
      <c r="AXF24" s="101"/>
      <c r="AXG24" s="101"/>
      <c r="AXH24" s="101"/>
      <c r="AXI24" s="101"/>
      <c r="AXJ24" s="101"/>
      <c r="AXK24" s="101"/>
      <c r="AXL24" s="101"/>
      <c r="AXM24" s="101"/>
      <c r="AXN24" s="101"/>
      <c r="AXO24" s="101"/>
      <c r="AXP24" s="101"/>
      <c r="AXQ24" s="101"/>
      <c r="AXR24" s="101"/>
      <c r="AXS24" s="101"/>
      <c r="AXT24" s="101"/>
      <c r="AXU24" s="101"/>
      <c r="AXV24" s="101"/>
      <c r="AXW24" s="101"/>
      <c r="AXX24" s="101"/>
      <c r="AXY24" s="101"/>
      <c r="AXZ24" s="101"/>
      <c r="AYA24" s="101"/>
      <c r="AYB24" s="101"/>
      <c r="AYC24" s="101"/>
      <c r="AYD24" s="101"/>
      <c r="AYE24" s="101"/>
      <c r="AYF24" s="101"/>
      <c r="AYG24" s="101"/>
      <c r="AYH24" s="101"/>
      <c r="AYI24" s="101"/>
      <c r="AYJ24" s="101"/>
      <c r="AYK24" s="101"/>
      <c r="AYL24" s="101"/>
      <c r="AYM24" s="101"/>
      <c r="AYN24" s="101"/>
      <c r="AYO24" s="101"/>
      <c r="AYP24" s="101"/>
      <c r="AYQ24" s="101"/>
      <c r="AYR24" s="101"/>
      <c r="AYS24" s="101"/>
      <c r="AYT24" s="101"/>
      <c r="AYU24" s="101"/>
      <c r="AYV24" s="101"/>
      <c r="AYW24" s="101"/>
      <c r="AYX24" s="101"/>
      <c r="AYY24" s="101"/>
      <c r="AYZ24" s="101"/>
      <c r="AZA24" s="101"/>
      <c r="AZB24" s="101"/>
      <c r="AZC24" s="101"/>
      <c r="AZD24" s="101"/>
      <c r="AZE24" s="101"/>
      <c r="AZF24" s="101"/>
      <c r="AZG24" s="101"/>
      <c r="AZH24" s="101"/>
      <c r="AZI24" s="101"/>
      <c r="AZJ24" s="101"/>
      <c r="AZK24" s="101"/>
      <c r="AZL24" s="101"/>
      <c r="AZM24" s="101"/>
      <c r="AZN24" s="101"/>
      <c r="AZO24" s="101"/>
      <c r="AZP24" s="101"/>
      <c r="AZQ24" s="101"/>
      <c r="AZR24" s="101"/>
      <c r="AZS24" s="101"/>
      <c r="AZT24" s="101"/>
      <c r="AZU24" s="101"/>
      <c r="AZV24" s="101"/>
      <c r="AZW24" s="101"/>
      <c r="AZX24" s="101"/>
      <c r="AZY24" s="101"/>
      <c r="AZZ24" s="101"/>
      <c r="BAA24" s="101"/>
      <c r="BAB24" s="101"/>
      <c r="BAC24" s="101"/>
      <c r="BAD24" s="101"/>
      <c r="BAE24" s="101"/>
      <c r="BAF24" s="101"/>
      <c r="BAG24" s="101"/>
      <c r="BAH24" s="101"/>
      <c r="BAI24" s="101"/>
      <c r="BAJ24" s="101"/>
      <c r="BAK24" s="101"/>
      <c r="BAL24" s="101"/>
      <c r="BAM24" s="101"/>
      <c r="BAN24" s="101"/>
      <c r="BAO24" s="101"/>
      <c r="BAP24" s="101"/>
      <c r="BAQ24" s="101"/>
      <c r="BAR24" s="101"/>
      <c r="BAS24" s="101"/>
      <c r="BAT24" s="101"/>
      <c r="BAU24" s="101"/>
      <c r="BAV24" s="101"/>
      <c r="BAW24" s="101"/>
      <c r="BAX24" s="101"/>
      <c r="BAY24" s="101"/>
      <c r="BAZ24" s="101"/>
      <c r="BBA24" s="101"/>
      <c r="BBB24" s="101"/>
      <c r="BBC24" s="101"/>
      <c r="BBD24" s="101"/>
      <c r="BBE24" s="101"/>
      <c r="BBF24" s="101"/>
      <c r="BBG24" s="101"/>
      <c r="BBH24" s="101"/>
      <c r="BBI24" s="101"/>
      <c r="BBJ24" s="101"/>
      <c r="BBK24" s="101"/>
      <c r="BBL24" s="101"/>
      <c r="BBM24" s="101"/>
      <c r="BBN24" s="101"/>
      <c r="BBO24" s="101"/>
      <c r="BBP24" s="101"/>
      <c r="BBQ24" s="101"/>
      <c r="BBR24" s="101"/>
      <c r="BBS24" s="101"/>
      <c r="BBT24" s="101"/>
      <c r="BBU24" s="101"/>
      <c r="BBV24" s="101"/>
      <c r="BBW24" s="101"/>
      <c r="BBX24" s="101"/>
      <c r="BBY24" s="101"/>
      <c r="BBZ24" s="101"/>
      <c r="BCA24" s="101"/>
      <c r="BCB24" s="101"/>
      <c r="BCC24" s="101"/>
      <c r="BCD24" s="101"/>
      <c r="BCE24" s="101"/>
      <c r="BCF24" s="101"/>
      <c r="BCG24" s="101"/>
      <c r="BCH24" s="101"/>
      <c r="BCI24" s="101"/>
      <c r="BCJ24" s="101"/>
      <c r="BCK24" s="101"/>
      <c r="BCL24" s="101"/>
      <c r="BCM24" s="101"/>
      <c r="BCN24" s="101"/>
      <c r="BCO24" s="101"/>
      <c r="BCP24" s="101"/>
      <c r="BCQ24" s="101"/>
      <c r="BCR24" s="101"/>
      <c r="BCS24" s="101"/>
      <c r="BCT24" s="101"/>
      <c r="BCU24" s="101"/>
      <c r="BCV24" s="101"/>
      <c r="BCW24" s="101"/>
      <c r="BCX24" s="101"/>
      <c r="BCY24" s="101"/>
      <c r="BCZ24" s="101"/>
      <c r="BDA24" s="101"/>
      <c r="BDB24" s="101"/>
      <c r="BDC24" s="101"/>
      <c r="BDD24" s="101"/>
      <c r="BDE24" s="101"/>
      <c r="BDF24" s="101"/>
      <c r="BDG24" s="101"/>
      <c r="BDH24" s="101"/>
      <c r="BDI24" s="101"/>
      <c r="BDJ24" s="101"/>
      <c r="BDK24" s="101"/>
      <c r="BDL24" s="101"/>
      <c r="BDM24" s="101"/>
      <c r="BDN24" s="101"/>
      <c r="BDO24" s="101"/>
      <c r="BDP24" s="101"/>
      <c r="BDQ24" s="101"/>
      <c r="BDR24" s="101"/>
      <c r="BDS24" s="101"/>
      <c r="BDT24" s="101"/>
      <c r="BDU24" s="101"/>
      <c r="BDV24" s="101"/>
      <c r="BDW24" s="101"/>
      <c r="BDX24" s="101"/>
      <c r="BDY24" s="101"/>
      <c r="BDZ24" s="101"/>
      <c r="BEA24" s="101"/>
      <c r="BEB24" s="101"/>
      <c r="BEC24" s="101"/>
      <c r="BED24" s="101"/>
      <c r="BEE24" s="101"/>
      <c r="BEF24" s="101"/>
      <c r="BEG24" s="101"/>
      <c r="BEH24" s="101"/>
      <c r="BEI24" s="101"/>
      <c r="BEJ24" s="101"/>
      <c r="BEK24" s="101"/>
      <c r="BEL24" s="101"/>
      <c r="BEM24" s="101"/>
      <c r="BEN24" s="101"/>
      <c r="BEO24" s="101"/>
      <c r="BEP24" s="101"/>
      <c r="BEQ24" s="101"/>
      <c r="BER24" s="101"/>
      <c r="BES24" s="101"/>
      <c r="BET24" s="101"/>
      <c r="BEU24" s="101"/>
      <c r="BEV24" s="101"/>
      <c r="BEW24" s="101"/>
      <c r="BEX24" s="101"/>
      <c r="BEY24" s="101"/>
      <c r="BEZ24" s="101"/>
      <c r="BFA24" s="101"/>
      <c r="BFB24" s="101"/>
      <c r="BFC24" s="101"/>
      <c r="BFD24" s="101"/>
      <c r="BFE24" s="101"/>
      <c r="BFF24" s="101"/>
      <c r="BFG24" s="101"/>
      <c r="BFH24" s="101"/>
      <c r="BFI24" s="101"/>
      <c r="BFJ24" s="101"/>
      <c r="BFK24" s="101"/>
      <c r="BFL24" s="101"/>
      <c r="BFM24" s="101"/>
      <c r="BFN24" s="101"/>
      <c r="BFO24" s="101"/>
      <c r="BFP24" s="101"/>
      <c r="BFQ24" s="101"/>
      <c r="BFR24" s="101"/>
      <c r="BFS24" s="101"/>
      <c r="BFT24" s="101"/>
      <c r="BFU24" s="101"/>
      <c r="BFV24" s="101"/>
      <c r="BFW24" s="101"/>
      <c r="BFX24" s="101"/>
      <c r="BFY24" s="101"/>
      <c r="BFZ24" s="101"/>
      <c r="BGA24" s="101"/>
      <c r="BGB24" s="101"/>
      <c r="BGC24" s="101"/>
      <c r="BGD24" s="101"/>
      <c r="BGE24" s="101"/>
      <c r="BGF24" s="101"/>
      <c r="BGG24" s="101"/>
      <c r="BGH24" s="101"/>
      <c r="BGI24" s="101"/>
      <c r="BGJ24" s="101"/>
      <c r="BGK24" s="101"/>
      <c r="BGL24" s="101"/>
      <c r="BGM24" s="101"/>
      <c r="BGN24" s="101"/>
      <c r="BGO24" s="101"/>
      <c r="BGP24" s="101"/>
      <c r="BGQ24" s="101"/>
      <c r="BGR24" s="101"/>
      <c r="BGS24" s="101"/>
      <c r="BGT24" s="101"/>
      <c r="BGU24" s="101"/>
      <c r="BGV24" s="101"/>
      <c r="BGW24" s="101"/>
      <c r="BGX24" s="101"/>
      <c r="BGY24" s="101"/>
      <c r="BGZ24" s="101"/>
      <c r="BHA24" s="101"/>
      <c r="BHB24" s="101"/>
      <c r="BHC24" s="101"/>
      <c r="BHD24" s="101"/>
      <c r="BHE24" s="101"/>
      <c r="BHF24" s="101"/>
      <c r="BHG24" s="101"/>
      <c r="BHH24" s="101"/>
      <c r="BHI24" s="101"/>
      <c r="BHJ24" s="101"/>
      <c r="BHK24" s="101"/>
      <c r="BHL24" s="101"/>
      <c r="BHM24" s="101"/>
      <c r="BHN24" s="101"/>
      <c r="BHO24" s="101"/>
      <c r="BHP24" s="101"/>
      <c r="BHQ24" s="101"/>
      <c r="BHR24" s="101"/>
      <c r="BHS24" s="101"/>
      <c r="BHT24" s="101"/>
      <c r="BHU24" s="101"/>
      <c r="BHV24" s="101"/>
      <c r="BHW24" s="101"/>
      <c r="BHX24" s="101"/>
      <c r="BHY24" s="101"/>
      <c r="BHZ24" s="101"/>
      <c r="BIA24" s="101"/>
      <c r="BIB24" s="101"/>
      <c r="BIC24" s="101"/>
      <c r="BID24" s="101"/>
      <c r="BIE24" s="101"/>
      <c r="BIF24" s="101"/>
      <c r="BIG24" s="101"/>
      <c r="BIH24" s="101"/>
      <c r="BII24" s="101"/>
      <c r="BIJ24" s="101"/>
      <c r="BIK24" s="101"/>
      <c r="BIL24" s="101"/>
      <c r="BIM24" s="101"/>
      <c r="BIN24" s="101"/>
      <c r="BIO24" s="101"/>
      <c r="BIP24" s="101"/>
      <c r="BIQ24" s="101"/>
      <c r="BIR24" s="101"/>
      <c r="BIS24" s="101"/>
      <c r="BIT24" s="101"/>
      <c r="BIU24" s="101"/>
      <c r="BIV24" s="101"/>
      <c r="BIW24" s="101"/>
      <c r="BIX24" s="101"/>
      <c r="BIY24" s="101"/>
      <c r="BIZ24" s="101"/>
      <c r="BJA24" s="101"/>
      <c r="BJB24" s="101"/>
      <c r="BJC24" s="101"/>
      <c r="BJD24" s="101"/>
      <c r="BJE24" s="101"/>
      <c r="BJF24" s="101"/>
      <c r="BJG24" s="101"/>
      <c r="BJH24" s="101"/>
      <c r="BJI24" s="101"/>
      <c r="BJJ24" s="101"/>
      <c r="BJK24" s="101"/>
      <c r="BJL24" s="101"/>
      <c r="BJM24" s="101"/>
      <c r="BJN24" s="101"/>
      <c r="BJO24" s="101"/>
      <c r="BJP24" s="101"/>
      <c r="BJQ24" s="101"/>
      <c r="BJR24" s="101"/>
      <c r="BJS24" s="101"/>
      <c r="BJT24" s="101"/>
      <c r="BJU24" s="101"/>
      <c r="BJV24" s="101"/>
      <c r="BJW24" s="101"/>
      <c r="BJX24" s="101"/>
      <c r="BJY24" s="101"/>
      <c r="BJZ24" s="101"/>
      <c r="BKA24" s="101"/>
      <c r="BKB24" s="101"/>
      <c r="BKC24" s="101"/>
      <c r="BKD24" s="101"/>
      <c r="BKE24" s="101"/>
      <c r="BKF24" s="101"/>
      <c r="BKG24" s="101"/>
      <c r="BKH24" s="101"/>
      <c r="BKI24" s="101"/>
      <c r="BKJ24" s="101"/>
      <c r="BKK24" s="101"/>
      <c r="BKL24" s="101"/>
      <c r="BKM24" s="101"/>
      <c r="BKN24" s="101"/>
      <c r="BKO24" s="101"/>
      <c r="BKP24" s="101"/>
      <c r="BKQ24" s="101"/>
      <c r="BKR24" s="101"/>
      <c r="BKS24" s="101"/>
      <c r="BKT24" s="101"/>
      <c r="BKU24" s="101"/>
      <c r="BKV24" s="101"/>
      <c r="BKW24" s="101"/>
      <c r="BKX24" s="101"/>
      <c r="BKY24" s="101"/>
      <c r="BKZ24" s="101"/>
      <c r="BLA24" s="101"/>
      <c r="BLB24" s="101"/>
      <c r="BLC24" s="101"/>
      <c r="BLD24" s="101"/>
      <c r="BLE24" s="101"/>
      <c r="BLF24" s="101"/>
      <c r="BLG24" s="101"/>
      <c r="BLH24" s="101"/>
      <c r="BLI24" s="101"/>
      <c r="BLJ24" s="101"/>
      <c r="BLK24" s="101"/>
      <c r="BLL24" s="101"/>
      <c r="BLM24" s="101"/>
      <c r="BLN24" s="101"/>
      <c r="BLO24" s="101"/>
      <c r="BLP24" s="101"/>
      <c r="BLQ24" s="101"/>
      <c r="BLR24" s="101"/>
      <c r="BLS24" s="101"/>
      <c r="BLT24" s="101"/>
      <c r="BLU24" s="101"/>
      <c r="BLV24" s="101"/>
      <c r="BLW24" s="101"/>
      <c r="BLX24" s="101"/>
      <c r="BLY24" s="101"/>
      <c r="BLZ24" s="101"/>
      <c r="BMA24" s="101"/>
      <c r="BMB24" s="101"/>
      <c r="BMC24" s="101"/>
      <c r="BMD24" s="101"/>
      <c r="BME24" s="101"/>
      <c r="BMF24" s="101"/>
      <c r="BMG24" s="101"/>
      <c r="BMH24" s="101"/>
      <c r="BMI24" s="101"/>
      <c r="BMJ24" s="101"/>
      <c r="BMK24" s="101"/>
      <c r="BML24" s="101"/>
      <c r="BMM24" s="101"/>
      <c r="BMN24" s="101"/>
      <c r="BMO24" s="101"/>
      <c r="BMP24" s="101"/>
      <c r="BMQ24" s="101"/>
      <c r="BMR24" s="101"/>
      <c r="BMS24" s="101"/>
      <c r="BMT24" s="101"/>
      <c r="BMU24" s="101"/>
      <c r="BMV24" s="101"/>
      <c r="BMW24" s="101"/>
      <c r="BMX24" s="101"/>
      <c r="BMY24" s="101"/>
      <c r="BMZ24" s="101"/>
      <c r="BNA24" s="101"/>
      <c r="BNB24" s="101"/>
      <c r="BNC24" s="101"/>
      <c r="BND24" s="101"/>
      <c r="BNE24" s="101"/>
      <c r="BNF24" s="101"/>
      <c r="BNG24" s="101"/>
      <c r="BNH24" s="101"/>
      <c r="BNI24" s="101"/>
      <c r="BNJ24" s="101"/>
      <c r="BNK24" s="101"/>
      <c r="BNL24" s="101"/>
      <c r="BNM24" s="101"/>
      <c r="BNN24" s="101"/>
      <c r="BNO24" s="101"/>
      <c r="BNP24" s="101"/>
      <c r="BNQ24" s="101"/>
      <c r="BNR24" s="101"/>
      <c r="BNS24" s="101"/>
      <c r="BNT24" s="101"/>
      <c r="BNU24" s="101"/>
      <c r="BNV24" s="101"/>
      <c r="BNW24" s="101"/>
      <c r="BNX24" s="101"/>
      <c r="BNY24" s="101"/>
      <c r="BNZ24" s="101"/>
      <c r="BOA24" s="101"/>
      <c r="BOB24" s="101"/>
      <c r="BOC24" s="101"/>
      <c r="BOD24" s="101"/>
      <c r="BOE24" s="101"/>
      <c r="BOF24" s="101"/>
      <c r="BOG24" s="101"/>
      <c r="BOH24" s="101"/>
      <c r="BOI24" s="101"/>
      <c r="BOJ24" s="101"/>
      <c r="BOK24" s="101"/>
      <c r="BOL24" s="101"/>
      <c r="BOM24" s="101"/>
      <c r="BON24" s="101"/>
      <c r="BOO24" s="101"/>
      <c r="BOP24" s="101"/>
      <c r="BOQ24" s="101"/>
      <c r="BOR24" s="101"/>
      <c r="BOS24" s="101"/>
      <c r="BOT24" s="101"/>
      <c r="BOU24" s="101"/>
      <c r="BOV24" s="101"/>
      <c r="BOW24" s="101"/>
      <c r="BOX24" s="101"/>
      <c r="BOY24" s="101"/>
      <c r="BOZ24" s="101"/>
      <c r="BPA24" s="101"/>
      <c r="BPB24" s="101"/>
      <c r="BPC24" s="167"/>
    </row>
    <row r="25" s="103" customFormat="1" ht="75" customHeight="1" outlineLevel="1" spans="1:1024 1025:1771">
      <c r="A25" s="157" t="s">
        <v>92</v>
      </c>
      <c r="B25" s="151" t="s">
        <v>1067</v>
      </c>
      <c r="C25" s="158" t="s">
        <v>1068</v>
      </c>
      <c r="D25" s="153" t="s">
        <v>1044</v>
      </c>
      <c r="E25" s="154"/>
      <c r="F25" s="159"/>
      <c r="G25" s="160"/>
      <c r="H25" s="155">
        <v>46137</v>
      </c>
      <c r="I25" s="168" t="s">
        <v>8</v>
      </c>
      <c r="J25" s="169" t="s">
        <v>1069</v>
      </c>
      <c r="K25" s="5" t="s">
        <v>1070</v>
      </c>
      <c r="L25" s="5" t="s">
        <v>1041</v>
      </c>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c r="DK25" s="101"/>
      <c r="DL25" s="101"/>
      <c r="DM25" s="101"/>
      <c r="DN25" s="101"/>
      <c r="DO25" s="101"/>
      <c r="DP25" s="101"/>
      <c r="DQ25" s="101"/>
      <c r="DR25" s="101"/>
      <c r="DS25" s="101"/>
      <c r="DT25" s="101"/>
      <c r="DU25" s="101"/>
      <c r="DV25" s="101"/>
      <c r="DW25" s="101"/>
      <c r="DX25" s="101"/>
      <c r="DY25" s="101"/>
      <c r="DZ25" s="101"/>
      <c r="EA25" s="101"/>
      <c r="EB25" s="101"/>
      <c r="EC25" s="101"/>
      <c r="ED25" s="101"/>
      <c r="EE25" s="101"/>
      <c r="EF25" s="101"/>
      <c r="EG25" s="101"/>
      <c r="EH25" s="101"/>
      <c r="EI25" s="101"/>
      <c r="EJ25" s="101"/>
      <c r="EK25" s="101"/>
      <c r="EL25" s="101"/>
      <c r="EM25" s="101"/>
      <c r="EN25" s="101"/>
      <c r="EO25" s="101"/>
      <c r="EP25" s="101"/>
      <c r="EQ25" s="101"/>
      <c r="ER25" s="101"/>
      <c r="ES25" s="101"/>
      <c r="ET25" s="101"/>
      <c r="EU25" s="101"/>
      <c r="EV25" s="101"/>
      <c r="EW25" s="101"/>
      <c r="EX25" s="101"/>
      <c r="EY25" s="101"/>
      <c r="EZ25" s="101"/>
      <c r="FA25" s="101"/>
      <c r="FB25" s="101"/>
      <c r="FC25" s="101"/>
      <c r="FD25" s="101"/>
      <c r="FE25" s="101"/>
      <c r="FF25" s="101"/>
      <c r="FG25" s="101"/>
      <c r="FH25" s="101"/>
      <c r="FI25" s="101"/>
      <c r="FJ25" s="101"/>
      <c r="FK25" s="101"/>
      <c r="FL25" s="101"/>
      <c r="FM25" s="101"/>
      <c r="FN25" s="101"/>
      <c r="FO25" s="101"/>
      <c r="FP25" s="101"/>
      <c r="FQ25" s="101"/>
      <c r="FR25" s="101"/>
      <c r="FS25" s="101"/>
      <c r="FT25" s="101"/>
      <c r="FU25" s="101"/>
      <c r="FV25" s="101"/>
      <c r="FW25" s="101"/>
      <c r="FX25" s="101"/>
      <c r="FY25" s="101"/>
      <c r="FZ25" s="101"/>
      <c r="GA25" s="101"/>
      <c r="GB25" s="101"/>
      <c r="GC25" s="101"/>
      <c r="GD25" s="101"/>
      <c r="GE25" s="101"/>
      <c r="GF25" s="101"/>
      <c r="GG25" s="101"/>
      <c r="GH25" s="101"/>
      <c r="GI25" s="101"/>
      <c r="GJ25" s="101"/>
      <c r="GK25" s="101"/>
      <c r="GL25" s="101"/>
      <c r="GM25" s="101"/>
      <c r="GN25" s="101"/>
      <c r="GO25" s="101"/>
      <c r="GP25" s="101"/>
      <c r="GQ25" s="101"/>
      <c r="GR25" s="101"/>
      <c r="GS25" s="101"/>
      <c r="GT25" s="101"/>
      <c r="GU25" s="101"/>
      <c r="GV25" s="101"/>
      <c r="GW25" s="101"/>
      <c r="GX25" s="101"/>
      <c r="GY25" s="101"/>
      <c r="GZ25" s="101"/>
      <c r="HA25" s="101"/>
      <c r="HB25" s="101"/>
      <c r="HC25" s="101"/>
      <c r="HD25" s="101"/>
      <c r="HE25" s="101"/>
      <c r="HF25" s="101"/>
      <c r="HG25" s="101"/>
      <c r="HH25" s="101"/>
      <c r="HI25" s="101"/>
      <c r="HJ25" s="101"/>
      <c r="HK25" s="101"/>
      <c r="HL25" s="101"/>
      <c r="HM25" s="101"/>
      <c r="HN25" s="101"/>
      <c r="HO25" s="101"/>
      <c r="HP25" s="101"/>
      <c r="HQ25" s="101"/>
      <c r="HR25" s="101"/>
      <c r="HS25" s="101"/>
      <c r="HT25" s="101"/>
      <c r="HU25" s="101"/>
      <c r="HV25" s="101"/>
      <c r="HW25" s="101"/>
      <c r="HX25" s="101"/>
      <c r="HY25" s="101"/>
      <c r="HZ25" s="101"/>
      <c r="IA25" s="101"/>
      <c r="IB25" s="101"/>
      <c r="IC25" s="101"/>
      <c r="ID25" s="101"/>
      <c r="IE25" s="101"/>
      <c r="IF25" s="101"/>
      <c r="IG25" s="101"/>
      <c r="IH25" s="101"/>
      <c r="II25" s="101"/>
      <c r="IJ25" s="101"/>
      <c r="IK25" s="101"/>
      <c r="IL25" s="101"/>
      <c r="IM25" s="101"/>
      <c r="IN25" s="101"/>
      <c r="IO25" s="101"/>
      <c r="IP25" s="101"/>
      <c r="IQ25" s="101"/>
      <c r="IR25" s="101"/>
      <c r="IS25" s="101"/>
      <c r="IT25" s="101"/>
      <c r="IU25" s="101"/>
      <c r="IV25" s="101"/>
      <c r="IW25" s="101"/>
      <c r="IX25" s="101"/>
      <c r="IY25" s="101"/>
      <c r="IZ25" s="101"/>
      <c r="JA25" s="101"/>
      <c r="JB25" s="101"/>
      <c r="JC25" s="101"/>
      <c r="JD25" s="101"/>
      <c r="JE25" s="101"/>
      <c r="JF25" s="101"/>
      <c r="JG25" s="101"/>
      <c r="JH25" s="101"/>
      <c r="JI25" s="101"/>
      <c r="JJ25" s="101"/>
      <c r="JK25" s="101"/>
      <c r="JL25" s="101"/>
      <c r="JM25" s="101"/>
      <c r="JN25" s="101"/>
      <c r="JO25" s="101"/>
      <c r="JP25" s="101"/>
      <c r="JQ25" s="101"/>
      <c r="JR25" s="101"/>
      <c r="JS25" s="101"/>
      <c r="JT25" s="101"/>
      <c r="JU25" s="101"/>
      <c r="JV25" s="101"/>
      <c r="JW25" s="101"/>
      <c r="JX25" s="101"/>
      <c r="JY25" s="101"/>
      <c r="JZ25" s="101"/>
      <c r="KA25" s="101"/>
      <c r="KB25" s="101"/>
      <c r="KC25" s="101"/>
      <c r="KD25" s="101"/>
      <c r="KE25" s="101"/>
      <c r="KF25" s="101"/>
      <c r="KG25" s="101"/>
      <c r="KH25" s="101"/>
      <c r="KI25" s="101"/>
      <c r="KJ25" s="101"/>
      <c r="KK25" s="101"/>
      <c r="KL25" s="101"/>
      <c r="KM25" s="101"/>
      <c r="KN25" s="101"/>
      <c r="KO25" s="101"/>
      <c r="KP25" s="101"/>
      <c r="KQ25" s="101"/>
      <c r="KR25" s="101"/>
      <c r="KS25" s="101"/>
      <c r="KT25" s="101"/>
      <c r="KU25" s="101"/>
      <c r="KV25" s="101"/>
      <c r="KW25" s="101"/>
      <c r="KX25" s="101"/>
      <c r="KY25" s="101"/>
      <c r="KZ25" s="101"/>
      <c r="LA25" s="101"/>
      <c r="LB25" s="101"/>
      <c r="LC25" s="101"/>
      <c r="LD25" s="101"/>
      <c r="LE25" s="101"/>
      <c r="LF25" s="101"/>
      <c r="LG25" s="101"/>
      <c r="LH25" s="101"/>
      <c r="LI25" s="101"/>
      <c r="LJ25" s="101"/>
      <c r="LK25" s="101"/>
      <c r="LL25" s="101"/>
      <c r="LM25" s="101"/>
      <c r="LN25" s="101"/>
      <c r="LO25" s="101"/>
      <c r="LP25" s="101"/>
      <c r="LQ25" s="101"/>
      <c r="LR25" s="101"/>
      <c r="LS25" s="101"/>
      <c r="LT25" s="101"/>
      <c r="LU25" s="101"/>
      <c r="LV25" s="101"/>
      <c r="LW25" s="101"/>
      <c r="LX25" s="101"/>
      <c r="LY25" s="101"/>
      <c r="LZ25" s="101"/>
      <c r="MA25" s="101"/>
      <c r="MB25" s="101"/>
      <c r="MC25" s="101"/>
      <c r="MD25" s="101"/>
      <c r="ME25" s="101"/>
      <c r="MF25" s="101"/>
      <c r="MG25" s="101"/>
      <c r="MH25" s="101"/>
      <c r="MI25" s="101"/>
      <c r="MJ25" s="101"/>
      <c r="MK25" s="101"/>
      <c r="ML25" s="101"/>
      <c r="MM25" s="101"/>
      <c r="MN25" s="101"/>
      <c r="MO25" s="101"/>
      <c r="MP25" s="101"/>
      <c r="MQ25" s="101"/>
      <c r="MR25" s="101"/>
      <c r="MS25" s="101"/>
      <c r="MT25" s="101"/>
      <c r="MU25" s="101"/>
      <c r="MV25" s="101"/>
      <c r="MW25" s="101"/>
      <c r="MX25" s="101"/>
      <c r="MY25" s="101"/>
      <c r="MZ25" s="101"/>
      <c r="NA25" s="101"/>
      <c r="NB25" s="101"/>
      <c r="NC25" s="101"/>
      <c r="ND25" s="101"/>
      <c r="NE25" s="101"/>
      <c r="NF25" s="101"/>
      <c r="NG25" s="101"/>
      <c r="NH25" s="101"/>
      <c r="NI25" s="101"/>
      <c r="NJ25" s="101"/>
      <c r="NK25" s="101"/>
      <c r="NL25" s="101"/>
      <c r="NM25" s="101"/>
      <c r="NN25" s="101"/>
      <c r="NO25" s="101"/>
      <c r="NP25" s="101"/>
      <c r="NQ25" s="101"/>
      <c r="NR25" s="101"/>
      <c r="NS25" s="101"/>
      <c r="NT25" s="101"/>
      <c r="NU25" s="101"/>
      <c r="NV25" s="101"/>
      <c r="NW25" s="101"/>
      <c r="NX25" s="101"/>
      <c r="NY25" s="101"/>
      <c r="NZ25" s="101"/>
      <c r="OA25" s="101"/>
      <c r="OB25" s="101"/>
      <c r="OC25" s="101"/>
      <c r="OD25" s="101"/>
      <c r="OE25" s="101"/>
      <c r="OF25" s="101"/>
      <c r="OG25" s="101"/>
      <c r="OH25" s="101"/>
      <c r="OI25" s="101"/>
      <c r="OJ25" s="101"/>
      <c r="OK25" s="101"/>
      <c r="OL25" s="101"/>
      <c r="OM25" s="101"/>
      <c r="ON25" s="101"/>
      <c r="OO25" s="101"/>
      <c r="OP25" s="101"/>
      <c r="OQ25" s="101"/>
      <c r="OR25" s="101"/>
      <c r="OS25" s="101"/>
      <c r="OT25" s="101"/>
      <c r="OU25" s="101"/>
      <c r="OV25" s="101"/>
      <c r="OW25" s="101"/>
      <c r="OX25" s="101"/>
      <c r="OY25" s="101"/>
      <c r="OZ25" s="101"/>
      <c r="PA25" s="101"/>
      <c r="PB25" s="101"/>
      <c r="PC25" s="101"/>
      <c r="PD25" s="101"/>
      <c r="PE25" s="101"/>
      <c r="PF25" s="101"/>
      <c r="PG25" s="101"/>
      <c r="PH25" s="101"/>
      <c r="PI25" s="101"/>
      <c r="PJ25" s="101"/>
      <c r="PK25" s="101"/>
      <c r="PL25" s="101"/>
      <c r="PM25" s="101"/>
      <c r="PN25" s="101"/>
      <c r="PO25" s="101"/>
      <c r="PP25" s="101"/>
      <c r="PQ25" s="101"/>
      <c r="PR25" s="101"/>
      <c r="PS25" s="101"/>
      <c r="PT25" s="101"/>
      <c r="PU25" s="101"/>
      <c r="PV25" s="101"/>
      <c r="PW25" s="101"/>
      <c r="PX25" s="101"/>
      <c r="PY25" s="101"/>
      <c r="PZ25" s="101"/>
      <c r="QA25" s="101"/>
      <c r="QB25" s="101"/>
      <c r="QC25" s="101"/>
      <c r="QD25" s="101"/>
      <c r="QE25" s="101"/>
      <c r="QF25" s="101"/>
      <c r="QG25" s="101"/>
      <c r="QH25" s="101"/>
      <c r="QI25" s="101"/>
      <c r="QJ25" s="101"/>
      <c r="QK25" s="101"/>
      <c r="QL25" s="101"/>
      <c r="QM25" s="101"/>
      <c r="QN25" s="101"/>
      <c r="QO25" s="101"/>
      <c r="QP25" s="101"/>
      <c r="QQ25" s="101"/>
      <c r="QR25" s="101"/>
      <c r="QS25" s="101"/>
      <c r="QT25" s="101"/>
      <c r="QU25" s="101"/>
      <c r="QV25" s="101"/>
      <c r="QW25" s="101"/>
      <c r="QX25" s="101"/>
      <c r="QY25" s="101"/>
      <c r="QZ25" s="101"/>
      <c r="RA25" s="101"/>
      <c r="RB25" s="101"/>
      <c r="RC25" s="101"/>
      <c r="RD25" s="101"/>
      <c r="RE25" s="101"/>
      <c r="RF25" s="101"/>
      <c r="RG25" s="101"/>
      <c r="RH25" s="101"/>
      <c r="RI25" s="101"/>
      <c r="RJ25" s="101"/>
      <c r="RK25" s="101"/>
      <c r="RL25" s="101"/>
      <c r="RM25" s="101"/>
      <c r="RN25" s="101"/>
      <c r="RO25" s="101"/>
      <c r="RP25" s="101"/>
      <c r="RQ25" s="101"/>
      <c r="RR25" s="101"/>
      <c r="RS25" s="101"/>
      <c r="RT25" s="101"/>
      <c r="RU25" s="101"/>
      <c r="RV25" s="101"/>
      <c r="RW25" s="101"/>
      <c r="RX25" s="101"/>
      <c r="RY25" s="101"/>
      <c r="RZ25" s="101"/>
      <c r="SA25" s="101"/>
      <c r="SB25" s="101"/>
      <c r="SC25" s="101"/>
      <c r="SD25" s="101"/>
      <c r="SE25" s="101"/>
      <c r="SF25" s="101"/>
      <c r="SG25" s="101"/>
      <c r="SH25" s="101"/>
      <c r="SI25" s="101"/>
      <c r="SJ25" s="101"/>
      <c r="SK25" s="101"/>
      <c r="SL25" s="101"/>
      <c r="SM25" s="101"/>
      <c r="SN25" s="101"/>
      <c r="SO25" s="101"/>
      <c r="SP25" s="101"/>
      <c r="SQ25" s="101"/>
      <c r="SR25" s="101"/>
      <c r="SS25" s="101"/>
      <c r="ST25" s="101"/>
      <c r="SU25" s="101"/>
      <c r="SV25" s="101"/>
      <c r="SW25" s="101"/>
      <c r="SX25" s="101"/>
      <c r="SY25" s="101"/>
      <c r="SZ25" s="101"/>
      <c r="TA25" s="101"/>
      <c r="TB25" s="101"/>
      <c r="TC25" s="101"/>
      <c r="TD25" s="101"/>
      <c r="TE25" s="101"/>
      <c r="TF25" s="101"/>
      <c r="TG25" s="101"/>
      <c r="TH25" s="101"/>
      <c r="TI25" s="101"/>
      <c r="TJ25" s="101"/>
      <c r="TK25" s="101"/>
      <c r="TL25" s="101"/>
      <c r="TM25" s="101"/>
      <c r="TN25" s="101"/>
      <c r="TO25" s="101"/>
      <c r="TP25" s="101"/>
      <c r="TQ25" s="101"/>
      <c r="TR25" s="101"/>
      <c r="TS25" s="101"/>
      <c r="TT25" s="101"/>
      <c r="TU25" s="101"/>
      <c r="TV25" s="101"/>
      <c r="TW25" s="101"/>
      <c r="TX25" s="101"/>
      <c r="TY25" s="101"/>
      <c r="TZ25" s="101"/>
      <c r="UA25" s="101"/>
      <c r="UB25" s="101"/>
      <c r="UC25" s="101"/>
      <c r="UD25" s="101"/>
      <c r="UE25" s="101"/>
      <c r="UF25" s="101"/>
      <c r="UG25" s="101"/>
      <c r="UH25" s="101"/>
      <c r="UI25" s="101"/>
      <c r="UJ25" s="101"/>
      <c r="UK25" s="101"/>
      <c r="UL25" s="101"/>
      <c r="UM25" s="101"/>
      <c r="UN25" s="101"/>
      <c r="UO25" s="101"/>
      <c r="UP25" s="101"/>
      <c r="UQ25" s="101"/>
      <c r="UR25" s="101"/>
      <c r="US25" s="101"/>
      <c r="UT25" s="101"/>
      <c r="UU25" s="101"/>
      <c r="UV25" s="101"/>
      <c r="UW25" s="101"/>
      <c r="UX25" s="101"/>
      <c r="UY25" s="101"/>
      <c r="UZ25" s="101"/>
      <c r="VA25" s="101"/>
      <c r="VB25" s="101"/>
      <c r="VC25" s="101"/>
      <c r="VD25" s="101"/>
      <c r="VE25" s="101"/>
      <c r="VF25" s="101"/>
      <c r="VG25" s="101"/>
      <c r="VH25" s="101"/>
      <c r="VI25" s="101"/>
      <c r="VJ25" s="101"/>
      <c r="VK25" s="101"/>
      <c r="VL25" s="101"/>
      <c r="VM25" s="101"/>
      <c r="VN25" s="101"/>
      <c r="VO25" s="101"/>
      <c r="VP25" s="101"/>
      <c r="VQ25" s="101"/>
      <c r="VR25" s="101"/>
      <c r="VS25" s="101"/>
      <c r="VT25" s="101"/>
      <c r="VU25" s="101"/>
      <c r="VV25" s="101"/>
      <c r="VW25" s="101"/>
      <c r="VX25" s="101"/>
      <c r="VY25" s="101"/>
      <c r="VZ25" s="101"/>
      <c r="WA25" s="101"/>
      <c r="WB25" s="101"/>
      <c r="WC25" s="101"/>
      <c r="WD25" s="101"/>
      <c r="WE25" s="101"/>
      <c r="WF25" s="101"/>
      <c r="WG25" s="101"/>
      <c r="WH25" s="101"/>
      <c r="WI25" s="101"/>
      <c r="WJ25" s="101"/>
      <c r="WK25" s="101"/>
      <c r="WL25" s="101"/>
      <c r="WM25" s="101"/>
      <c r="WN25" s="101"/>
      <c r="WO25" s="101"/>
      <c r="WP25" s="101"/>
      <c r="WQ25" s="101"/>
      <c r="WR25" s="101"/>
      <c r="WS25" s="101"/>
      <c r="WT25" s="101"/>
      <c r="WU25" s="101"/>
      <c r="WV25" s="101"/>
      <c r="WW25" s="101"/>
      <c r="WX25" s="101"/>
      <c r="WY25" s="101"/>
      <c r="WZ25" s="101"/>
      <c r="XA25" s="101"/>
      <c r="XB25" s="101"/>
      <c r="XC25" s="101"/>
      <c r="XD25" s="101"/>
      <c r="XE25" s="101"/>
      <c r="XF25" s="101"/>
      <c r="XG25" s="101"/>
      <c r="XH25" s="101"/>
      <c r="XI25" s="101"/>
      <c r="XJ25" s="101"/>
      <c r="XK25" s="101"/>
      <c r="XL25" s="101"/>
      <c r="XM25" s="101"/>
      <c r="XN25" s="101"/>
      <c r="XO25" s="101"/>
      <c r="XP25" s="101"/>
      <c r="XQ25" s="101"/>
      <c r="XR25" s="101"/>
      <c r="XS25" s="101"/>
      <c r="XT25" s="101"/>
      <c r="XU25" s="101"/>
      <c r="XV25" s="101"/>
      <c r="XW25" s="101"/>
      <c r="XX25" s="101"/>
      <c r="XY25" s="101"/>
      <c r="XZ25" s="101"/>
      <c r="YA25" s="101"/>
      <c r="YB25" s="101"/>
      <c r="YC25" s="101"/>
      <c r="YD25" s="101"/>
      <c r="YE25" s="101"/>
      <c r="YF25" s="101"/>
      <c r="YG25" s="101"/>
      <c r="YH25" s="101"/>
      <c r="YI25" s="101"/>
      <c r="YJ25" s="101"/>
      <c r="YK25" s="101"/>
      <c r="YL25" s="101"/>
      <c r="YM25" s="101"/>
      <c r="YN25" s="101"/>
      <c r="YO25" s="101"/>
      <c r="YP25" s="101"/>
      <c r="YQ25" s="101"/>
      <c r="YR25" s="101"/>
      <c r="YS25" s="101"/>
      <c r="YT25" s="101"/>
      <c r="YU25" s="101"/>
      <c r="YV25" s="101"/>
      <c r="YW25" s="101"/>
      <c r="YX25" s="101"/>
      <c r="YY25" s="101"/>
      <c r="YZ25" s="101"/>
      <c r="ZA25" s="101"/>
      <c r="ZB25" s="101"/>
      <c r="ZC25" s="101"/>
      <c r="ZD25" s="101"/>
      <c r="ZE25" s="101"/>
      <c r="ZF25" s="101"/>
      <c r="ZG25" s="101"/>
      <c r="ZH25" s="101"/>
      <c r="ZI25" s="101"/>
      <c r="ZJ25" s="101"/>
      <c r="ZK25" s="101"/>
      <c r="ZL25" s="101"/>
      <c r="ZM25" s="101"/>
      <c r="ZN25" s="101"/>
      <c r="ZO25" s="101"/>
      <c r="ZP25" s="101"/>
      <c r="ZQ25" s="101"/>
      <c r="ZR25" s="101"/>
      <c r="ZS25" s="101"/>
      <c r="ZT25" s="101"/>
      <c r="ZU25" s="101"/>
      <c r="ZV25" s="101"/>
      <c r="ZW25" s="101"/>
      <c r="ZX25" s="101"/>
      <c r="ZY25" s="101"/>
      <c r="ZZ25" s="101"/>
      <c r="AAA25" s="101"/>
      <c r="AAB25" s="101"/>
      <c r="AAC25" s="101"/>
      <c r="AAD25" s="101"/>
      <c r="AAE25" s="101"/>
      <c r="AAF25" s="101"/>
      <c r="AAG25" s="101"/>
      <c r="AAH25" s="101"/>
      <c r="AAI25" s="101"/>
      <c r="AAJ25" s="101"/>
      <c r="AAK25" s="101"/>
      <c r="AAL25" s="101"/>
      <c r="AAM25" s="101"/>
      <c r="AAN25" s="101"/>
      <c r="AAO25" s="101"/>
      <c r="AAP25" s="101"/>
      <c r="AAQ25" s="101"/>
      <c r="AAR25" s="101"/>
      <c r="AAS25" s="101"/>
      <c r="AAT25" s="101"/>
      <c r="AAU25" s="101"/>
      <c r="AAV25" s="101"/>
      <c r="AAW25" s="101"/>
      <c r="AAX25" s="101"/>
      <c r="AAY25" s="101"/>
      <c r="AAZ25" s="101"/>
      <c r="ABA25" s="101"/>
      <c r="ABB25" s="101"/>
      <c r="ABC25" s="101"/>
      <c r="ABD25" s="101"/>
      <c r="ABE25" s="101"/>
      <c r="ABF25" s="101"/>
      <c r="ABG25" s="101"/>
      <c r="ABH25" s="101"/>
      <c r="ABI25" s="101"/>
      <c r="ABJ25" s="101"/>
      <c r="ABK25" s="101"/>
      <c r="ABL25" s="101"/>
      <c r="ABM25" s="101"/>
      <c r="ABN25" s="101"/>
      <c r="ABO25" s="101"/>
      <c r="ABP25" s="101"/>
      <c r="ABQ25" s="101"/>
      <c r="ABR25" s="101"/>
      <c r="ABS25" s="101"/>
      <c r="ABT25" s="101"/>
      <c r="ABU25" s="101"/>
      <c r="ABV25" s="101"/>
      <c r="ABW25" s="101"/>
      <c r="ABX25" s="101"/>
      <c r="ABY25" s="101"/>
      <c r="ABZ25" s="101"/>
      <c r="ACA25" s="101"/>
      <c r="ACB25" s="101"/>
      <c r="ACC25" s="101"/>
      <c r="ACD25" s="101"/>
      <c r="ACE25" s="101"/>
      <c r="ACF25" s="101"/>
      <c r="ACG25" s="101"/>
      <c r="ACH25" s="101"/>
      <c r="ACI25" s="101"/>
      <c r="ACJ25" s="101"/>
      <c r="ACK25" s="101"/>
      <c r="ACL25" s="101"/>
      <c r="ACM25" s="101"/>
      <c r="ACN25" s="101"/>
      <c r="ACO25" s="101"/>
      <c r="ACP25" s="101"/>
      <c r="ACQ25" s="101"/>
      <c r="ACR25" s="101"/>
      <c r="ACS25" s="101"/>
      <c r="ACT25" s="101"/>
      <c r="ACU25" s="101"/>
      <c r="ACV25" s="101"/>
      <c r="ACW25" s="101"/>
      <c r="ACX25" s="101"/>
      <c r="ACY25" s="101"/>
      <c r="ACZ25" s="101"/>
      <c r="ADA25" s="101"/>
      <c r="ADB25" s="101"/>
      <c r="ADC25" s="101"/>
      <c r="ADD25" s="101"/>
      <c r="ADE25" s="101"/>
      <c r="ADF25" s="101"/>
      <c r="ADG25" s="101"/>
      <c r="ADH25" s="101"/>
      <c r="ADI25" s="101"/>
      <c r="ADJ25" s="101"/>
      <c r="ADK25" s="101"/>
      <c r="ADL25" s="101"/>
      <c r="ADM25" s="101"/>
      <c r="ADN25" s="101"/>
      <c r="ADO25" s="101"/>
      <c r="ADP25" s="101"/>
      <c r="ADQ25" s="101"/>
      <c r="ADR25" s="101"/>
      <c r="ADS25" s="101"/>
      <c r="ADT25" s="101"/>
      <c r="ADU25" s="101"/>
      <c r="ADV25" s="101"/>
      <c r="ADW25" s="101"/>
      <c r="ADX25" s="101"/>
      <c r="ADY25" s="101"/>
      <c r="ADZ25" s="101"/>
      <c r="AEA25" s="101"/>
      <c r="AEB25" s="101"/>
      <c r="AEC25" s="101"/>
      <c r="AED25" s="101"/>
      <c r="AEE25" s="101"/>
      <c r="AEF25" s="101"/>
      <c r="AEG25" s="101"/>
      <c r="AEH25" s="101"/>
      <c r="AEI25" s="101"/>
      <c r="AEJ25" s="101"/>
      <c r="AEK25" s="101"/>
      <c r="AEL25" s="101"/>
      <c r="AEM25" s="101"/>
      <c r="AEN25" s="101"/>
      <c r="AEO25" s="101"/>
      <c r="AEP25" s="101"/>
      <c r="AEQ25" s="101"/>
      <c r="AER25" s="101"/>
      <c r="AES25" s="101"/>
      <c r="AET25" s="101"/>
      <c r="AEU25" s="101"/>
      <c r="AEV25" s="101"/>
      <c r="AEW25" s="101"/>
      <c r="AEX25" s="101"/>
      <c r="AEY25" s="101"/>
      <c r="AEZ25" s="101"/>
      <c r="AFA25" s="101"/>
      <c r="AFB25" s="101"/>
      <c r="AFC25" s="101"/>
      <c r="AFD25" s="101"/>
      <c r="AFE25" s="101"/>
      <c r="AFF25" s="101"/>
      <c r="AFG25" s="101"/>
      <c r="AFH25" s="101"/>
      <c r="AFI25" s="101"/>
      <c r="AFJ25" s="101"/>
      <c r="AFK25" s="101"/>
      <c r="AFL25" s="101"/>
      <c r="AFM25" s="101"/>
      <c r="AFN25" s="101"/>
      <c r="AFO25" s="101"/>
      <c r="AFP25" s="101"/>
      <c r="AFQ25" s="101"/>
      <c r="AFR25" s="101"/>
      <c r="AFS25" s="101"/>
      <c r="AFT25" s="101"/>
      <c r="AFU25" s="101"/>
      <c r="AFV25" s="101"/>
      <c r="AFW25" s="101"/>
      <c r="AFX25" s="101"/>
      <c r="AFY25" s="101"/>
      <c r="AFZ25" s="101"/>
      <c r="AGA25" s="101"/>
      <c r="AGB25" s="101"/>
      <c r="AGC25" s="101"/>
      <c r="AGD25" s="101"/>
      <c r="AGE25" s="101"/>
      <c r="AGF25" s="101"/>
      <c r="AGG25" s="101"/>
      <c r="AGH25" s="101"/>
      <c r="AGI25" s="101"/>
      <c r="AGJ25" s="101"/>
      <c r="AGK25" s="101"/>
      <c r="AGL25" s="101"/>
      <c r="AGM25" s="101"/>
      <c r="AGN25" s="101"/>
      <c r="AGO25" s="101"/>
      <c r="AGP25" s="101"/>
      <c r="AGQ25" s="101"/>
      <c r="AGR25" s="101"/>
      <c r="AGS25" s="101"/>
      <c r="AGT25" s="101"/>
      <c r="AGU25" s="101"/>
      <c r="AGV25" s="101"/>
      <c r="AGW25" s="101"/>
      <c r="AGX25" s="101"/>
      <c r="AGY25" s="101"/>
      <c r="AGZ25" s="101"/>
      <c r="AHA25" s="101"/>
      <c r="AHB25" s="101"/>
      <c r="AHC25" s="101"/>
      <c r="AHD25" s="101"/>
      <c r="AHE25" s="101"/>
      <c r="AHF25" s="101"/>
      <c r="AHG25" s="101"/>
      <c r="AHH25" s="101"/>
      <c r="AHI25" s="101"/>
      <c r="AHJ25" s="101"/>
      <c r="AHK25" s="101"/>
      <c r="AHL25" s="101"/>
      <c r="AHM25" s="101"/>
      <c r="AHN25" s="101"/>
      <c r="AHO25" s="101"/>
      <c r="AHP25" s="101"/>
      <c r="AHQ25" s="101"/>
      <c r="AHR25" s="101"/>
      <c r="AHS25" s="101"/>
      <c r="AHT25" s="101"/>
      <c r="AHU25" s="101"/>
      <c r="AHV25" s="101"/>
      <c r="AHW25" s="101"/>
      <c r="AHX25" s="101"/>
      <c r="AHY25" s="101"/>
      <c r="AHZ25" s="101"/>
      <c r="AIA25" s="101"/>
      <c r="AIB25" s="101"/>
      <c r="AIC25" s="101"/>
      <c r="AID25" s="101"/>
      <c r="AIE25" s="101"/>
      <c r="AIF25" s="101"/>
      <c r="AIG25" s="101"/>
      <c r="AIH25" s="101"/>
      <c r="AII25" s="101"/>
      <c r="AIJ25" s="101"/>
      <c r="AIK25" s="101"/>
      <c r="AIL25" s="101"/>
      <c r="AIM25" s="101"/>
      <c r="AIN25" s="101"/>
      <c r="AIO25" s="101"/>
      <c r="AIP25" s="101"/>
      <c r="AIQ25" s="101"/>
      <c r="AIR25" s="101"/>
      <c r="AIS25" s="101"/>
      <c r="AIT25" s="101"/>
      <c r="AIU25" s="101"/>
      <c r="AIV25" s="101"/>
      <c r="AIW25" s="101"/>
      <c r="AIX25" s="101"/>
      <c r="AIY25" s="101"/>
      <c r="AIZ25" s="101"/>
      <c r="AJA25" s="101"/>
      <c r="AJB25" s="101"/>
      <c r="AJC25" s="101"/>
      <c r="AJD25" s="101"/>
      <c r="AJE25" s="101"/>
      <c r="AJF25" s="101"/>
      <c r="AJG25" s="101"/>
      <c r="AJH25" s="101"/>
      <c r="AJI25" s="101"/>
      <c r="AJJ25" s="101"/>
      <c r="AJK25" s="101"/>
      <c r="AJL25" s="101"/>
      <c r="AJM25" s="101"/>
      <c r="AJN25" s="101"/>
      <c r="AJO25" s="101"/>
      <c r="AJP25" s="101"/>
      <c r="AJQ25" s="101"/>
      <c r="AJR25" s="101"/>
      <c r="AJS25" s="101"/>
      <c r="AJT25" s="101"/>
      <c r="AJU25" s="101"/>
      <c r="AJV25" s="101"/>
      <c r="AJW25" s="101"/>
      <c r="AJX25" s="101"/>
      <c r="AJY25" s="101"/>
      <c r="AJZ25" s="101"/>
      <c r="AKA25" s="101"/>
      <c r="AKB25" s="101"/>
      <c r="AKC25" s="101"/>
      <c r="AKD25" s="101"/>
      <c r="AKE25" s="101"/>
      <c r="AKF25" s="101"/>
      <c r="AKG25" s="101"/>
      <c r="AKH25" s="101"/>
      <c r="AKI25" s="101"/>
      <c r="AKJ25" s="101"/>
      <c r="AKK25" s="101"/>
      <c r="AKL25" s="101"/>
      <c r="AKM25" s="101"/>
      <c r="AKN25" s="101"/>
      <c r="AKO25" s="101"/>
      <c r="AKP25" s="101"/>
      <c r="AKQ25" s="101"/>
      <c r="AKR25" s="101"/>
      <c r="AKS25" s="101"/>
      <c r="AKT25" s="101"/>
      <c r="AKU25" s="101"/>
      <c r="AKV25" s="101"/>
      <c r="AKW25" s="101"/>
      <c r="AKX25" s="101"/>
      <c r="AKY25" s="101"/>
      <c r="AKZ25" s="101"/>
      <c r="ALA25" s="101"/>
      <c r="ALB25" s="101"/>
      <c r="ALC25" s="101"/>
      <c r="ALD25" s="101"/>
      <c r="ALE25" s="101"/>
      <c r="ALF25" s="101"/>
      <c r="ALG25" s="101"/>
      <c r="ALH25" s="101"/>
      <c r="ALI25" s="101"/>
      <c r="ALJ25" s="101"/>
      <c r="ALK25" s="101"/>
      <c r="ALL25" s="101"/>
      <c r="ALM25" s="101"/>
      <c r="ALN25" s="101"/>
      <c r="ALO25" s="101"/>
      <c r="ALP25" s="101"/>
      <c r="ALQ25" s="101"/>
      <c r="ALR25" s="101"/>
      <c r="ALS25" s="101"/>
      <c r="ALT25" s="101"/>
      <c r="ALU25" s="101"/>
      <c r="ALV25" s="101"/>
      <c r="ALW25" s="101"/>
      <c r="ALX25" s="101"/>
      <c r="ALY25" s="101"/>
      <c r="ALZ25" s="101"/>
      <c r="AMA25" s="101"/>
      <c r="AMB25" s="101"/>
      <c r="AMC25" s="101"/>
      <c r="AMD25" s="101"/>
      <c r="AME25" s="101"/>
      <c r="AMF25" s="101"/>
      <c r="AMG25" s="101"/>
      <c r="AMH25" s="101"/>
      <c r="AMI25" s="101"/>
      <c r="AMJ25" s="101"/>
      <c r="AMK25" s="101"/>
      <c r="AML25" s="101"/>
      <c r="AMM25" s="101"/>
      <c r="AMN25" s="101"/>
      <c r="AMO25" s="101"/>
      <c r="AMP25" s="101"/>
      <c r="AMQ25" s="101"/>
      <c r="AMR25" s="101"/>
      <c r="AMS25" s="101"/>
      <c r="AMT25" s="101"/>
      <c r="AMU25" s="101"/>
      <c r="AMV25" s="101"/>
      <c r="AMW25" s="101"/>
      <c r="AMX25" s="101"/>
      <c r="AMY25" s="101"/>
      <c r="AMZ25" s="101"/>
      <c r="ANA25" s="101"/>
      <c r="ANB25" s="101"/>
      <c r="ANC25" s="101"/>
      <c r="AND25" s="101"/>
      <c r="ANE25" s="101"/>
      <c r="ANF25" s="101"/>
      <c r="ANG25" s="101"/>
      <c r="ANH25" s="101"/>
      <c r="ANI25" s="101"/>
      <c r="ANJ25" s="101"/>
      <c r="ANK25" s="101"/>
      <c r="ANL25" s="101"/>
      <c r="ANM25" s="101"/>
      <c r="ANN25" s="101"/>
      <c r="ANO25" s="101"/>
      <c r="ANP25" s="101"/>
      <c r="ANQ25" s="101"/>
      <c r="ANR25" s="101"/>
      <c r="ANS25" s="101"/>
      <c r="ANT25" s="101"/>
      <c r="ANU25" s="101"/>
      <c r="ANV25" s="101"/>
      <c r="ANW25" s="101"/>
      <c r="ANX25" s="101"/>
      <c r="ANY25" s="101"/>
      <c r="ANZ25" s="101"/>
      <c r="AOA25" s="101"/>
      <c r="AOB25" s="101"/>
      <c r="AOC25" s="101"/>
      <c r="AOD25" s="101"/>
      <c r="AOE25" s="101"/>
      <c r="AOF25" s="101"/>
      <c r="AOG25" s="101"/>
      <c r="AOH25" s="101"/>
      <c r="AOI25" s="101"/>
      <c r="AOJ25" s="101"/>
      <c r="AOK25" s="101"/>
      <c r="AOL25" s="101"/>
      <c r="AOM25" s="101"/>
      <c r="AON25" s="101"/>
      <c r="AOO25" s="101"/>
      <c r="AOP25" s="101"/>
      <c r="AOQ25" s="101"/>
      <c r="AOR25" s="101"/>
      <c r="AOS25" s="101"/>
      <c r="AOT25" s="101"/>
      <c r="AOU25" s="101"/>
      <c r="AOV25" s="101"/>
      <c r="AOW25" s="101"/>
      <c r="AOX25" s="101"/>
      <c r="AOY25" s="101"/>
      <c r="AOZ25" s="101"/>
      <c r="APA25" s="101"/>
      <c r="APB25" s="101"/>
      <c r="APC25" s="101"/>
      <c r="APD25" s="101"/>
      <c r="APE25" s="101"/>
      <c r="APF25" s="101"/>
      <c r="APG25" s="101"/>
      <c r="APH25" s="101"/>
      <c r="API25" s="101"/>
      <c r="APJ25" s="101"/>
      <c r="APK25" s="101"/>
      <c r="APL25" s="101"/>
      <c r="APM25" s="101"/>
      <c r="APN25" s="101"/>
      <c r="APO25" s="101"/>
      <c r="APP25" s="101"/>
      <c r="APQ25" s="101"/>
      <c r="APR25" s="101"/>
      <c r="APS25" s="101"/>
      <c r="APT25" s="101"/>
      <c r="APU25" s="101"/>
      <c r="APV25" s="101"/>
      <c r="APW25" s="101"/>
      <c r="APX25" s="101"/>
      <c r="APY25" s="101"/>
      <c r="APZ25" s="101"/>
      <c r="AQA25" s="101"/>
      <c r="AQB25" s="101"/>
      <c r="AQC25" s="101"/>
      <c r="AQD25" s="101"/>
      <c r="AQE25" s="101"/>
      <c r="AQF25" s="101"/>
      <c r="AQG25" s="101"/>
      <c r="AQH25" s="101"/>
      <c r="AQI25" s="101"/>
      <c r="AQJ25" s="101"/>
      <c r="AQK25" s="101"/>
      <c r="AQL25" s="101"/>
      <c r="AQM25" s="101"/>
      <c r="AQN25" s="101"/>
      <c r="AQO25" s="101"/>
      <c r="AQP25" s="101"/>
      <c r="AQQ25" s="101"/>
      <c r="AQR25" s="101"/>
      <c r="AQS25" s="101"/>
      <c r="AQT25" s="101"/>
      <c r="AQU25" s="101"/>
      <c r="AQV25" s="101"/>
      <c r="AQW25" s="101"/>
      <c r="AQX25" s="101"/>
      <c r="AQY25" s="101"/>
      <c r="AQZ25" s="101"/>
      <c r="ARA25" s="101"/>
      <c r="ARB25" s="101"/>
      <c r="ARC25" s="101"/>
      <c r="ARD25" s="101"/>
      <c r="ARE25" s="101"/>
      <c r="ARF25" s="101"/>
      <c r="ARG25" s="101"/>
      <c r="ARH25" s="101"/>
      <c r="ARI25" s="101"/>
      <c r="ARJ25" s="101"/>
      <c r="ARK25" s="101"/>
      <c r="ARL25" s="101"/>
      <c r="ARM25" s="101"/>
      <c r="ARN25" s="101"/>
      <c r="ARO25" s="101"/>
      <c r="ARP25" s="101"/>
      <c r="ARQ25" s="101"/>
      <c r="ARR25" s="101"/>
      <c r="ARS25" s="101"/>
      <c r="ART25" s="101"/>
      <c r="ARU25" s="101"/>
      <c r="ARV25" s="101"/>
      <c r="ARW25" s="101"/>
      <c r="ARX25" s="101"/>
      <c r="ARY25" s="101"/>
      <c r="ARZ25" s="101"/>
      <c r="ASA25" s="101"/>
      <c r="ASB25" s="101"/>
      <c r="ASC25" s="101"/>
      <c r="ASD25" s="101"/>
      <c r="ASE25" s="101"/>
      <c r="ASF25" s="101"/>
      <c r="ASG25" s="101"/>
      <c r="ASH25" s="101"/>
      <c r="ASI25" s="101"/>
      <c r="ASJ25" s="101"/>
      <c r="ASK25" s="101"/>
      <c r="ASL25" s="101"/>
      <c r="ASM25" s="101"/>
      <c r="ASN25" s="101"/>
      <c r="ASO25" s="101"/>
      <c r="ASP25" s="101"/>
      <c r="ASQ25" s="101"/>
      <c r="ASR25" s="101"/>
      <c r="ASS25" s="101"/>
      <c r="AST25" s="101"/>
      <c r="ASU25" s="101"/>
      <c r="ASV25" s="101"/>
      <c r="ASW25" s="101"/>
      <c r="ASX25" s="101"/>
      <c r="ASY25" s="101"/>
      <c r="ASZ25" s="101"/>
      <c r="ATA25" s="101"/>
      <c r="ATB25" s="101"/>
      <c r="ATC25" s="101"/>
      <c r="ATD25" s="101"/>
      <c r="ATE25" s="101"/>
      <c r="ATF25" s="101"/>
      <c r="ATG25" s="101"/>
      <c r="ATH25" s="101"/>
      <c r="ATI25" s="101"/>
      <c r="ATJ25" s="101"/>
      <c r="ATK25" s="101"/>
      <c r="ATL25" s="101"/>
      <c r="ATM25" s="101"/>
      <c r="ATN25" s="101"/>
      <c r="ATO25" s="101"/>
      <c r="ATP25" s="101"/>
      <c r="ATQ25" s="101"/>
      <c r="ATR25" s="101"/>
      <c r="ATS25" s="101"/>
      <c r="ATT25" s="101"/>
      <c r="ATU25" s="101"/>
      <c r="ATV25" s="101"/>
      <c r="ATW25" s="101"/>
      <c r="ATX25" s="101"/>
      <c r="ATY25" s="101"/>
      <c r="ATZ25" s="101"/>
      <c r="AUA25" s="101"/>
      <c r="AUB25" s="101"/>
      <c r="AUC25" s="101"/>
      <c r="AUD25" s="101"/>
      <c r="AUE25" s="101"/>
      <c r="AUF25" s="101"/>
      <c r="AUG25" s="101"/>
      <c r="AUH25" s="101"/>
      <c r="AUI25" s="101"/>
      <c r="AUJ25" s="101"/>
      <c r="AUK25" s="101"/>
      <c r="AUL25" s="101"/>
      <c r="AUM25" s="101"/>
      <c r="AUN25" s="101"/>
      <c r="AUO25" s="101"/>
      <c r="AUP25" s="101"/>
      <c r="AUQ25" s="101"/>
      <c r="AUR25" s="101"/>
      <c r="AUS25" s="101"/>
      <c r="AUT25" s="101"/>
      <c r="AUU25" s="101"/>
      <c r="AUV25" s="101"/>
      <c r="AUW25" s="101"/>
      <c r="AUX25" s="101"/>
      <c r="AUY25" s="101"/>
      <c r="AUZ25" s="101"/>
      <c r="AVA25" s="101"/>
      <c r="AVB25" s="101"/>
      <c r="AVC25" s="101"/>
      <c r="AVD25" s="101"/>
      <c r="AVE25" s="101"/>
      <c r="AVF25" s="101"/>
      <c r="AVG25" s="101"/>
      <c r="AVH25" s="101"/>
      <c r="AVI25" s="101"/>
      <c r="AVJ25" s="101"/>
      <c r="AVK25" s="101"/>
      <c r="AVL25" s="101"/>
      <c r="AVM25" s="101"/>
      <c r="AVN25" s="101"/>
      <c r="AVO25" s="101"/>
      <c r="AVP25" s="101"/>
      <c r="AVQ25" s="101"/>
      <c r="AVR25" s="101"/>
      <c r="AVS25" s="101"/>
      <c r="AVT25" s="101"/>
      <c r="AVU25" s="101"/>
      <c r="AVV25" s="101"/>
      <c r="AVW25" s="101"/>
      <c r="AVX25" s="101"/>
      <c r="AVY25" s="101"/>
      <c r="AVZ25" s="101"/>
      <c r="AWA25" s="101"/>
      <c r="AWB25" s="101"/>
      <c r="AWC25" s="101"/>
      <c r="AWD25" s="101"/>
      <c r="AWE25" s="101"/>
      <c r="AWF25" s="101"/>
      <c r="AWG25" s="101"/>
      <c r="AWH25" s="101"/>
      <c r="AWI25" s="101"/>
      <c r="AWJ25" s="101"/>
      <c r="AWK25" s="101"/>
      <c r="AWL25" s="101"/>
      <c r="AWM25" s="101"/>
      <c r="AWN25" s="101"/>
      <c r="AWO25" s="101"/>
      <c r="AWP25" s="101"/>
      <c r="AWQ25" s="101"/>
      <c r="AWR25" s="101"/>
      <c r="AWS25" s="101"/>
      <c r="AWT25" s="101"/>
      <c r="AWU25" s="101"/>
      <c r="AWV25" s="101"/>
      <c r="AWW25" s="101"/>
      <c r="AWX25" s="101"/>
      <c r="AWY25" s="101"/>
      <c r="AWZ25" s="101"/>
      <c r="AXA25" s="101"/>
      <c r="AXB25" s="101"/>
      <c r="AXC25" s="101"/>
      <c r="AXD25" s="101"/>
      <c r="AXE25" s="101"/>
      <c r="AXF25" s="101"/>
      <c r="AXG25" s="101"/>
      <c r="AXH25" s="101"/>
      <c r="AXI25" s="101"/>
      <c r="AXJ25" s="101"/>
      <c r="AXK25" s="101"/>
      <c r="AXL25" s="101"/>
      <c r="AXM25" s="101"/>
      <c r="AXN25" s="101"/>
      <c r="AXO25" s="101"/>
      <c r="AXP25" s="101"/>
      <c r="AXQ25" s="101"/>
      <c r="AXR25" s="101"/>
      <c r="AXS25" s="101"/>
      <c r="AXT25" s="101"/>
      <c r="AXU25" s="101"/>
      <c r="AXV25" s="101"/>
      <c r="AXW25" s="101"/>
      <c r="AXX25" s="101"/>
      <c r="AXY25" s="101"/>
      <c r="AXZ25" s="101"/>
      <c r="AYA25" s="101"/>
      <c r="AYB25" s="101"/>
      <c r="AYC25" s="101"/>
      <c r="AYD25" s="101"/>
      <c r="AYE25" s="101"/>
      <c r="AYF25" s="101"/>
      <c r="AYG25" s="101"/>
      <c r="AYH25" s="101"/>
      <c r="AYI25" s="101"/>
      <c r="AYJ25" s="101"/>
      <c r="AYK25" s="101"/>
      <c r="AYL25" s="101"/>
      <c r="AYM25" s="101"/>
      <c r="AYN25" s="101"/>
      <c r="AYO25" s="101"/>
      <c r="AYP25" s="101"/>
      <c r="AYQ25" s="101"/>
      <c r="AYR25" s="101"/>
      <c r="AYS25" s="101"/>
      <c r="AYT25" s="101"/>
      <c r="AYU25" s="101"/>
      <c r="AYV25" s="101"/>
      <c r="AYW25" s="101"/>
      <c r="AYX25" s="101"/>
      <c r="AYY25" s="101"/>
      <c r="AYZ25" s="101"/>
      <c r="AZA25" s="101"/>
      <c r="AZB25" s="101"/>
      <c r="AZC25" s="101"/>
      <c r="AZD25" s="101"/>
      <c r="AZE25" s="101"/>
      <c r="AZF25" s="101"/>
      <c r="AZG25" s="101"/>
      <c r="AZH25" s="101"/>
      <c r="AZI25" s="101"/>
      <c r="AZJ25" s="101"/>
      <c r="AZK25" s="101"/>
      <c r="AZL25" s="101"/>
      <c r="AZM25" s="101"/>
      <c r="AZN25" s="101"/>
      <c r="AZO25" s="101"/>
      <c r="AZP25" s="101"/>
      <c r="AZQ25" s="101"/>
      <c r="AZR25" s="101"/>
      <c r="AZS25" s="101"/>
      <c r="AZT25" s="101"/>
      <c r="AZU25" s="101"/>
      <c r="AZV25" s="101"/>
      <c r="AZW25" s="101"/>
      <c r="AZX25" s="101"/>
      <c r="AZY25" s="101"/>
      <c r="AZZ25" s="101"/>
      <c r="BAA25" s="101"/>
      <c r="BAB25" s="101"/>
      <c r="BAC25" s="101"/>
      <c r="BAD25" s="101"/>
      <c r="BAE25" s="101"/>
      <c r="BAF25" s="101"/>
      <c r="BAG25" s="101"/>
      <c r="BAH25" s="101"/>
      <c r="BAI25" s="101"/>
      <c r="BAJ25" s="101"/>
      <c r="BAK25" s="101"/>
      <c r="BAL25" s="101"/>
      <c r="BAM25" s="101"/>
      <c r="BAN25" s="101"/>
      <c r="BAO25" s="101"/>
      <c r="BAP25" s="101"/>
      <c r="BAQ25" s="101"/>
      <c r="BAR25" s="101"/>
      <c r="BAS25" s="101"/>
      <c r="BAT25" s="101"/>
      <c r="BAU25" s="101"/>
      <c r="BAV25" s="101"/>
      <c r="BAW25" s="101"/>
      <c r="BAX25" s="101"/>
      <c r="BAY25" s="101"/>
      <c r="BAZ25" s="101"/>
      <c r="BBA25" s="101"/>
      <c r="BBB25" s="101"/>
      <c r="BBC25" s="101"/>
      <c r="BBD25" s="101"/>
      <c r="BBE25" s="101"/>
      <c r="BBF25" s="101"/>
      <c r="BBG25" s="101"/>
      <c r="BBH25" s="101"/>
      <c r="BBI25" s="101"/>
      <c r="BBJ25" s="101"/>
      <c r="BBK25" s="101"/>
      <c r="BBL25" s="101"/>
      <c r="BBM25" s="101"/>
      <c r="BBN25" s="101"/>
      <c r="BBO25" s="101"/>
      <c r="BBP25" s="101"/>
      <c r="BBQ25" s="101"/>
      <c r="BBR25" s="101"/>
      <c r="BBS25" s="101"/>
      <c r="BBT25" s="101"/>
      <c r="BBU25" s="101"/>
      <c r="BBV25" s="101"/>
      <c r="BBW25" s="101"/>
      <c r="BBX25" s="101"/>
      <c r="BBY25" s="101"/>
      <c r="BBZ25" s="101"/>
      <c r="BCA25" s="101"/>
      <c r="BCB25" s="101"/>
      <c r="BCC25" s="101"/>
      <c r="BCD25" s="101"/>
      <c r="BCE25" s="101"/>
      <c r="BCF25" s="101"/>
      <c r="BCG25" s="101"/>
      <c r="BCH25" s="101"/>
      <c r="BCI25" s="101"/>
      <c r="BCJ25" s="101"/>
      <c r="BCK25" s="101"/>
      <c r="BCL25" s="101"/>
      <c r="BCM25" s="101"/>
      <c r="BCN25" s="101"/>
      <c r="BCO25" s="101"/>
      <c r="BCP25" s="101"/>
      <c r="BCQ25" s="101"/>
      <c r="BCR25" s="101"/>
      <c r="BCS25" s="101"/>
      <c r="BCT25" s="101"/>
      <c r="BCU25" s="101"/>
      <c r="BCV25" s="101"/>
      <c r="BCW25" s="101"/>
      <c r="BCX25" s="101"/>
      <c r="BCY25" s="101"/>
      <c r="BCZ25" s="101"/>
      <c r="BDA25" s="101"/>
      <c r="BDB25" s="101"/>
      <c r="BDC25" s="101"/>
      <c r="BDD25" s="101"/>
      <c r="BDE25" s="101"/>
      <c r="BDF25" s="101"/>
      <c r="BDG25" s="101"/>
      <c r="BDH25" s="101"/>
      <c r="BDI25" s="101"/>
      <c r="BDJ25" s="101"/>
      <c r="BDK25" s="101"/>
      <c r="BDL25" s="101"/>
      <c r="BDM25" s="101"/>
      <c r="BDN25" s="101"/>
      <c r="BDO25" s="101"/>
      <c r="BDP25" s="101"/>
      <c r="BDQ25" s="101"/>
      <c r="BDR25" s="101"/>
      <c r="BDS25" s="101"/>
      <c r="BDT25" s="101"/>
      <c r="BDU25" s="101"/>
      <c r="BDV25" s="101"/>
      <c r="BDW25" s="101"/>
      <c r="BDX25" s="101"/>
      <c r="BDY25" s="101"/>
      <c r="BDZ25" s="101"/>
      <c r="BEA25" s="101"/>
      <c r="BEB25" s="101"/>
      <c r="BEC25" s="101"/>
      <c r="BED25" s="101"/>
      <c r="BEE25" s="101"/>
      <c r="BEF25" s="101"/>
      <c r="BEG25" s="101"/>
      <c r="BEH25" s="101"/>
      <c r="BEI25" s="101"/>
      <c r="BEJ25" s="101"/>
      <c r="BEK25" s="101"/>
      <c r="BEL25" s="101"/>
      <c r="BEM25" s="101"/>
      <c r="BEN25" s="101"/>
      <c r="BEO25" s="101"/>
      <c r="BEP25" s="101"/>
      <c r="BEQ25" s="101"/>
      <c r="BER25" s="101"/>
      <c r="BES25" s="101"/>
      <c r="BET25" s="101"/>
      <c r="BEU25" s="101"/>
      <c r="BEV25" s="101"/>
      <c r="BEW25" s="101"/>
      <c r="BEX25" s="101"/>
      <c r="BEY25" s="101"/>
      <c r="BEZ25" s="101"/>
      <c r="BFA25" s="101"/>
      <c r="BFB25" s="101"/>
      <c r="BFC25" s="101"/>
      <c r="BFD25" s="101"/>
      <c r="BFE25" s="101"/>
      <c r="BFF25" s="101"/>
      <c r="BFG25" s="101"/>
      <c r="BFH25" s="101"/>
      <c r="BFI25" s="101"/>
      <c r="BFJ25" s="101"/>
      <c r="BFK25" s="101"/>
      <c r="BFL25" s="101"/>
      <c r="BFM25" s="101"/>
      <c r="BFN25" s="101"/>
      <c r="BFO25" s="101"/>
      <c r="BFP25" s="101"/>
      <c r="BFQ25" s="101"/>
      <c r="BFR25" s="101"/>
      <c r="BFS25" s="101"/>
      <c r="BFT25" s="101"/>
      <c r="BFU25" s="101"/>
      <c r="BFV25" s="101"/>
      <c r="BFW25" s="101"/>
      <c r="BFX25" s="101"/>
      <c r="BFY25" s="101"/>
      <c r="BFZ25" s="101"/>
      <c r="BGA25" s="101"/>
      <c r="BGB25" s="101"/>
      <c r="BGC25" s="101"/>
      <c r="BGD25" s="101"/>
      <c r="BGE25" s="101"/>
      <c r="BGF25" s="101"/>
      <c r="BGG25" s="101"/>
      <c r="BGH25" s="101"/>
      <c r="BGI25" s="101"/>
      <c r="BGJ25" s="101"/>
      <c r="BGK25" s="101"/>
      <c r="BGL25" s="101"/>
      <c r="BGM25" s="101"/>
      <c r="BGN25" s="101"/>
      <c r="BGO25" s="101"/>
      <c r="BGP25" s="101"/>
      <c r="BGQ25" s="101"/>
      <c r="BGR25" s="101"/>
      <c r="BGS25" s="101"/>
      <c r="BGT25" s="101"/>
      <c r="BGU25" s="101"/>
      <c r="BGV25" s="101"/>
      <c r="BGW25" s="101"/>
      <c r="BGX25" s="101"/>
      <c r="BGY25" s="101"/>
      <c r="BGZ25" s="101"/>
      <c r="BHA25" s="101"/>
      <c r="BHB25" s="101"/>
      <c r="BHC25" s="101"/>
      <c r="BHD25" s="101"/>
      <c r="BHE25" s="101"/>
      <c r="BHF25" s="101"/>
      <c r="BHG25" s="101"/>
      <c r="BHH25" s="101"/>
      <c r="BHI25" s="101"/>
      <c r="BHJ25" s="101"/>
      <c r="BHK25" s="101"/>
      <c r="BHL25" s="101"/>
      <c r="BHM25" s="101"/>
      <c r="BHN25" s="101"/>
      <c r="BHO25" s="101"/>
      <c r="BHP25" s="101"/>
      <c r="BHQ25" s="101"/>
      <c r="BHR25" s="101"/>
      <c r="BHS25" s="101"/>
      <c r="BHT25" s="101"/>
      <c r="BHU25" s="101"/>
      <c r="BHV25" s="101"/>
      <c r="BHW25" s="101"/>
      <c r="BHX25" s="101"/>
      <c r="BHY25" s="101"/>
      <c r="BHZ25" s="101"/>
      <c r="BIA25" s="101"/>
      <c r="BIB25" s="101"/>
      <c r="BIC25" s="101"/>
      <c r="BID25" s="101"/>
      <c r="BIE25" s="101"/>
      <c r="BIF25" s="101"/>
      <c r="BIG25" s="101"/>
      <c r="BIH25" s="101"/>
      <c r="BII25" s="101"/>
      <c r="BIJ25" s="101"/>
      <c r="BIK25" s="101"/>
      <c r="BIL25" s="101"/>
      <c r="BIM25" s="101"/>
      <c r="BIN25" s="101"/>
      <c r="BIO25" s="101"/>
      <c r="BIP25" s="101"/>
      <c r="BIQ25" s="101"/>
      <c r="BIR25" s="101"/>
      <c r="BIS25" s="101"/>
      <c r="BIT25" s="101"/>
      <c r="BIU25" s="101"/>
      <c r="BIV25" s="101"/>
      <c r="BIW25" s="101"/>
      <c r="BIX25" s="101"/>
      <c r="BIY25" s="101"/>
      <c r="BIZ25" s="101"/>
      <c r="BJA25" s="101"/>
      <c r="BJB25" s="101"/>
      <c r="BJC25" s="101"/>
      <c r="BJD25" s="101"/>
      <c r="BJE25" s="101"/>
      <c r="BJF25" s="101"/>
      <c r="BJG25" s="101"/>
      <c r="BJH25" s="101"/>
      <c r="BJI25" s="101"/>
      <c r="BJJ25" s="101"/>
      <c r="BJK25" s="101"/>
      <c r="BJL25" s="101"/>
      <c r="BJM25" s="101"/>
      <c r="BJN25" s="101"/>
      <c r="BJO25" s="101"/>
      <c r="BJP25" s="101"/>
      <c r="BJQ25" s="101"/>
      <c r="BJR25" s="101"/>
      <c r="BJS25" s="101"/>
      <c r="BJT25" s="101"/>
      <c r="BJU25" s="101"/>
      <c r="BJV25" s="101"/>
      <c r="BJW25" s="101"/>
      <c r="BJX25" s="101"/>
      <c r="BJY25" s="101"/>
      <c r="BJZ25" s="101"/>
      <c r="BKA25" s="101"/>
      <c r="BKB25" s="101"/>
      <c r="BKC25" s="101"/>
      <c r="BKD25" s="101"/>
      <c r="BKE25" s="101"/>
      <c r="BKF25" s="101"/>
      <c r="BKG25" s="101"/>
      <c r="BKH25" s="101"/>
      <c r="BKI25" s="101"/>
      <c r="BKJ25" s="101"/>
      <c r="BKK25" s="101"/>
      <c r="BKL25" s="101"/>
      <c r="BKM25" s="101"/>
      <c r="BKN25" s="101"/>
      <c r="BKO25" s="101"/>
      <c r="BKP25" s="101"/>
      <c r="BKQ25" s="101"/>
      <c r="BKR25" s="101"/>
      <c r="BKS25" s="101"/>
      <c r="BKT25" s="101"/>
      <c r="BKU25" s="101"/>
      <c r="BKV25" s="101"/>
      <c r="BKW25" s="101"/>
      <c r="BKX25" s="101"/>
      <c r="BKY25" s="101"/>
      <c r="BKZ25" s="101"/>
      <c r="BLA25" s="101"/>
      <c r="BLB25" s="101"/>
      <c r="BLC25" s="101"/>
      <c r="BLD25" s="101"/>
      <c r="BLE25" s="101"/>
      <c r="BLF25" s="101"/>
      <c r="BLG25" s="101"/>
      <c r="BLH25" s="101"/>
      <c r="BLI25" s="101"/>
      <c r="BLJ25" s="101"/>
      <c r="BLK25" s="101"/>
      <c r="BLL25" s="101"/>
      <c r="BLM25" s="101"/>
      <c r="BLN25" s="101"/>
      <c r="BLO25" s="101"/>
      <c r="BLP25" s="101"/>
      <c r="BLQ25" s="101"/>
      <c r="BLR25" s="101"/>
      <c r="BLS25" s="101"/>
      <c r="BLT25" s="101"/>
      <c r="BLU25" s="101"/>
      <c r="BLV25" s="101"/>
      <c r="BLW25" s="101"/>
      <c r="BLX25" s="101"/>
      <c r="BLY25" s="101"/>
      <c r="BLZ25" s="101"/>
      <c r="BMA25" s="101"/>
      <c r="BMB25" s="101"/>
      <c r="BMC25" s="101"/>
      <c r="BMD25" s="101"/>
      <c r="BME25" s="101"/>
      <c r="BMF25" s="101"/>
      <c r="BMG25" s="101"/>
      <c r="BMH25" s="101"/>
      <c r="BMI25" s="101"/>
      <c r="BMJ25" s="101"/>
      <c r="BMK25" s="101"/>
      <c r="BML25" s="101"/>
      <c r="BMM25" s="101"/>
      <c r="BMN25" s="101"/>
      <c r="BMO25" s="101"/>
      <c r="BMP25" s="101"/>
      <c r="BMQ25" s="101"/>
      <c r="BMR25" s="101"/>
      <c r="BMS25" s="101"/>
      <c r="BMT25" s="101"/>
      <c r="BMU25" s="101"/>
      <c r="BMV25" s="101"/>
      <c r="BMW25" s="101"/>
      <c r="BMX25" s="101"/>
      <c r="BMY25" s="101"/>
      <c r="BMZ25" s="101"/>
      <c r="BNA25" s="101"/>
      <c r="BNB25" s="101"/>
      <c r="BNC25" s="101"/>
      <c r="BND25" s="101"/>
      <c r="BNE25" s="101"/>
      <c r="BNF25" s="101"/>
      <c r="BNG25" s="101"/>
      <c r="BNH25" s="101"/>
      <c r="BNI25" s="101"/>
      <c r="BNJ25" s="101"/>
      <c r="BNK25" s="101"/>
      <c r="BNL25" s="101"/>
      <c r="BNM25" s="101"/>
      <c r="BNN25" s="101"/>
      <c r="BNO25" s="101"/>
      <c r="BNP25" s="101"/>
      <c r="BNQ25" s="101"/>
      <c r="BNR25" s="101"/>
      <c r="BNS25" s="101"/>
      <c r="BNT25" s="101"/>
      <c r="BNU25" s="101"/>
      <c r="BNV25" s="101"/>
      <c r="BNW25" s="101"/>
      <c r="BNX25" s="101"/>
      <c r="BNY25" s="101"/>
      <c r="BNZ25" s="101"/>
      <c r="BOA25" s="101"/>
      <c r="BOB25" s="101"/>
      <c r="BOC25" s="101"/>
      <c r="BOD25" s="101"/>
      <c r="BOE25" s="101"/>
      <c r="BOF25" s="101"/>
      <c r="BOG25" s="101"/>
      <c r="BOH25" s="101"/>
      <c r="BOI25" s="101"/>
      <c r="BOJ25" s="101"/>
      <c r="BOK25" s="101"/>
      <c r="BOL25" s="101"/>
      <c r="BOM25" s="101"/>
      <c r="BON25" s="101"/>
      <c r="BOO25" s="101"/>
      <c r="BOP25" s="101"/>
      <c r="BOQ25" s="101"/>
      <c r="BOR25" s="101"/>
      <c r="BOS25" s="101"/>
      <c r="BOT25" s="101"/>
      <c r="BOU25" s="101"/>
      <c r="BOV25" s="101"/>
      <c r="BOW25" s="101"/>
      <c r="BOX25" s="101"/>
      <c r="BOY25" s="101"/>
      <c r="BOZ25" s="101"/>
      <c r="BPA25" s="101"/>
      <c r="BPB25" s="101"/>
      <c r="BPC25" s="167"/>
    </row>
    <row r="26" s="103" customFormat="1" ht="75" customHeight="1" outlineLevel="1" spans="1:1024 1025:1771">
      <c r="A26" s="157" t="s">
        <v>96</v>
      </c>
      <c r="B26" s="151" t="s">
        <v>1071</v>
      </c>
      <c r="C26" s="158" t="s">
        <v>1072</v>
      </c>
      <c r="D26" s="153" t="s">
        <v>1044</v>
      </c>
      <c r="E26" s="154"/>
      <c r="F26" s="159"/>
      <c r="G26" s="160"/>
      <c r="H26" s="155">
        <v>46137</v>
      </c>
      <c r="I26" s="156" t="s">
        <v>7</v>
      </c>
      <c r="J26" s="153"/>
      <c r="K26" s="5"/>
      <c r="L26" s="5" t="s">
        <v>1041</v>
      </c>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c r="DK26" s="101"/>
      <c r="DL26" s="101"/>
      <c r="DM26" s="101"/>
      <c r="DN26" s="101"/>
      <c r="DO26" s="101"/>
      <c r="DP26" s="101"/>
      <c r="DQ26" s="101"/>
      <c r="DR26" s="101"/>
      <c r="DS26" s="101"/>
      <c r="DT26" s="101"/>
      <c r="DU26" s="101"/>
      <c r="DV26" s="101"/>
      <c r="DW26" s="101"/>
      <c r="DX26" s="101"/>
      <c r="DY26" s="101"/>
      <c r="DZ26" s="101"/>
      <c r="EA26" s="101"/>
      <c r="EB26" s="101"/>
      <c r="EC26" s="101"/>
      <c r="ED26" s="101"/>
      <c r="EE26" s="101"/>
      <c r="EF26" s="101"/>
      <c r="EG26" s="101"/>
      <c r="EH26" s="101"/>
      <c r="EI26" s="101"/>
      <c r="EJ26" s="101"/>
      <c r="EK26" s="101"/>
      <c r="EL26" s="101"/>
      <c r="EM26" s="101"/>
      <c r="EN26" s="101"/>
      <c r="EO26" s="101"/>
      <c r="EP26" s="101"/>
      <c r="EQ26" s="101"/>
      <c r="ER26" s="101"/>
      <c r="ES26" s="101"/>
      <c r="ET26" s="101"/>
      <c r="EU26" s="101"/>
      <c r="EV26" s="101"/>
      <c r="EW26" s="101"/>
      <c r="EX26" s="101"/>
      <c r="EY26" s="101"/>
      <c r="EZ26" s="101"/>
      <c r="FA26" s="101"/>
      <c r="FB26" s="101"/>
      <c r="FC26" s="101"/>
      <c r="FD26" s="101"/>
      <c r="FE26" s="101"/>
      <c r="FF26" s="101"/>
      <c r="FG26" s="101"/>
      <c r="FH26" s="101"/>
      <c r="FI26" s="101"/>
      <c r="FJ26" s="101"/>
      <c r="FK26" s="101"/>
      <c r="FL26" s="101"/>
      <c r="FM26" s="101"/>
      <c r="FN26" s="101"/>
      <c r="FO26" s="101"/>
      <c r="FP26" s="101"/>
      <c r="FQ26" s="101"/>
      <c r="FR26" s="101"/>
      <c r="FS26" s="101"/>
      <c r="FT26" s="101"/>
      <c r="FU26" s="101"/>
      <c r="FV26" s="101"/>
      <c r="FW26" s="101"/>
      <c r="FX26" s="101"/>
      <c r="FY26" s="101"/>
      <c r="FZ26" s="101"/>
      <c r="GA26" s="101"/>
      <c r="GB26" s="101"/>
      <c r="GC26" s="101"/>
      <c r="GD26" s="101"/>
      <c r="GE26" s="101"/>
      <c r="GF26" s="101"/>
      <c r="GG26" s="101"/>
      <c r="GH26" s="101"/>
      <c r="GI26" s="101"/>
      <c r="GJ26" s="101"/>
      <c r="GK26" s="101"/>
      <c r="GL26" s="101"/>
      <c r="GM26" s="101"/>
      <c r="GN26" s="101"/>
      <c r="GO26" s="101"/>
      <c r="GP26" s="101"/>
      <c r="GQ26" s="101"/>
      <c r="GR26" s="101"/>
      <c r="GS26" s="101"/>
      <c r="GT26" s="101"/>
      <c r="GU26" s="101"/>
      <c r="GV26" s="101"/>
      <c r="GW26" s="101"/>
      <c r="GX26" s="101"/>
      <c r="GY26" s="101"/>
      <c r="GZ26" s="101"/>
      <c r="HA26" s="101"/>
      <c r="HB26" s="101"/>
      <c r="HC26" s="101"/>
      <c r="HD26" s="101"/>
      <c r="HE26" s="101"/>
      <c r="HF26" s="101"/>
      <c r="HG26" s="101"/>
      <c r="HH26" s="101"/>
      <c r="HI26" s="101"/>
      <c r="HJ26" s="101"/>
      <c r="HK26" s="101"/>
      <c r="HL26" s="101"/>
      <c r="HM26" s="101"/>
      <c r="HN26" s="101"/>
      <c r="HO26" s="101"/>
      <c r="HP26" s="101"/>
      <c r="HQ26" s="101"/>
      <c r="HR26" s="101"/>
      <c r="HS26" s="101"/>
      <c r="HT26" s="101"/>
      <c r="HU26" s="101"/>
      <c r="HV26" s="101"/>
      <c r="HW26" s="101"/>
      <c r="HX26" s="101"/>
      <c r="HY26" s="101"/>
      <c r="HZ26" s="101"/>
      <c r="IA26" s="101"/>
      <c r="IB26" s="101"/>
      <c r="IC26" s="101"/>
      <c r="ID26" s="101"/>
      <c r="IE26" s="101"/>
      <c r="IF26" s="101"/>
      <c r="IG26" s="101"/>
      <c r="IH26" s="101"/>
      <c r="II26" s="101"/>
      <c r="IJ26" s="101"/>
      <c r="IK26" s="101"/>
      <c r="IL26" s="101"/>
      <c r="IM26" s="101"/>
      <c r="IN26" s="101"/>
      <c r="IO26" s="101"/>
      <c r="IP26" s="101"/>
      <c r="IQ26" s="101"/>
      <c r="IR26" s="101"/>
      <c r="IS26" s="101"/>
      <c r="IT26" s="101"/>
      <c r="IU26" s="101"/>
      <c r="IV26" s="101"/>
      <c r="IW26" s="101"/>
      <c r="IX26" s="101"/>
      <c r="IY26" s="101"/>
      <c r="IZ26" s="101"/>
      <c r="JA26" s="101"/>
      <c r="JB26" s="101"/>
      <c r="JC26" s="101"/>
      <c r="JD26" s="101"/>
      <c r="JE26" s="101"/>
      <c r="JF26" s="101"/>
      <c r="JG26" s="101"/>
      <c r="JH26" s="101"/>
      <c r="JI26" s="101"/>
      <c r="JJ26" s="101"/>
      <c r="JK26" s="101"/>
      <c r="JL26" s="101"/>
      <c r="JM26" s="101"/>
      <c r="JN26" s="101"/>
      <c r="JO26" s="101"/>
      <c r="JP26" s="101"/>
      <c r="JQ26" s="101"/>
      <c r="JR26" s="101"/>
      <c r="JS26" s="101"/>
      <c r="JT26" s="101"/>
      <c r="JU26" s="101"/>
      <c r="JV26" s="101"/>
      <c r="JW26" s="101"/>
      <c r="JX26" s="101"/>
      <c r="JY26" s="101"/>
      <c r="JZ26" s="101"/>
      <c r="KA26" s="101"/>
      <c r="KB26" s="101"/>
      <c r="KC26" s="101"/>
      <c r="KD26" s="101"/>
      <c r="KE26" s="101"/>
      <c r="KF26" s="101"/>
      <c r="KG26" s="101"/>
      <c r="KH26" s="101"/>
      <c r="KI26" s="101"/>
      <c r="KJ26" s="101"/>
      <c r="KK26" s="101"/>
      <c r="KL26" s="101"/>
      <c r="KM26" s="101"/>
      <c r="KN26" s="101"/>
      <c r="KO26" s="101"/>
      <c r="KP26" s="101"/>
      <c r="KQ26" s="101"/>
      <c r="KR26" s="101"/>
      <c r="KS26" s="101"/>
      <c r="KT26" s="101"/>
      <c r="KU26" s="101"/>
      <c r="KV26" s="101"/>
      <c r="KW26" s="101"/>
      <c r="KX26" s="101"/>
      <c r="KY26" s="101"/>
      <c r="KZ26" s="101"/>
      <c r="LA26" s="101"/>
      <c r="LB26" s="101"/>
      <c r="LC26" s="101"/>
      <c r="LD26" s="101"/>
      <c r="LE26" s="101"/>
      <c r="LF26" s="101"/>
      <c r="LG26" s="101"/>
      <c r="LH26" s="101"/>
      <c r="LI26" s="101"/>
      <c r="LJ26" s="101"/>
      <c r="LK26" s="101"/>
      <c r="LL26" s="101"/>
      <c r="LM26" s="101"/>
      <c r="LN26" s="101"/>
      <c r="LO26" s="101"/>
      <c r="LP26" s="101"/>
      <c r="LQ26" s="101"/>
      <c r="LR26" s="101"/>
      <c r="LS26" s="101"/>
      <c r="LT26" s="101"/>
      <c r="LU26" s="101"/>
      <c r="LV26" s="101"/>
      <c r="LW26" s="101"/>
      <c r="LX26" s="101"/>
      <c r="LY26" s="101"/>
      <c r="LZ26" s="101"/>
      <c r="MA26" s="101"/>
      <c r="MB26" s="101"/>
      <c r="MC26" s="101"/>
      <c r="MD26" s="101"/>
      <c r="ME26" s="101"/>
      <c r="MF26" s="101"/>
      <c r="MG26" s="101"/>
      <c r="MH26" s="101"/>
      <c r="MI26" s="101"/>
      <c r="MJ26" s="101"/>
      <c r="MK26" s="101"/>
      <c r="ML26" s="101"/>
      <c r="MM26" s="101"/>
      <c r="MN26" s="101"/>
      <c r="MO26" s="101"/>
      <c r="MP26" s="101"/>
      <c r="MQ26" s="101"/>
      <c r="MR26" s="101"/>
      <c r="MS26" s="101"/>
      <c r="MT26" s="101"/>
      <c r="MU26" s="101"/>
      <c r="MV26" s="101"/>
      <c r="MW26" s="101"/>
      <c r="MX26" s="101"/>
      <c r="MY26" s="101"/>
      <c r="MZ26" s="101"/>
      <c r="NA26" s="101"/>
      <c r="NB26" s="101"/>
      <c r="NC26" s="101"/>
      <c r="ND26" s="101"/>
      <c r="NE26" s="101"/>
      <c r="NF26" s="101"/>
      <c r="NG26" s="101"/>
      <c r="NH26" s="101"/>
      <c r="NI26" s="101"/>
      <c r="NJ26" s="101"/>
      <c r="NK26" s="101"/>
      <c r="NL26" s="101"/>
      <c r="NM26" s="101"/>
      <c r="NN26" s="101"/>
      <c r="NO26" s="101"/>
      <c r="NP26" s="101"/>
      <c r="NQ26" s="101"/>
      <c r="NR26" s="101"/>
      <c r="NS26" s="101"/>
      <c r="NT26" s="101"/>
      <c r="NU26" s="101"/>
      <c r="NV26" s="101"/>
      <c r="NW26" s="101"/>
      <c r="NX26" s="101"/>
      <c r="NY26" s="101"/>
      <c r="NZ26" s="101"/>
      <c r="OA26" s="101"/>
      <c r="OB26" s="101"/>
      <c r="OC26" s="101"/>
      <c r="OD26" s="101"/>
      <c r="OE26" s="101"/>
      <c r="OF26" s="101"/>
      <c r="OG26" s="101"/>
      <c r="OH26" s="101"/>
      <c r="OI26" s="101"/>
      <c r="OJ26" s="101"/>
      <c r="OK26" s="101"/>
      <c r="OL26" s="101"/>
      <c r="OM26" s="101"/>
      <c r="ON26" s="101"/>
      <c r="OO26" s="101"/>
      <c r="OP26" s="101"/>
      <c r="OQ26" s="101"/>
      <c r="OR26" s="101"/>
      <c r="OS26" s="101"/>
      <c r="OT26" s="101"/>
      <c r="OU26" s="101"/>
      <c r="OV26" s="101"/>
      <c r="OW26" s="101"/>
      <c r="OX26" s="101"/>
      <c r="OY26" s="101"/>
      <c r="OZ26" s="101"/>
      <c r="PA26" s="101"/>
      <c r="PB26" s="101"/>
      <c r="PC26" s="101"/>
      <c r="PD26" s="101"/>
      <c r="PE26" s="101"/>
      <c r="PF26" s="101"/>
      <c r="PG26" s="101"/>
      <c r="PH26" s="101"/>
      <c r="PI26" s="101"/>
      <c r="PJ26" s="101"/>
      <c r="PK26" s="101"/>
      <c r="PL26" s="101"/>
      <c r="PM26" s="101"/>
      <c r="PN26" s="101"/>
      <c r="PO26" s="101"/>
      <c r="PP26" s="101"/>
      <c r="PQ26" s="101"/>
      <c r="PR26" s="101"/>
      <c r="PS26" s="101"/>
      <c r="PT26" s="101"/>
      <c r="PU26" s="101"/>
      <c r="PV26" s="101"/>
      <c r="PW26" s="101"/>
      <c r="PX26" s="101"/>
      <c r="PY26" s="101"/>
      <c r="PZ26" s="101"/>
      <c r="QA26" s="101"/>
      <c r="QB26" s="101"/>
      <c r="QC26" s="101"/>
      <c r="QD26" s="101"/>
      <c r="QE26" s="101"/>
      <c r="QF26" s="101"/>
      <c r="QG26" s="101"/>
      <c r="QH26" s="101"/>
      <c r="QI26" s="101"/>
      <c r="QJ26" s="101"/>
      <c r="QK26" s="101"/>
      <c r="QL26" s="101"/>
      <c r="QM26" s="101"/>
      <c r="QN26" s="101"/>
      <c r="QO26" s="101"/>
      <c r="QP26" s="101"/>
      <c r="QQ26" s="101"/>
      <c r="QR26" s="101"/>
      <c r="QS26" s="101"/>
      <c r="QT26" s="101"/>
      <c r="QU26" s="101"/>
      <c r="QV26" s="101"/>
      <c r="QW26" s="101"/>
      <c r="QX26" s="101"/>
      <c r="QY26" s="101"/>
      <c r="QZ26" s="101"/>
      <c r="RA26" s="101"/>
      <c r="RB26" s="101"/>
      <c r="RC26" s="101"/>
      <c r="RD26" s="101"/>
      <c r="RE26" s="101"/>
      <c r="RF26" s="101"/>
      <c r="RG26" s="101"/>
      <c r="RH26" s="101"/>
      <c r="RI26" s="101"/>
      <c r="RJ26" s="101"/>
      <c r="RK26" s="101"/>
      <c r="RL26" s="101"/>
      <c r="RM26" s="101"/>
      <c r="RN26" s="101"/>
      <c r="RO26" s="101"/>
      <c r="RP26" s="101"/>
      <c r="RQ26" s="101"/>
      <c r="RR26" s="101"/>
      <c r="RS26" s="101"/>
      <c r="RT26" s="101"/>
      <c r="RU26" s="101"/>
      <c r="RV26" s="101"/>
      <c r="RW26" s="101"/>
      <c r="RX26" s="101"/>
      <c r="RY26" s="101"/>
      <c r="RZ26" s="101"/>
      <c r="SA26" s="101"/>
      <c r="SB26" s="101"/>
      <c r="SC26" s="101"/>
      <c r="SD26" s="101"/>
      <c r="SE26" s="101"/>
      <c r="SF26" s="101"/>
      <c r="SG26" s="101"/>
      <c r="SH26" s="101"/>
      <c r="SI26" s="101"/>
      <c r="SJ26" s="101"/>
      <c r="SK26" s="101"/>
      <c r="SL26" s="101"/>
      <c r="SM26" s="101"/>
      <c r="SN26" s="101"/>
      <c r="SO26" s="101"/>
      <c r="SP26" s="101"/>
      <c r="SQ26" s="101"/>
      <c r="SR26" s="101"/>
      <c r="SS26" s="101"/>
      <c r="ST26" s="101"/>
      <c r="SU26" s="101"/>
      <c r="SV26" s="101"/>
      <c r="SW26" s="101"/>
      <c r="SX26" s="101"/>
      <c r="SY26" s="101"/>
      <c r="SZ26" s="101"/>
      <c r="TA26" s="101"/>
      <c r="TB26" s="101"/>
      <c r="TC26" s="101"/>
      <c r="TD26" s="101"/>
      <c r="TE26" s="101"/>
      <c r="TF26" s="101"/>
      <c r="TG26" s="101"/>
      <c r="TH26" s="101"/>
      <c r="TI26" s="101"/>
      <c r="TJ26" s="101"/>
      <c r="TK26" s="101"/>
      <c r="TL26" s="101"/>
      <c r="TM26" s="101"/>
      <c r="TN26" s="101"/>
      <c r="TO26" s="101"/>
      <c r="TP26" s="101"/>
      <c r="TQ26" s="101"/>
      <c r="TR26" s="101"/>
      <c r="TS26" s="101"/>
      <c r="TT26" s="101"/>
      <c r="TU26" s="101"/>
      <c r="TV26" s="101"/>
      <c r="TW26" s="101"/>
      <c r="TX26" s="101"/>
      <c r="TY26" s="101"/>
      <c r="TZ26" s="101"/>
      <c r="UA26" s="101"/>
      <c r="UB26" s="101"/>
      <c r="UC26" s="101"/>
      <c r="UD26" s="101"/>
      <c r="UE26" s="101"/>
      <c r="UF26" s="101"/>
      <c r="UG26" s="101"/>
      <c r="UH26" s="101"/>
      <c r="UI26" s="101"/>
      <c r="UJ26" s="101"/>
      <c r="UK26" s="101"/>
      <c r="UL26" s="101"/>
      <c r="UM26" s="101"/>
      <c r="UN26" s="101"/>
      <c r="UO26" s="101"/>
      <c r="UP26" s="101"/>
      <c r="UQ26" s="101"/>
      <c r="UR26" s="101"/>
      <c r="US26" s="101"/>
      <c r="UT26" s="101"/>
      <c r="UU26" s="101"/>
      <c r="UV26" s="101"/>
      <c r="UW26" s="101"/>
      <c r="UX26" s="101"/>
      <c r="UY26" s="101"/>
      <c r="UZ26" s="101"/>
      <c r="VA26" s="101"/>
      <c r="VB26" s="101"/>
      <c r="VC26" s="101"/>
      <c r="VD26" s="101"/>
      <c r="VE26" s="101"/>
      <c r="VF26" s="101"/>
      <c r="VG26" s="101"/>
      <c r="VH26" s="101"/>
      <c r="VI26" s="101"/>
      <c r="VJ26" s="101"/>
      <c r="VK26" s="101"/>
      <c r="VL26" s="101"/>
      <c r="VM26" s="101"/>
      <c r="VN26" s="101"/>
      <c r="VO26" s="101"/>
      <c r="VP26" s="101"/>
      <c r="VQ26" s="101"/>
      <c r="VR26" s="101"/>
      <c r="VS26" s="101"/>
      <c r="VT26" s="101"/>
      <c r="VU26" s="101"/>
      <c r="VV26" s="101"/>
      <c r="VW26" s="101"/>
      <c r="VX26" s="101"/>
      <c r="VY26" s="101"/>
      <c r="VZ26" s="101"/>
      <c r="WA26" s="101"/>
      <c r="WB26" s="101"/>
      <c r="WC26" s="101"/>
      <c r="WD26" s="101"/>
      <c r="WE26" s="101"/>
      <c r="WF26" s="101"/>
      <c r="WG26" s="101"/>
      <c r="WH26" s="101"/>
      <c r="WI26" s="101"/>
      <c r="WJ26" s="101"/>
      <c r="WK26" s="101"/>
      <c r="WL26" s="101"/>
      <c r="WM26" s="101"/>
      <c r="WN26" s="101"/>
      <c r="WO26" s="101"/>
      <c r="WP26" s="101"/>
      <c r="WQ26" s="101"/>
      <c r="WR26" s="101"/>
      <c r="WS26" s="101"/>
      <c r="WT26" s="101"/>
      <c r="WU26" s="101"/>
      <c r="WV26" s="101"/>
      <c r="WW26" s="101"/>
      <c r="WX26" s="101"/>
      <c r="WY26" s="101"/>
      <c r="WZ26" s="101"/>
      <c r="XA26" s="101"/>
      <c r="XB26" s="101"/>
      <c r="XC26" s="101"/>
      <c r="XD26" s="101"/>
      <c r="XE26" s="101"/>
      <c r="XF26" s="101"/>
      <c r="XG26" s="101"/>
      <c r="XH26" s="101"/>
      <c r="XI26" s="101"/>
      <c r="XJ26" s="101"/>
      <c r="XK26" s="101"/>
      <c r="XL26" s="101"/>
      <c r="XM26" s="101"/>
      <c r="XN26" s="101"/>
      <c r="XO26" s="101"/>
      <c r="XP26" s="101"/>
      <c r="XQ26" s="101"/>
      <c r="XR26" s="101"/>
      <c r="XS26" s="101"/>
      <c r="XT26" s="101"/>
      <c r="XU26" s="101"/>
      <c r="XV26" s="101"/>
      <c r="XW26" s="101"/>
      <c r="XX26" s="101"/>
      <c r="XY26" s="101"/>
      <c r="XZ26" s="101"/>
      <c r="YA26" s="101"/>
      <c r="YB26" s="101"/>
      <c r="YC26" s="101"/>
      <c r="YD26" s="101"/>
      <c r="YE26" s="101"/>
      <c r="YF26" s="101"/>
      <c r="YG26" s="101"/>
      <c r="YH26" s="101"/>
      <c r="YI26" s="101"/>
      <c r="YJ26" s="101"/>
      <c r="YK26" s="101"/>
      <c r="YL26" s="101"/>
      <c r="YM26" s="101"/>
      <c r="YN26" s="101"/>
      <c r="YO26" s="101"/>
      <c r="YP26" s="101"/>
      <c r="YQ26" s="101"/>
      <c r="YR26" s="101"/>
      <c r="YS26" s="101"/>
      <c r="YT26" s="101"/>
      <c r="YU26" s="101"/>
      <c r="YV26" s="101"/>
      <c r="YW26" s="101"/>
      <c r="YX26" s="101"/>
      <c r="YY26" s="101"/>
      <c r="YZ26" s="101"/>
      <c r="ZA26" s="101"/>
      <c r="ZB26" s="101"/>
      <c r="ZC26" s="101"/>
      <c r="ZD26" s="101"/>
      <c r="ZE26" s="101"/>
      <c r="ZF26" s="101"/>
      <c r="ZG26" s="101"/>
      <c r="ZH26" s="101"/>
      <c r="ZI26" s="101"/>
      <c r="ZJ26" s="101"/>
      <c r="ZK26" s="101"/>
      <c r="ZL26" s="101"/>
      <c r="ZM26" s="101"/>
      <c r="ZN26" s="101"/>
      <c r="ZO26" s="101"/>
      <c r="ZP26" s="101"/>
      <c r="ZQ26" s="101"/>
      <c r="ZR26" s="101"/>
      <c r="ZS26" s="101"/>
      <c r="ZT26" s="101"/>
      <c r="ZU26" s="101"/>
      <c r="ZV26" s="101"/>
      <c r="ZW26" s="101"/>
      <c r="ZX26" s="101"/>
      <c r="ZY26" s="101"/>
      <c r="ZZ26" s="101"/>
      <c r="AAA26" s="101"/>
      <c r="AAB26" s="101"/>
      <c r="AAC26" s="101"/>
      <c r="AAD26" s="101"/>
      <c r="AAE26" s="101"/>
      <c r="AAF26" s="101"/>
      <c r="AAG26" s="101"/>
      <c r="AAH26" s="101"/>
      <c r="AAI26" s="101"/>
      <c r="AAJ26" s="101"/>
      <c r="AAK26" s="101"/>
      <c r="AAL26" s="101"/>
      <c r="AAM26" s="101"/>
      <c r="AAN26" s="101"/>
      <c r="AAO26" s="101"/>
      <c r="AAP26" s="101"/>
      <c r="AAQ26" s="101"/>
      <c r="AAR26" s="101"/>
      <c r="AAS26" s="101"/>
      <c r="AAT26" s="101"/>
      <c r="AAU26" s="101"/>
      <c r="AAV26" s="101"/>
      <c r="AAW26" s="101"/>
      <c r="AAX26" s="101"/>
      <c r="AAY26" s="101"/>
      <c r="AAZ26" s="101"/>
      <c r="ABA26" s="101"/>
      <c r="ABB26" s="101"/>
      <c r="ABC26" s="101"/>
      <c r="ABD26" s="101"/>
      <c r="ABE26" s="101"/>
      <c r="ABF26" s="101"/>
      <c r="ABG26" s="101"/>
      <c r="ABH26" s="101"/>
      <c r="ABI26" s="101"/>
      <c r="ABJ26" s="101"/>
      <c r="ABK26" s="101"/>
      <c r="ABL26" s="101"/>
      <c r="ABM26" s="101"/>
      <c r="ABN26" s="101"/>
      <c r="ABO26" s="101"/>
      <c r="ABP26" s="101"/>
      <c r="ABQ26" s="101"/>
      <c r="ABR26" s="101"/>
      <c r="ABS26" s="101"/>
      <c r="ABT26" s="101"/>
      <c r="ABU26" s="101"/>
      <c r="ABV26" s="101"/>
      <c r="ABW26" s="101"/>
      <c r="ABX26" s="101"/>
      <c r="ABY26" s="101"/>
      <c r="ABZ26" s="101"/>
      <c r="ACA26" s="101"/>
      <c r="ACB26" s="101"/>
      <c r="ACC26" s="101"/>
      <c r="ACD26" s="101"/>
      <c r="ACE26" s="101"/>
      <c r="ACF26" s="101"/>
      <c r="ACG26" s="101"/>
      <c r="ACH26" s="101"/>
      <c r="ACI26" s="101"/>
      <c r="ACJ26" s="101"/>
      <c r="ACK26" s="101"/>
      <c r="ACL26" s="101"/>
      <c r="ACM26" s="101"/>
      <c r="ACN26" s="101"/>
      <c r="ACO26" s="101"/>
      <c r="ACP26" s="101"/>
      <c r="ACQ26" s="101"/>
      <c r="ACR26" s="101"/>
      <c r="ACS26" s="101"/>
      <c r="ACT26" s="101"/>
      <c r="ACU26" s="101"/>
      <c r="ACV26" s="101"/>
      <c r="ACW26" s="101"/>
      <c r="ACX26" s="101"/>
      <c r="ACY26" s="101"/>
      <c r="ACZ26" s="101"/>
      <c r="ADA26" s="101"/>
      <c r="ADB26" s="101"/>
      <c r="ADC26" s="101"/>
      <c r="ADD26" s="101"/>
      <c r="ADE26" s="101"/>
      <c r="ADF26" s="101"/>
      <c r="ADG26" s="101"/>
      <c r="ADH26" s="101"/>
      <c r="ADI26" s="101"/>
      <c r="ADJ26" s="101"/>
      <c r="ADK26" s="101"/>
      <c r="ADL26" s="101"/>
      <c r="ADM26" s="101"/>
      <c r="ADN26" s="101"/>
      <c r="ADO26" s="101"/>
      <c r="ADP26" s="101"/>
      <c r="ADQ26" s="101"/>
      <c r="ADR26" s="101"/>
      <c r="ADS26" s="101"/>
      <c r="ADT26" s="101"/>
      <c r="ADU26" s="101"/>
      <c r="ADV26" s="101"/>
      <c r="ADW26" s="101"/>
      <c r="ADX26" s="101"/>
      <c r="ADY26" s="101"/>
      <c r="ADZ26" s="101"/>
      <c r="AEA26" s="101"/>
      <c r="AEB26" s="101"/>
      <c r="AEC26" s="101"/>
      <c r="AED26" s="101"/>
      <c r="AEE26" s="101"/>
      <c r="AEF26" s="101"/>
      <c r="AEG26" s="101"/>
      <c r="AEH26" s="101"/>
      <c r="AEI26" s="101"/>
      <c r="AEJ26" s="101"/>
      <c r="AEK26" s="101"/>
      <c r="AEL26" s="101"/>
      <c r="AEM26" s="101"/>
      <c r="AEN26" s="101"/>
      <c r="AEO26" s="101"/>
      <c r="AEP26" s="101"/>
      <c r="AEQ26" s="101"/>
      <c r="AER26" s="101"/>
      <c r="AES26" s="101"/>
      <c r="AET26" s="101"/>
      <c r="AEU26" s="101"/>
      <c r="AEV26" s="101"/>
      <c r="AEW26" s="101"/>
      <c r="AEX26" s="101"/>
      <c r="AEY26" s="101"/>
      <c r="AEZ26" s="101"/>
      <c r="AFA26" s="101"/>
      <c r="AFB26" s="101"/>
      <c r="AFC26" s="101"/>
      <c r="AFD26" s="101"/>
      <c r="AFE26" s="101"/>
      <c r="AFF26" s="101"/>
      <c r="AFG26" s="101"/>
      <c r="AFH26" s="101"/>
      <c r="AFI26" s="101"/>
      <c r="AFJ26" s="101"/>
      <c r="AFK26" s="101"/>
      <c r="AFL26" s="101"/>
      <c r="AFM26" s="101"/>
      <c r="AFN26" s="101"/>
      <c r="AFO26" s="101"/>
      <c r="AFP26" s="101"/>
      <c r="AFQ26" s="101"/>
      <c r="AFR26" s="101"/>
      <c r="AFS26" s="101"/>
      <c r="AFT26" s="101"/>
      <c r="AFU26" s="101"/>
      <c r="AFV26" s="101"/>
      <c r="AFW26" s="101"/>
      <c r="AFX26" s="101"/>
      <c r="AFY26" s="101"/>
      <c r="AFZ26" s="101"/>
      <c r="AGA26" s="101"/>
      <c r="AGB26" s="101"/>
      <c r="AGC26" s="101"/>
      <c r="AGD26" s="101"/>
      <c r="AGE26" s="101"/>
      <c r="AGF26" s="101"/>
      <c r="AGG26" s="101"/>
      <c r="AGH26" s="101"/>
      <c r="AGI26" s="101"/>
      <c r="AGJ26" s="101"/>
      <c r="AGK26" s="101"/>
      <c r="AGL26" s="101"/>
      <c r="AGM26" s="101"/>
      <c r="AGN26" s="101"/>
      <c r="AGO26" s="101"/>
      <c r="AGP26" s="101"/>
      <c r="AGQ26" s="101"/>
      <c r="AGR26" s="101"/>
      <c r="AGS26" s="101"/>
      <c r="AGT26" s="101"/>
      <c r="AGU26" s="101"/>
      <c r="AGV26" s="101"/>
      <c r="AGW26" s="101"/>
      <c r="AGX26" s="101"/>
      <c r="AGY26" s="101"/>
      <c r="AGZ26" s="101"/>
      <c r="AHA26" s="101"/>
      <c r="AHB26" s="101"/>
      <c r="AHC26" s="101"/>
      <c r="AHD26" s="101"/>
      <c r="AHE26" s="101"/>
      <c r="AHF26" s="101"/>
      <c r="AHG26" s="101"/>
      <c r="AHH26" s="101"/>
      <c r="AHI26" s="101"/>
      <c r="AHJ26" s="101"/>
      <c r="AHK26" s="101"/>
      <c r="AHL26" s="101"/>
      <c r="AHM26" s="101"/>
      <c r="AHN26" s="101"/>
      <c r="AHO26" s="101"/>
      <c r="AHP26" s="101"/>
      <c r="AHQ26" s="101"/>
      <c r="AHR26" s="101"/>
      <c r="AHS26" s="101"/>
      <c r="AHT26" s="101"/>
      <c r="AHU26" s="101"/>
      <c r="AHV26" s="101"/>
      <c r="AHW26" s="101"/>
      <c r="AHX26" s="101"/>
      <c r="AHY26" s="101"/>
      <c r="AHZ26" s="101"/>
      <c r="AIA26" s="101"/>
      <c r="AIB26" s="101"/>
      <c r="AIC26" s="101"/>
      <c r="AID26" s="101"/>
      <c r="AIE26" s="101"/>
      <c r="AIF26" s="101"/>
      <c r="AIG26" s="101"/>
      <c r="AIH26" s="101"/>
      <c r="AII26" s="101"/>
      <c r="AIJ26" s="101"/>
      <c r="AIK26" s="101"/>
      <c r="AIL26" s="101"/>
      <c r="AIM26" s="101"/>
      <c r="AIN26" s="101"/>
      <c r="AIO26" s="101"/>
      <c r="AIP26" s="101"/>
      <c r="AIQ26" s="101"/>
      <c r="AIR26" s="101"/>
      <c r="AIS26" s="101"/>
      <c r="AIT26" s="101"/>
      <c r="AIU26" s="101"/>
      <c r="AIV26" s="101"/>
      <c r="AIW26" s="101"/>
      <c r="AIX26" s="101"/>
      <c r="AIY26" s="101"/>
      <c r="AIZ26" s="101"/>
      <c r="AJA26" s="101"/>
      <c r="AJB26" s="101"/>
      <c r="AJC26" s="101"/>
      <c r="AJD26" s="101"/>
      <c r="AJE26" s="101"/>
      <c r="AJF26" s="101"/>
      <c r="AJG26" s="101"/>
      <c r="AJH26" s="101"/>
      <c r="AJI26" s="101"/>
      <c r="AJJ26" s="101"/>
      <c r="AJK26" s="101"/>
      <c r="AJL26" s="101"/>
      <c r="AJM26" s="101"/>
      <c r="AJN26" s="101"/>
      <c r="AJO26" s="101"/>
      <c r="AJP26" s="101"/>
      <c r="AJQ26" s="101"/>
      <c r="AJR26" s="101"/>
      <c r="AJS26" s="101"/>
      <c r="AJT26" s="101"/>
      <c r="AJU26" s="101"/>
      <c r="AJV26" s="101"/>
      <c r="AJW26" s="101"/>
      <c r="AJX26" s="101"/>
      <c r="AJY26" s="101"/>
      <c r="AJZ26" s="101"/>
      <c r="AKA26" s="101"/>
      <c r="AKB26" s="101"/>
      <c r="AKC26" s="101"/>
      <c r="AKD26" s="101"/>
      <c r="AKE26" s="101"/>
      <c r="AKF26" s="101"/>
      <c r="AKG26" s="101"/>
      <c r="AKH26" s="101"/>
      <c r="AKI26" s="101"/>
      <c r="AKJ26" s="101"/>
      <c r="AKK26" s="101"/>
      <c r="AKL26" s="101"/>
      <c r="AKM26" s="101"/>
      <c r="AKN26" s="101"/>
      <c r="AKO26" s="101"/>
      <c r="AKP26" s="101"/>
      <c r="AKQ26" s="101"/>
      <c r="AKR26" s="101"/>
      <c r="AKS26" s="101"/>
      <c r="AKT26" s="101"/>
      <c r="AKU26" s="101"/>
      <c r="AKV26" s="101"/>
      <c r="AKW26" s="101"/>
      <c r="AKX26" s="101"/>
      <c r="AKY26" s="101"/>
      <c r="AKZ26" s="101"/>
      <c r="ALA26" s="101"/>
      <c r="ALB26" s="101"/>
      <c r="ALC26" s="101"/>
      <c r="ALD26" s="101"/>
      <c r="ALE26" s="101"/>
      <c r="ALF26" s="101"/>
      <c r="ALG26" s="101"/>
      <c r="ALH26" s="101"/>
      <c r="ALI26" s="101"/>
      <c r="ALJ26" s="101"/>
      <c r="ALK26" s="101"/>
      <c r="ALL26" s="101"/>
      <c r="ALM26" s="101"/>
      <c r="ALN26" s="101"/>
      <c r="ALO26" s="101"/>
      <c r="ALP26" s="101"/>
      <c r="ALQ26" s="101"/>
      <c r="ALR26" s="101"/>
      <c r="ALS26" s="101"/>
      <c r="ALT26" s="101"/>
      <c r="ALU26" s="101"/>
      <c r="ALV26" s="101"/>
      <c r="ALW26" s="101"/>
      <c r="ALX26" s="101"/>
      <c r="ALY26" s="101"/>
      <c r="ALZ26" s="101"/>
      <c r="AMA26" s="101"/>
      <c r="AMB26" s="101"/>
      <c r="AMC26" s="101"/>
      <c r="AMD26" s="101"/>
      <c r="AME26" s="101"/>
      <c r="AMF26" s="101"/>
      <c r="AMG26" s="101"/>
      <c r="AMH26" s="101"/>
      <c r="AMI26" s="101"/>
      <c r="AMJ26" s="101"/>
      <c r="AMK26" s="101"/>
      <c r="AML26" s="101"/>
      <c r="AMM26" s="101"/>
      <c r="AMN26" s="101"/>
      <c r="AMO26" s="101"/>
      <c r="AMP26" s="101"/>
      <c r="AMQ26" s="101"/>
      <c r="AMR26" s="101"/>
      <c r="AMS26" s="101"/>
      <c r="AMT26" s="101"/>
      <c r="AMU26" s="101"/>
      <c r="AMV26" s="101"/>
      <c r="AMW26" s="101"/>
      <c r="AMX26" s="101"/>
      <c r="AMY26" s="101"/>
      <c r="AMZ26" s="101"/>
      <c r="ANA26" s="101"/>
      <c r="ANB26" s="101"/>
      <c r="ANC26" s="101"/>
      <c r="AND26" s="101"/>
      <c r="ANE26" s="101"/>
      <c r="ANF26" s="101"/>
      <c r="ANG26" s="101"/>
      <c r="ANH26" s="101"/>
      <c r="ANI26" s="101"/>
      <c r="ANJ26" s="101"/>
      <c r="ANK26" s="101"/>
      <c r="ANL26" s="101"/>
      <c r="ANM26" s="101"/>
      <c r="ANN26" s="101"/>
      <c r="ANO26" s="101"/>
      <c r="ANP26" s="101"/>
      <c r="ANQ26" s="101"/>
      <c r="ANR26" s="101"/>
      <c r="ANS26" s="101"/>
      <c r="ANT26" s="101"/>
      <c r="ANU26" s="101"/>
      <c r="ANV26" s="101"/>
      <c r="ANW26" s="101"/>
      <c r="ANX26" s="101"/>
      <c r="ANY26" s="101"/>
      <c r="ANZ26" s="101"/>
      <c r="AOA26" s="101"/>
      <c r="AOB26" s="101"/>
      <c r="AOC26" s="101"/>
      <c r="AOD26" s="101"/>
      <c r="AOE26" s="101"/>
      <c r="AOF26" s="101"/>
      <c r="AOG26" s="101"/>
      <c r="AOH26" s="101"/>
      <c r="AOI26" s="101"/>
      <c r="AOJ26" s="101"/>
      <c r="AOK26" s="101"/>
      <c r="AOL26" s="101"/>
      <c r="AOM26" s="101"/>
      <c r="AON26" s="101"/>
      <c r="AOO26" s="101"/>
      <c r="AOP26" s="101"/>
      <c r="AOQ26" s="101"/>
      <c r="AOR26" s="101"/>
      <c r="AOS26" s="101"/>
      <c r="AOT26" s="101"/>
      <c r="AOU26" s="101"/>
      <c r="AOV26" s="101"/>
      <c r="AOW26" s="101"/>
      <c r="AOX26" s="101"/>
      <c r="AOY26" s="101"/>
      <c r="AOZ26" s="101"/>
      <c r="APA26" s="101"/>
      <c r="APB26" s="101"/>
      <c r="APC26" s="101"/>
      <c r="APD26" s="101"/>
      <c r="APE26" s="101"/>
      <c r="APF26" s="101"/>
      <c r="APG26" s="101"/>
      <c r="APH26" s="101"/>
      <c r="API26" s="101"/>
      <c r="APJ26" s="101"/>
      <c r="APK26" s="101"/>
      <c r="APL26" s="101"/>
      <c r="APM26" s="101"/>
      <c r="APN26" s="101"/>
      <c r="APO26" s="101"/>
      <c r="APP26" s="101"/>
      <c r="APQ26" s="101"/>
      <c r="APR26" s="101"/>
      <c r="APS26" s="101"/>
      <c r="APT26" s="101"/>
      <c r="APU26" s="101"/>
      <c r="APV26" s="101"/>
      <c r="APW26" s="101"/>
      <c r="APX26" s="101"/>
      <c r="APY26" s="101"/>
      <c r="APZ26" s="101"/>
      <c r="AQA26" s="101"/>
      <c r="AQB26" s="101"/>
      <c r="AQC26" s="101"/>
      <c r="AQD26" s="101"/>
      <c r="AQE26" s="101"/>
      <c r="AQF26" s="101"/>
      <c r="AQG26" s="101"/>
      <c r="AQH26" s="101"/>
      <c r="AQI26" s="101"/>
      <c r="AQJ26" s="101"/>
      <c r="AQK26" s="101"/>
      <c r="AQL26" s="101"/>
      <c r="AQM26" s="101"/>
      <c r="AQN26" s="101"/>
      <c r="AQO26" s="101"/>
      <c r="AQP26" s="101"/>
      <c r="AQQ26" s="101"/>
      <c r="AQR26" s="101"/>
      <c r="AQS26" s="101"/>
      <c r="AQT26" s="101"/>
      <c r="AQU26" s="101"/>
      <c r="AQV26" s="101"/>
      <c r="AQW26" s="101"/>
      <c r="AQX26" s="101"/>
      <c r="AQY26" s="101"/>
      <c r="AQZ26" s="101"/>
      <c r="ARA26" s="101"/>
      <c r="ARB26" s="101"/>
      <c r="ARC26" s="101"/>
      <c r="ARD26" s="101"/>
      <c r="ARE26" s="101"/>
      <c r="ARF26" s="101"/>
      <c r="ARG26" s="101"/>
      <c r="ARH26" s="101"/>
      <c r="ARI26" s="101"/>
      <c r="ARJ26" s="101"/>
      <c r="ARK26" s="101"/>
      <c r="ARL26" s="101"/>
      <c r="ARM26" s="101"/>
      <c r="ARN26" s="101"/>
      <c r="ARO26" s="101"/>
      <c r="ARP26" s="101"/>
      <c r="ARQ26" s="101"/>
      <c r="ARR26" s="101"/>
      <c r="ARS26" s="101"/>
      <c r="ART26" s="101"/>
      <c r="ARU26" s="101"/>
      <c r="ARV26" s="101"/>
      <c r="ARW26" s="101"/>
      <c r="ARX26" s="101"/>
      <c r="ARY26" s="101"/>
      <c r="ARZ26" s="101"/>
      <c r="ASA26" s="101"/>
      <c r="ASB26" s="101"/>
      <c r="ASC26" s="101"/>
      <c r="ASD26" s="101"/>
      <c r="ASE26" s="101"/>
      <c r="ASF26" s="101"/>
      <c r="ASG26" s="101"/>
      <c r="ASH26" s="101"/>
      <c r="ASI26" s="101"/>
      <c r="ASJ26" s="101"/>
      <c r="ASK26" s="101"/>
      <c r="ASL26" s="101"/>
      <c r="ASM26" s="101"/>
      <c r="ASN26" s="101"/>
      <c r="ASO26" s="101"/>
      <c r="ASP26" s="101"/>
      <c r="ASQ26" s="101"/>
      <c r="ASR26" s="101"/>
      <c r="ASS26" s="101"/>
      <c r="AST26" s="101"/>
      <c r="ASU26" s="101"/>
      <c r="ASV26" s="101"/>
      <c r="ASW26" s="101"/>
      <c r="ASX26" s="101"/>
      <c r="ASY26" s="101"/>
      <c r="ASZ26" s="101"/>
      <c r="ATA26" s="101"/>
      <c r="ATB26" s="101"/>
      <c r="ATC26" s="101"/>
      <c r="ATD26" s="101"/>
      <c r="ATE26" s="101"/>
      <c r="ATF26" s="101"/>
      <c r="ATG26" s="101"/>
      <c r="ATH26" s="101"/>
      <c r="ATI26" s="101"/>
      <c r="ATJ26" s="101"/>
      <c r="ATK26" s="101"/>
      <c r="ATL26" s="101"/>
      <c r="ATM26" s="101"/>
      <c r="ATN26" s="101"/>
      <c r="ATO26" s="101"/>
      <c r="ATP26" s="101"/>
      <c r="ATQ26" s="101"/>
      <c r="ATR26" s="101"/>
      <c r="ATS26" s="101"/>
      <c r="ATT26" s="101"/>
      <c r="ATU26" s="101"/>
      <c r="ATV26" s="101"/>
      <c r="ATW26" s="101"/>
      <c r="ATX26" s="101"/>
      <c r="ATY26" s="101"/>
      <c r="ATZ26" s="101"/>
      <c r="AUA26" s="101"/>
      <c r="AUB26" s="101"/>
      <c r="AUC26" s="101"/>
      <c r="AUD26" s="101"/>
      <c r="AUE26" s="101"/>
      <c r="AUF26" s="101"/>
      <c r="AUG26" s="101"/>
      <c r="AUH26" s="101"/>
      <c r="AUI26" s="101"/>
      <c r="AUJ26" s="101"/>
      <c r="AUK26" s="101"/>
      <c r="AUL26" s="101"/>
      <c r="AUM26" s="101"/>
      <c r="AUN26" s="101"/>
      <c r="AUO26" s="101"/>
      <c r="AUP26" s="101"/>
      <c r="AUQ26" s="101"/>
      <c r="AUR26" s="101"/>
      <c r="AUS26" s="101"/>
      <c r="AUT26" s="101"/>
      <c r="AUU26" s="101"/>
      <c r="AUV26" s="101"/>
      <c r="AUW26" s="101"/>
      <c r="AUX26" s="101"/>
      <c r="AUY26" s="101"/>
      <c r="AUZ26" s="101"/>
      <c r="AVA26" s="101"/>
      <c r="AVB26" s="101"/>
      <c r="AVC26" s="101"/>
      <c r="AVD26" s="101"/>
      <c r="AVE26" s="101"/>
      <c r="AVF26" s="101"/>
      <c r="AVG26" s="101"/>
      <c r="AVH26" s="101"/>
      <c r="AVI26" s="101"/>
      <c r="AVJ26" s="101"/>
      <c r="AVK26" s="101"/>
      <c r="AVL26" s="101"/>
      <c r="AVM26" s="101"/>
      <c r="AVN26" s="101"/>
      <c r="AVO26" s="101"/>
      <c r="AVP26" s="101"/>
      <c r="AVQ26" s="101"/>
      <c r="AVR26" s="101"/>
      <c r="AVS26" s="101"/>
      <c r="AVT26" s="101"/>
      <c r="AVU26" s="101"/>
      <c r="AVV26" s="101"/>
      <c r="AVW26" s="101"/>
      <c r="AVX26" s="101"/>
      <c r="AVY26" s="101"/>
      <c r="AVZ26" s="101"/>
      <c r="AWA26" s="101"/>
      <c r="AWB26" s="101"/>
      <c r="AWC26" s="101"/>
      <c r="AWD26" s="101"/>
      <c r="AWE26" s="101"/>
      <c r="AWF26" s="101"/>
      <c r="AWG26" s="101"/>
      <c r="AWH26" s="101"/>
      <c r="AWI26" s="101"/>
      <c r="AWJ26" s="101"/>
      <c r="AWK26" s="101"/>
      <c r="AWL26" s="101"/>
      <c r="AWM26" s="101"/>
      <c r="AWN26" s="101"/>
      <c r="AWO26" s="101"/>
      <c r="AWP26" s="101"/>
      <c r="AWQ26" s="101"/>
      <c r="AWR26" s="101"/>
      <c r="AWS26" s="101"/>
      <c r="AWT26" s="101"/>
      <c r="AWU26" s="101"/>
      <c r="AWV26" s="101"/>
      <c r="AWW26" s="101"/>
      <c r="AWX26" s="101"/>
      <c r="AWY26" s="101"/>
      <c r="AWZ26" s="101"/>
      <c r="AXA26" s="101"/>
      <c r="AXB26" s="101"/>
      <c r="AXC26" s="101"/>
      <c r="AXD26" s="101"/>
      <c r="AXE26" s="101"/>
      <c r="AXF26" s="101"/>
      <c r="AXG26" s="101"/>
      <c r="AXH26" s="101"/>
      <c r="AXI26" s="101"/>
      <c r="AXJ26" s="101"/>
      <c r="AXK26" s="101"/>
      <c r="AXL26" s="101"/>
      <c r="AXM26" s="101"/>
      <c r="AXN26" s="101"/>
      <c r="AXO26" s="101"/>
      <c r="AXP26" s="101"/>
      <c r="AXQ26" s="101"/>
      <c r="AXR26" s="101"/>
      <c r="AXS26" s="101"/>
      <c r="AXT26" s="101"/>
      <c r="AXU26" s="101"/>
      <c r="AXV26" s="101"/>
      <c r="AXW26" s="101"/>
      <c r="AXX26" s="101"/>
      <c r="AXY26" s="101"/>
      <c r="AXZ26" s="101"/>
      <c r="AYA26" s="101"/>
      <c r="AYB26" s="101"/>
      <c r="AYC26" s="101"/>
      <c r="AYD26" s="101"/>
      <c r="AYE26" s="101"/>
      <c r="AYF26" s="101"/>
      <c r="AYG26" s="101"/>
      <c r="AYH26" s="101"/>
      <c r="AYI26" s="101"/>
      <c r="AYJ26" s="101"/>
      <c r="AYK26" s="101"/>
      <c r="AYL26" s="101"/>
      <c r="AYM26" s="101"/>
      <c r="AYN26" s="101"/>
      <c r="AYO26" s="101"/>
      <c r="AYP26" s="101"/>
      <c r="AYQ26" s="101"/>
      <c r="AYR26" s="101"/>
      <c r="AYS26" s="101"/>
      <c r="AYT26" s="101"/>
      <c r="AYU26" s="101"/>
      <c r="AYV26" s="101"/>
      <c r="AYW26" s="101"/>
      <c r="AYX26" s="101"/>
      <c r="AYY26" s="101"/>
      <c r="AYZ26" s="101"/>
      <c r="AZA26" s="101"/>
      <c r="AZB26" s="101"/>
      <c r="AZC26" s="101"/>
      <c r="AZD26" s="101"/>
      <c r="AZE26" s="101"/>
      <c r="AZF26" s="101"/>
      <c r="AZG26" s="101"/>
      <c r="AZH26" s="101"/>
      <c r="AZI26" s="101"/>
      <c r="AZJ26" s="101"/>
      <c r="AZK26" s="101"/>
      <c r="AZL26" s="101"/>
      <c r="AZM26" s="101"/>
      <c r="AZN26" s="101"/>
      <c r="AZO26" s="101"/>
      <c r="AZP26" s="101"/>
      <c r="AZQ26" s="101"/>
      <c r="AZR26" s="101"/>
      <c r="AZS26" s="101"/>
      <c r="AZT26" s="101"/>
      <c r="AZU26" s="101"/>
      <c r="AZV26" s="101"/>
      <c r="AZW26" s="101"/>
      <c r="AZX26" s="101"/>
      <c r="AZY26" s="101"/>
      <c r="AZZ26" s="101"/>
      <c r="BAA26" s="101"/>
      <c r="BAB26" s="101"/>
      <c r="BAC26" s="101"/>
      <c r="BAD26" s="101"/>
      <c r="BAE26" s="101"/>
      <c r="BAF26" s="101"/>
      <c r="BAG26" s="101"/>
      <c r="BAH26" s="101"/>
      <c r="BAI26" s="101"/>
      <c r="BAJ26" s="101"/>
      <c r="BAK26" s="101"/>
      <c r="BAL26" s="101"/>
      <c r="BAM26" s="101"/>
      <c r="BAN26" s="101"/>
      <c r="BAO26" s="101"/>
      <c r="BAP26" s="101"/>
      <c r="BAQ26" s="101"/>
      <c r="BAR26" s="101"/>
      <c r="BAS26" s="101"/>
      <c r="BAT26" s="101"/>
      <c r="BAU26" s="101"/>
      <c r="BAV26" s="101"/>
      <c r="BAW26" s="101"/>
      <c r="BAX26" s="101"/>
      <c r="BAY26" s="101"/>
      <c r="BAZ26" s="101"/>
      <c r="BBA26" s="101"/>
      <c r="BBB26" s="101"/>
      <c r="BBC26" s="101"/>
      <c r="BBD26" s="101"/>
      <c r="BBE26" s="101"/>
      <c r="BBF26" s="101"/>
      <c r="BBG26" s="101"/>
      <c r="BBH26" s="101"/>
      <c r="BBI26" s="101"/>
      <c r="BBJ26" s="101"/>
      <c r="BBK26" s="101"/>
      <c r="BBL26" s="101"/>
      <c r="BBM26" s="101"/>
      <c r="BBN26" s="101"/>
      <c r="BBO26" s="101"/>
      <c r="BBP26" s="101"/>
      <c r="BBQ26" s="101"/>
      <c r="BBR26" s="101"/>
      <c r="BBS26" s="101"/>
      <c r="BBT26" s="101"/>
      <c r="BBU26" s="101"/>
      <c r="BBV26" s="101"/>
      <c r="BBW26" s="101"/>
      <c r="BBX26" s="101"/>
      <c r="BBY26" s="101"/>
      <c r="BBZ26" s="101"/>
      <c r="BCA26" s="101"/>
      <c r="BCB26" s="101"/>
      <c r="BCC26" s="101"/>
      <c r="BCD26" s="101"/>
      <c r="BCE26" s="101"/>
      <c r="BCF26" s="101"/>
      <c r="BCG26" s="101"/>
      <c r="BCH26" s="101"/>
      <c r="BCI26" s="101"/>
      <c r="BCJ26" s="101"/>
      <c r="BCK26" s="101"/>
      <c r="BCL26" s="101"/>
      <c r="BCM26" s="101"/>
      <c r="BCN26" s="101"/>
      <c r="BCO26" s="101"/>
      <c r="BCP26" s="101"/>
      <c r="BCQ26" s="101"/>
      <c r="BCR26" s="101"/>
      <c r="BCS26" s="101"/>
      <c r="BCT26" s="101"/>
      <c r="BCU26" s="101"/>
      <c r="BCV26" s="101"/>
      <c r="BCW26" s="101"/>
      <c r="BCX26" s="101"/>
      <c r="BCY26" s="101"/>
      <c r="BCZ26" s="101"/>
      <c r="BDA26" s="101"/>
      <c r="BDB26" s="101"/>
      <c r="BDC26" s="101"/>
      <c r="BDD26" s="101"/>
      <c r="BDE26" s="101"/>
      <c r="BDF26" s="101"/>
      <c r="BDG26" s="101"/>
      <c r="BDH26" s="101"/>
      <c r="BDI26" s="101"/>
      <c r="BDJ26" s="101"/>
      <c r="BDK26" s="101"/>
      <c r="BDL26" s="101"/>
      <c r="BDM26" s="101"/>
      <c r="BDN26" s="101"/>
      <c r="BDO26" s="101"/>
      <c r="BDP26" s="101"/>
      <c r="BDQ26" s="101"/>
      <c r="BDR26" s="101"/>
      <c r="BDS26" s="101"/>
      <c r="BDT26" s="101"/>
      <c r="BDU26" s="101"/>
      <c r="BDV26" s="101"/>
      <c r="BDW26" s="101"/>
      <c r="BDX26" s="101"/>
      <c r="BDY26" s="101"/>
      <c r="BDZ26" s="101"/>
      <c r="BEA26" s="101"/>
      <c r="BEB26" s="101"/>
      <c r="BEC26" s="101"/>
      <c r="BED26" s="101"/>
      <c r="BEE26" s="101"/>
      <c r="BEF26" s="101"/>
      <c r="BEG26" s="101"/>
      <c r="BEH26" s="101"/>
      <c r="BEI26" s="101"/>
      <c r="BEJ26" s="101"/>
      <c r="BEK26" s="101"/>
      <c r="BEL26" s="101"/>
      <c r="BEM26" s="101"/>
      <c r="BEN26" s="101"/>
      <c r="BEO26" s="101"/>
      <c r="BEP26" s="101"/>
      <c r="BEQ26" s="101"/>
      <c r="BER26" s="101"/>
      <c r="BES26" s="101"/>
      <c r="BET26" s="101"/>
      <c r="BEU26" s="101"/>
      <c r="BEV26" s="101"/>
      <c r="BEW26" s="101"/>
      <c r="BEX26" s="101"/>
      <c r="BEY26" s="101"/>
      <c r="BEZ26" s="101"/>
      <c r="BFA26" s="101"/>
      <c r="BFB26" s="101"/>
      <c r="BFC26" s="101"/>
      <c r="BFD26" s="101"/>
      <c r="BFE26" s="101"/>
      <c r="BFF26" s="101"/>
      <c r="BFG26" s="101"/>
      <c r="BFH26" s="101"/>
      <c r="BFI26" s="101"/>
      <c r="BFJ26" s="101"/>
      <c r="BFK26" s="101"/>
      <c r="BFL26" s="101"/>
      <c r="BFM26" s="101"/>
      <c r="BFN26" s="101"/>
      <c r="BFO26" s="101"/>
      <c r="BFP26" s="101"/>
      <c r="BFQ26" s="101"/>
      <c r="BFR26" s="101"/>
      <c r="BFS26" s="101"/>
      <c r="BFT26" s="101"/>
      <c r="BFU26" s="101"/>
      <c r="BFV26" s="101"/>
      <c r="BFW26" s="101"/>
      <c r="BFX26" s="101"/>
      <c r="BFY26" s="101"/>
      <c r="BFZ26" s="101"/>
      <c r="BGA26" s="101"/>
      <c r="BGB26" s="101"/>
      <c r="BGC26" s="101"/>
      <c r="BGD26" s="101"/>
      <c r="BGE26" s="101"/>
      <c r="BGF26" s="101"/>
      <c r="BGG26" s="101"/>
      <c r="BGH26" s="101"/>
      <c r="BGI26" s="101"/>
      <c r="BGJ26" s="101"/>
      <c r="BGK26" s="101"/>
      <c r="BGL26" s="101"/>
      <c r="BGM26" s="101"/>
      <c r="BGN26" s="101"/>
      <c r="BGO26" s="101"/>
      <c r="BGP26" s="101"/>
      <c r="BGQ26" s="101"/>
      <c r="BGR26" s="101"/>
      <c r="BGS26" s="101"/>
      <c r="BGT26" s="101"/>
      <c r="BGU26" s="101"/>
      <c r="BGV26" s="101"/>
      <c r="BGW26" s="101"/>
      <c r="BGX26" s="101"/>
      <c r="BGY26" s="101"/>
      <c r="BGZ26" s="101"/>
      <c r="BHA26" s="101"/>
      <c r="BHB26" s="101"/>
      <c r="BHC26" s="101"/>
      <c r="BHD26" s="101"/>
      <c r="BHE26" s="101"/>
      <c r="BHF26" s="101"/>
      <c r="BHG26" s="101"/>
      <c r="BHH26" s="101"/>
      <c r="BHI26" s="101"/>
      <c r="BHJ26" s="101"/>
      <c r="BHK26" s="101"/>
      <c r="BHL26" s="101"/>
      <c r="BHM26" s="101"/>
      <c r="BHN26" s="101"/>
      <c r="BHO26" s="101"/>
      <c r="BHP26" s="101"/>
      <c r="BHQ26" s="101"/>
      <c r="BHR26" s="101"/>
      <c r="BHS26" s="101"/>
      <c r="BHT26" s="101"/>
      <c r="BHU26" s="101"/>
      <c r="BHV26" s="101"/>
      <c r="BHW26" s="101"/>
      <c r="BHX26" s="101"/>
      <c r="BHY26" s="101"/>
      <c r="BHZ26" s="101"/>
      <c r="BIA26" s="101"/>
      <c r="BIB26" s="101"/>
      <c r="BIC26" s="101"/>
      <c r="BID26" s="101"/>
      <c r="BIE26" s="101"/>
      <c r="BIF26" s="101"/>
      <c r="BIG26" s="101"/>
      <c r="BIH26" s="101"/>
      <c r="BII26" s="101"/>
      <c r="BIJ26" s="101"/>
      <c r="BIK26" s="101"/>
      <c r="BIL26" s="101"/>
      <c r="BIM26" s="101"/>
      <c r="BIN26" s="101"/>
      <c r="BIO26" s="101"/>
      <c r="BIP26" s="101"/>
      <c r="BIQ26" s="101"/>
      <c r="BIR26" s="101"/>
      <c r="BIS26" s="101"/>
      <c r="BIT26" s="101"/>
      <c r="BIU26" s="101"/>
      <c r="BIV26" s="101"/>
      <c r="BIW26" s="101"/>
      <c r="BIX26" s="101"/>
      <c r="BIY26" s="101"/>
      <c r="BIZ26" s="101"/>
      <c r="BJA26" s="101"/>
      <c r="BJB26" s="101"/>
      <c r="BJC26" s="101"/>
      <c r="BJD26" s="101"/>
      <c r="BJE26" s="101"/>
      <c r="BJF26" s="101"/>
      <c r="BJG26" s="101"/>
      <c r="BJH26" s="101"/>
      <c r="BJI26" s="101"/>
      <c r="BJJ26" s="101"/>
      <c r="BJK26" s="101"/>
      <c r="BJL26" s="101"/>
      <c r="BJM26" s="101"/>
      <c r="BJN26" s="101"/>
      <c r="BJO26" s="101"/>
      <c r="BJP26" s="101"/>
      <c r="BJQ26" s="101"/>
      <c r="BJR26" s="101"/>
      <c r="BJS26" s="101"/>
      <c r="BJT26" s="101"/>
      <c r="BJU26" s="101"/>
      <c r="BJV26" s="101"/>
      <c r="BJW26" s="101"/>
      <c r="BJX26" s="101"/>
      <c r="BJY26" s="101"/>
      <c r="BJZ26" s="101"/>
      <c r="BKA26" s="101"/>
      <c r="BKB26" s="101"/>
      <c r="BKC26" s="101"/>
      <c r="BKD26" s="101"/>
      <c r="BKE26" s="101"/>
      <c r="BKF26" s="101"/>
      <c r="BKG26" s="101"/>
      <c r="BKH26" s="101"/>
      <c r="BKI26" s="101"/>
      <c r="BKJ26" s="101"/>
      <c r="BKK26" s="101"/>
      <c r="BKL26" s="101"/>
      <c r="BKM26" s="101"/>
      <c r="BKN26" s="101"/>
      <c r="BKO26" s="101"/>
      <c r="BKP26" s="101"/>
      <c r="BKQ26" s="101"/>
      <c r="BKR26" s="101"/>
      <c r="BKS26" s="101"/>
      <c r="BKT26" s="101"/>
      <c r="BKU26" s="101"/>
      <c r="BKV26" s="101"/>
      <c r="BKW26" s="101"/>
      <c r="BKX26" s="101"/>
      <c r="BKY26" s="101"/>
      <c r="BKZ26" s="101"/>
      <c r="BLA26" s="101"/>
      <c r="BLB26" s="101"/>
      <c r="BLC26" s="101"/>
      <c r="BLD26" s="101"/>
      <c r="BLE26" s="101"/>
      <c r="BLF26" s="101"/>
      <c r="BLG26" s="101"/>
      <c r="BLH26" s="101"/>
      <c r="BLI26" s="101"/>
      <c r="BLJ26" s="101"/>
      <c r="BLK26" s="101"/>
      <c r="BLL26" s="101"/>
      <c r="BLM26" s="101"/>
      <c r="BLN26" s="101"/>
      <c r="BLO26" s="101"/>
      <c r="BLP26" s="101"/>
      <c r="BLQ26" s="101"/>
      <c r="BLR26" s="101"/>
      <c r="BLS26" s="101"/>
      <c r="BLT26" s="101"/>
      <c r="BLU26" s="101"/>
      <c r="BLV26" s="101"/>
      <c r="BLW26" s="101"/>
      <c r="BLX26" s="101"/>
      <c r="BLY26" s="101"/>
      <c r="BLZ26" s="101"/>
      <c r="BMA26" s="101"/>
      <c r="BMB26" s="101"/>
      <c r="BMC26" s="101"/>
      <c r="BMD26" s="101"/>
      <c r="BME26" s="101"/>
      <c r="BMF26" s="101"/>
      <c r="BMG26" s="101"/>
      <c r="BMH26" s="101"/>
      <c r="BMI26" s="101"/>
      <c r="BMJ26" s="101"/>
      <c r="BMK26" s="101"/>
      <c r="BML26" s="101"/>
      <c r="BMM26" s="101"/>
      <c r="BMN26" s="101"/>
      <c r="BMO26" s="101"/>
      <c r="BMP26" s="101"/>
      <c r="BMQ26" s="101"/>
      <c r="BMR26" s="101"/>
      <c r="BMS26" s="101"/>
      <c r="BMT26" s="101"/>
      <c r="BMU26" s="101"/>
      <c r="BMV26" s="101"/>
      <c r="BMW26" s="101"/>
      <c r="BMX26" s="101"/>
      <c r="BMY26" s="101"/>
      <c r="BMZ26" s="101"/>
      <c r="BNA26" s="101"/>
      <c r="BNB26" s="101"/>
      <c r="BNC26" s="101"/>
      <c r="BND26" s="101"/>
      <c r="BNE26" s="101"/>
      <c r="BNF26" s="101"/>
      <c r="BNG26" s="101"/>
      <c r="BNH26" s="101"/>
      <c r="BNI26" s="101"/>
      <c r="BNJ26" s="101"/>
      <c r="BNK26" s="101"/>
      <c r="BNL26" s="101"/>
      <c r="BNM26" s="101"/>
      <c r="BNN26" s="101"/>
      <c r="BNO26" s="101"/>
      <c r="BNP26" s="101"/>
      <c r="BNQ26" s="101"/>
      <c r="BNR26" s="101"/>
      <c r="BNS26" s="101"/>
      <c r="BNT26" s="101"/>
      <c r="BNU26" s="101"/>
      <c r="BNV26" s="101"/>
      <c r="BNW26" s="101"/>
      <c r="BNX26" s="101"/>
      <c r="BNY26" s="101"/>
      <c r="BNZ26" s="101"/>
      <c r="BOA26" s="101"/>
      <c r="BOB26" s="101"/>
      <c r="BOC26" s="101"/>
      <c r="BOD26" s="101"/>
      <c r="BOE26" s="101"/>
      <c r="BOF26" s="101"/>
      <c r="BOG26" s="101"/>
      <c r="BOH26" s="101"/>
      <c r="BOI26" s="101"/>
      <c r="BOJ26" s="101"/>
      <c r="BOK26" s="101"/>
      <c r="BOL26" s="101"/>
      <c r="BOM26" s="101"/>
      <c r="BON26" s="101"/>
      <c r="BOO26" s="101"/>
      <c r="BOP26" s="101"/>
      <c r="BOQ26" s="101"/>
      <c r="BOR26" s="101"/>
      <c r="BOS26" s="101"/>
      <c r="BOT26" s="101"/>
      <c r="BOU26" s="101"/>
      <c r="BOV26" s="101"/>
      <c r="BOW26" s="101"/>
      <c r="BOX26" s="101"/>
      <c r="BOY26" s="101"/>
      <c r="BOZ26" s="101"/>
      <c r="BPA26" s="101"/>
      <c r="BPB26" s="101"/>
      <c r="BPC26" s="167"/>
    </row>
    <row r="27" s="103" customFormat="1" ht="75" customHeight="1" outlineLevel="1" spans="1:1024 1025:1771">
      <c r="A27" s="157" t="s">
        <v>101</v>
      </c>
      <c r="B27" s="151" t="s">
        <v>1073</v>
      </c>
      <c r="C27" s="158" t="s">
        <v>1074</v>
      </c>
      <c r="D27" s="153" t="s">
        <v>1044</v>
      </c>
      <c r="E27" s="154"/>
      <c r="F27" s="159"/>
      <c r="G27" s="160"/>
      <c r="H27" s="155">
        <v>46137</v>
      </c>
      <c r="I27" s="156" t="s">
        <v>7</v>
      </c>
      <c r="J27" s="153"/>
      <c r="K27" s="170"/>
      <c r="L27" s="5" t="s">
        <v>1041</v>
      </c>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c r="DK27" s="101"/>
      <c r="DL27" s="101"/>
      <c r="DM27" s="101"/>
      <c r="DN27" s="101"/>
      <c r="DO27" s="101"/>
      <c r="DP27" s="101"/>
      <c r="DQ27" s="101"/>
      <c r="DR27" s="101"/>
      <c r="DS27" s="101"/>
      <c r="DT27" s="101"/>
      <c r="DU27" s="101"/>
      <c r="DV27" s="101"/>
      <c r="DW27" s="101"/>
      <c r="DX27" s="101"/>
      <c r="DY27" s="101"/>
      <c r="DZ27" s="101"/>
      <c r="EA27" s="101"/>
      <c r="EB27" s="101"/>
      <c r="EC27" s="101"/>
      <c r="ED27" s="101"/>
      <c r="EE27" s="101"/>
      <c r="EF27" s="101"/>
      <c r="EG27" s="101"/>
      <c r="EH27" s="101"/>
      <c r="EI27" s="101"/>
      <c r="EJ27" s="101"/>
      <c r="EK27" s="101"/>
      <c r="EL27" s="101"/>
      <c r="EM27" s="101"/>
      <c r="EN27" s="101"/>
      <c r="EO27" s="101"/>
      <c r="EP27" s="101"/>
      <c r="EQ27" s="101"/>
      <c r="ER27" s="101"/>
      <c r="ES27" s="101"/>
      <c r="ET27" s="101"/>
      <c r="EU27" s="101"/>
      <c r="EV27" s="101"/>
      <c r="EW27" s="101"/>
      <c r="EX27" s="101"/>
      <c r="EY27" s="101"/>
      <c r="EZ27" s="101"/>
      <c r="FA27" s="101"/>
      <c r="FB27" s="101"/>
      <c r="FC27" s="101"/>
      <c r="FD27" s="101"/>
      <c r="FE27" s="101"/>
      <c r="FF27" s="101"/>
      <c r="FG27" s="101"/>
      <c r="FH27" s="101"/>
      <c r="FI27" s="101"/>
      <c r="FJ27" s="101"/>
      <c r="FK27" s="101"/>
      <c r="FL27" s="101"/>
      <c r="FM27" s="101"/>
      <c r="FN27" s="101"/>
      <c r="FO27" s="101"/>
      <c r="FP27" s="101"/>
      <c r="FQ27" s="101"/>
      <c r="FR27" s="101"/>
      <c r="FS27" s="101"/>
      <c r="FT27" s="101"/>
      <c r="FU27" s="101"/>
      <c r="FV27" s="101"/>
      <c r="FW27" s="101"/>
      <c r="FX27" s="101"/>
      <c r="FY27" s="101"/>
      <c r="FZ27" s="101"/>
      <c r="GA27" s="101"/>
      <c r="GB27" s="101"/>
      <c r="GC27" s="101"/>
      <c r="GD27" s="101"/>
      <c r="GE27" s="101"/>
      <c r="GF27" s="101"/>
      <c r="GG27" s="101"/>
      <c r="GH27" s="101"/>
      <c r="GI27" s="101"/>
      <c r="GJ27" s="101"/>
      <c r="GK27" s="101"/>
      <c r="GL27" s="101"/>
      <c r="GM27" s="101"/>
      <c r="GN27" s="101"/>
      <c r="GO27" s="101"/>
      <c r="GP27" s="101"/>
      <c r="GQ27" s="101"/>
      <c r="GR27" s="101"/>
      <c r="GS27" s="101"/>
      <c r="GT27" s="101"/>
      <c r="GU27" s="101"/>
      <c r="GV27" s="101"/>
      <c r="GW27" s="101"/>
      <c r="GX27" s="101"/>
      <c r="GY27" s="101"/>
      <c r="GZ27" s="101"/>
      <c r="HA27" s="101"/>
      <c r="HB27" s="101"/>
      <c r="HC27" s="101"/>
      <c r="HD27" s="101"/>
      <c r="HE27" s="101"/>
      <c r="HF27" s="101"/>
      <c r="HG27" s="101"/>
      <c r="HH27" s="101"/>
      <c r="HI27" s="101"/>
      <c r="HJ27" s="101"/>
      <c r="HK27" s="101"/>
      <c r="HL27" s="101"/>
      <c r="HM27" s="101"/>
      <c r="HN27" s="101"/>
      <c r="HO27" s="101"/>
      <c r="HP27" s="101"/>
      <c r="HQ27" s="101"/>
      <c r="HR27" s="101"/>
      <c r="HS27" s="101"/>
      <c r="HT27" s="101"/>
      <c r="HU27" s="101"/>
      <c r="HV27" s="101"/>
      <c r="HW27" s="101"/>
      <c r="HX27" s="101"/>
      <c r="HY27" s="101"/>
      <c r="HZ27" s="101"/>
      <c r="IA27" s="101"/>
      <c r="IB27" s="101"/>
      <c r="IC27" s="101"/>
      <c r="ID27" s="101"/>
      <c r="IE27" s="101"/>
      <c r="IF27" s="101"/>
      <c r="IG27" s="101"/>
      <c r="IH27" s="101"/>
      <c r="II27" s="101"/>
      <c r="IJ27" s="101"/>
      <c r="IK27" s="101"/>
      <c r="IL27" s="101"/>
      <c r="IM27" s="101"/>
      <c r="IN27" s="101"/>
      <c r="IO27" s="101"/>
      <c r="IP27" s="101"/>
      <c r="IQ27" s="101"/>
      <c r="IR27" s="101"/>
      <c r="IS27" s="101"/>
      <c r="IT27" s="101"/>
      <c r="IU27" s="101"/>
      <c r="IV27" s="101"/>
      <c r="IW27" s="101"/>
      <c r="IX27" s="101"/>
      <c r="IY27" s="101"/>
      <c r="IZ27" s="101"/>
      <c r="JA27" s="101"/>
      <c r="JB27" s="101"/>
      <c r="JC27" s="101"/>
      <c r="JD27" s="101"/>
      <c r="JE27" s="101"/>
      <c r="JF27" s="101"/>
      <c r="JG27" s="101"/>
      <c r="JH27" s="101"/>
      <c r="JI27" s="101"/>
      <c r="JJ27" s="101"/>
      <c r="JK27" s="101"/>
      <c r="JL27" s="101"/>
      <c r="JM27" s="101"/>
      <c r="JN27" s="101"/>
      <c r="JO27" s="101"/>
      <c r="JP27" s="101"/>
      <c r="JQ27" s="101"/>
      <c r="JR27" s="101"/>
      <c r="JS27" s="101"/>
      <c r="JT27" s="101"/>
      <c r="JU27" s="101"/>
      <c r="JV27" s="101"/>
      <c r="JW27" s="101"/>
      <c r="JX27" s="101"/>
      <c r="JY27" s="101"/>
      <c r="JZ27" s="101"/>
      <c r="KA27" s="101"/>
      <c r="KB27" s="101"/>
      <c r="KC27" s="101"/>
      <c r="KD27" s="101"/>
      <c r="KE27" s="101"/>
      <c r="KF27" s="101"/>
      <c r="KG27" s="101"/>
      <c r="KH27" s="101"/>
      <c r="KI27" s="101"/>
      <c r="KJ27" s="101"/>
      <c r="KK27" s="101"/>
      <c r="KL27" s="101"/>
      <c r="KM27" s="101"/>
      <c r="KN27" s="101"/>
      <c r="KO27" s="101"/>
      <c r="KP27" s="101"/>
      <c r="KQ27" s="101"/>
      <c r="KR27" s="101"/>
      <c r="KS27" s="101"/>
      <c r="KT27" s="101"/>
      <c r="KU27" s="101"/>
      <c r="KV27" s="101"/>
      <c r="KW27" s="101"/>
      <c r="KX27" s="101"/>
      <c r="KY27" s="101"/>
      <c r="KZ27" s="101"/>
      <c r="LA27" s="101"/>
      <c r="LB27" s="101"/>
      <c r="LC27" s="101"/>
      <c r="LD27" s="101"/>
      <c r="LE27" s="101"/>
      <c r="LF27" s="101"/>
      <c r="LG27" s="101"/>
      <c r="LH27" s="101"/>
      <c r="LI27" s="101"/>
      <c r="LJ27" s="101"/>
      <c r="LK27" s="101"/>
      <c r="LL27" s="101"/>
      <c r="LM27" s="101"/>
      <c r="LN27" s="101"/>
      <c r="LO27" s="101"/>
      <c r="LP27" s="101"/>
      <c r="LQ27" s="101"/>
      <c r="LR27" s="101"/>
      <c r="LS27" s="101"/>
      <c r="LT27" s="101"/>
      <c r="LU27" s="101"/>
      <c r="LV27" s="101"/>
      <c r="LW27" s="101"/>
      <c r="LX27" s="101"/>
      <c r="LY27" s="101"/>
      <c r="LZ27" s="101"/>
      <c r="MA27" s="101"/>
      <c r="MB27" s="101"/>
      <c r="MC27" s="101"/>
      <c r="MD27" s="101"/>
      <c r="ME27" s="101"/>
      <c r="MF27" s="101"/>
      <c r="MG27" s="101"/>
      <c r="MH27" s="101"/>
      <c r="MI27" s="101"/>
      <c r="MJ27" s="101"/>
      <c r="MK27" s="101"/>
      <c r="ML27" s="101"/>
      <c r="MM27" s="101"/>
      <c r="MN27" s="101"/>
      <c r="MO27" s="101"/>
      <c r="MP27" s="101"/>
      <c r="MQ27" s="101"/>
      <c r="MR27" s="101"/>
      <c r="MS27" s="101"/>
      <c r="MT27" s="101"/>
      <c r="MU27" s="101"/>
      <c r="MV27" s="101"/>
      <c r="MW27" s="101"/>
      <c r="MX27" s="101"/>
      <c r="MY27" s="101"/>
      <c r="MZ27" s="101"/>
      <c r="NA27" s="101"/>
      <c r="NB27" s="101"/>
      <c r="NC27" s="101"/>
      <c r="ND27" s="101"/>
      <c r="NE27" s="101"/>
      <c r="NF27" s="101"/>
      <c r="NG27" s="101"/>
      <c r="NH27" s="101"/>
      <c r="NI27" s="101"/>
      <c r="NJ27" s="101"/>
      <c r="NK27" s="101"/>
      <c r="NL27" s="101"/>
      <c r="NM27" s="101"/>
      <c r="NN27" s="101"/>
      <c r="NO27" s="101"/>
      <c r="NP27" s="101"/>
      <c r="NQ27" s="101"/>
      <c r="NR27" s="101"/>
      <c r="NS27" s="101"/>
      <c r="NT27" s="101"/>
      <c r="NU27" s="101"/>
      <c r="NV27" s="101"/>
      <c r="NW27" s="101"/>
      <c r="NX27" s="101"/>
      <c r="NY27" s="101"/>
      <c r="NZ27" s="101"/>
      <c r="OA27" s="101"/>
      <c r="OB27" s="101"/>
      <c r="OC27" s="101"/>
      <c r="OD27" s="101"/>
      <c r="OE27" s="101"/>
      <c r="OF27" s="101"/>
      <c r="OG27" s="101"/>
      <c r="OH27" s="101"/>
      <c r="OI27" s="101"/>
      <c r="OJ27" s="101"/>
      <c r="OK27" s="101"/>
      <c r="OL27" s="101"/>
      <c r="OM27" s="101"/>
      <c r="ON27" s="101"/>
      <c r="OO27" s="101"/>
      <c r="OP27" s="101"/>
      <c r="OQ27" s="101"/>
      <c r="OR27" s="101"/>
      <c r="OS27" s="101"/>
      <c r="OT27" s="101"/>
      <c r="OU27" s="101"/>
      <c r="OV27" s="101"/>
      <c r="OW27" s="101"/>
      <c r="OX27" s="101"/>
      <c r="OY27" s="101"/>
      <c r="OZ27" s="101"/>
      <c r="PA27" s="101"/>
      <c r="PB27" s="101"/>
      <c r="PC27" s="101"/>
      <c r="PD27" s="101"/>
      <c r="PE27" s="101"/>
      <c r="PF27" s="101"/>
      <c r="PG27" s="101"/>
      <c r="PH27" s="101"/>
      <c r="PI27" s="101"/>
      <c r="PJ27" s="101"/>
      <c r="PK27" s="101"/>
      <c r="PL27" s="101"/>
      <c r="PM27" s="101"/>
      <c r="PN27" s="101"/>
      <c r="PO27" s="101"/>
      <c r="PP27" s="101"/>
      <c r="PQ27" s="101"/>
      <c r="PR27" s="101"/>
      <c r="PS27" s="101"/>
      <c r="PT27" s="101"/>
      <c r="PU27" s="101"/>
      <c r="PV27" s="101"/>
      <c r="PW27" s="101"/>
      <c r="PX27" s="101"/>
      <c r="PY27" s="101"/>
      <c r="PZ27" s="101"/>
      <c r="QA27" s="101"/>
      <c r="QB27" s="101"/>
      <c r="QC27" s="101"/>
      <c r="QD27" s="101"/>
      <c r="QE27" s="101"/>
      <c r="QF27" s="101"/>
      <c r="QG27" s="101"/>
      <c r="QH27" s="101"/>
      <c r="QI27" s="101"/>
      <c r="QJ27" s="101"/>
      <c r="QK27" s="101"/>
      <c r="QL27" s="101"/>
      <c r="QM27" s="101"/>
      <c r="QN27" s="101"/>
      <c r="QO27" s="101"/>
      <c r="QP27" s="101"/>
      <c r="QQ27" s="101"/>
      <c r="QR27" s="101"/>
      <c r="QS27" s="101"/>
      <c r="QT27" s="101"/>
      <c r="QU27" s="101"/>
      <c r="QV27" s="101"/>
      <c r="QW27" s="101"/>
      <c r="QX27" s="101"/>
      <c r="QY27" s="101"/>
      <c r="QZ27" s="101"/>
      <c r="RA27" s="101"/>
      <c r="RB27" s="101"/>
      <c r="RC27" s="101"/>
      <c r="RD27" s="101"/>
      <c r="RE27" s="101"/>
      <c r="RF27" s="101"/>
      <c r="RG27" s="101"/>
      <c r="RH27" s="101"/>
      <c r="RI27" s="101"/>
      <c r="RJ27" s="101"/>
      <c r="RK27" s="101"/>
      <c r="RL27" s="101"/>
      <c r="RM27" s="101"/>
      <c r="RN27" s="101"/>
      <c r="RO27" s="101"/>
      <c r="RP27" s="101"/>
      <c r="RQ27" s="101"/>
      <c r="RR27" s="101"/>
      <c r="RS27" s="101"/>
      <c r="RT27" s="101"/>
      <c r="RU27" s="101"/>
      <c r="RV27" s="101"/>
      <c r="RW27" s="101"/>
      <c r="RX27" s="101"/>
      <c r="RY27" s="101"/>
      <c r="RZ27" s="101"/>
      <c r="SA27" s="101"/>
      <c r="SB27" s="101"/>
      <c r="SC27" s="101"/>
      <c r="SD27" s="101"/>
      <c r="SE27" s="101"/>
      <c r="SF27" s="101"/>
      <c r="SG27" s="101"/>
      <c r="SH27" s="101"/>
      <c r="SI27" s="101"/>
      <c r="SJ27" s="101"/>
      <c r="SK27" s="101"/>
      <c r="SL27" s="101"/>
      <c r="SM27" s="101"/>
      <c r="SN27" s="101"/>
      <c r="SO27" s="101"/>
      <c r="SP27" s="101"/>
      <c r="SQ27" s="101"/>
      <c r="SR27" s="101"/>
      <c r="SS27" s="101"/>
      <c r="ST27" s="101"/>
      <c r="SU27" s="101"/>
      <c r="SV27" s="101"/>
      <c r="SW27" s="101"/>
      <c r="SX27" s="101"/>
      <c r="SY27" s="101"/>
      <c r="SZ27" s="101"/>
      <c r="TA27" s="101"/>
      <c r="TB27" s="101"/>
      <c r="TC27" s="101"/>
      <c r="TD27" s="101"/>
      <c r="TE27" s="101"/>
      <c r="TF27" s="101"/>
      <c r="TG27" s="101"/>
      <c r="TH27" s="101"/>
      <c r="TI27" s="101"/>
      <c r="TJ27" s="101"/>
      <c r="TK27" s="101"/>
      <c r="TL27" s="101"/>
      <c r="TM27" s="101"/>
      <c r="TN27" s="101"/>
      <c r="TO27" s="101"/>
      <c r="TP27" s="101"/>
      <c r="TQ27" s="101"/>
      <c r="TR27" s="101"/>
      <c r="TS27" s="101"/>
      <c r="TT27" s="101"/>
      <c r="TU27" s="101"/>
      <c r="TV27" s="101"/>
      <c r="TW27" s="101"/>
      <c r="TX27" s="101"/>
      <c r="TY27" s="101"/>
      <c r="TZ27" s="101"/>
      <c r="UA27" s="101"/>
      <c r="UB27" s="101"/>
      <c r="UC27" s="101"/>
      <c r="UD27" s="101"/>
      <c r="UE27" s="101"/>
      <c r="UF27" s="101"/>
      <c r="UG27" s="101"/>
      <c r="UH27" s="101"/>
      <c r="UI27" s="101"/>
      <c r="UJ27" s="101"/>
      <c r="UK27" s="101"/>
      <c r="UL27" s="101"/>
      <c r="UM27" s="101"/>
      <c r="UN27" s="101"/>
      <c r="UO27" s="101"/>
      <c r="UP27" s="101"/>
      <c r="UQ27" s="101"/>
      <c r="UR27" s="101"/>
      <c r="US27" s="101"/>
      <c r="UT27" s="101"/>
      <c r="UU27" s="101"/>
      <c r="UV27" s="101"/>
      <c r="UW27" s="101"/>
      <c r="UX27" s="101"/>
      <c r="UY27" s="101"/>
      <c r="UZ27" s="101"/>
      <c r="VA27" s="101"/>
      <c r="VB27" s="101"/>
      <c r="VC27" s="101"/>
      <c r="VD27" s="101"/>
      <c r="VE27" s="101"/>
      <c r="VF27" s="101"/>
      <c r="VG27" s="101"/>
      <c r="VH27" s="101"/>
      <c r="VI27" s="101"/>
      <c r="VJ27" s="101"/>
      <c r="VK27" s="101"/>
      <c r="VL27" s="101"/>
      <c r="VM27" s="101"/>
      <c r="VN27" s="101"/>
      <c r="VO27" s="101"/>
      <c r="VP27" s="101"/>
      <c r="VQ27" s="101"/>
      <c r="VR27" s="101"/>
      <c r="VS27" s="101"/>
      <c r="VT27" s="101"/>
      <c r="VU27" s="101"/>
      <c r="VV27" s="101"/>
      <c r="VW27" s="101"/>
      <c r="VX27" s="101"/>
      <c r="VY27" s="101"/>
      <c r="VZ27" s="101"/>
      <c r="WA27" s="101"/>
      <c r="WB27" s="101"/>
      <c r="WC27" s="101"/>
      <c r="WD27" s="101"/>
      <c r="WE27" s="101"/>
      <c r="WF27" s="101"/>
      <c r="WG27" s="101"/>
      <c r="WH27" s="101"/>
      <c r="WI27" s="101"/>
      <c r="WJ27" s="101"/>
      <c r="WK27" s="101"/>
      <c r="WL27" s="101"/>
      <c r="WM27" s="101"/>
      <c r="WN27" s="101"/>
      <c r="WO27" s="101"/>
      <c r="WP27" s="101"/>
      <c r="WQ27" s="101"/>
      <c r="WR27" s="101"/>
      <c r="WS27" s="101"/>
      <c r="WT27" s="101"/>
      <c r="WU27" s="101"/>
      <c r="WV27" s="101"/>
      <c r="WW27" s="101"/>
      <c r="WX27" s="101"/>
      <c r="WY27" s="101"/>
      <c r="WZ27" s="101"/>
      <c r="XA27" s="101"/>
      <c r="XB27" s="101"/>
      <c r="XC27" s="101"/>
      <c r="XD27" s="101"/>
      <c r="XE27" s="101"/>
      <c r="XF27" s="101"/>
      <c r="XG27" s="101"/>
      <c r="XH27" s="101"/>
      <c r="XI27" s="101"/>
      <c r="XJ27" s="101"/>
      <c r="XK27" s="101"/>
      <c r="XL27" s="101"/>
      <c r="XM27" s="101"/>
      <c r="XN27" s="101"/>
      <c r="XO27" s="101"/>
      <c r="XP27" s="101"/>
      <c r="XQ27" s="101"/>
      <c r="XR27" s="101"/>
      <c r="XS27" s="101"/>
      <c r="XT27" s="101"/>
      <c r="XU27" s="101"/>
      <c r="XV27" s="101"/>
      <c r="XW27" s="101"/>
      <c r="XX27" s="101"/>
      <c r="XY27" s="101"/>
      <c r="XZ27" s="101"/>
      <c r="YA27" s="101"/>
      <c r="YB27" s="101"/>
      <c r="YC27" s="101"/>
      <c r="YD27" s="101"/>
      <c r="YE27" s="101"/>
      <c r="YF27" s="101"/>
      <c r="YG27" s="101"/>
      <c r="YH27" s="101"/>
      <c r="YI27" s="101"/>
      <c r="YJ27" s="101"/>
      <c r="YK27" s="101"/>
      <c r="YL27" s="101"/>
      <c r="YM27" s="101"/>
      <c r="YN27" s="101"/>
      <c r="YO27" s="101"/>
      <c r="YP27" s="101"/>
      <c r="YQ27" s="101"/>
      <c r="YR27" s="101"/>
      <c r="YS27" s="101"/>
      <c r="YT27" s="101"/>
      <c r="YU27" s="101"/>
      <c r="YV27" s="101"/>
      <c r="YW27" s="101"/>
      <c r="YX27" s="101"/>
      <c r="YY27" s="101"/>
      <c r="YZ27" s="101"/>
      <c r="ZA27" s="101"/>
      <c r="ZB27" s="101"/>
      <c r="ZC27" s="101"/>
      <c r="ZD27" s="101"/>
      <c r="ZE27" s="101"/>
      <c r="ZF27" s="101"/>
      <c r="ZG27" s="101"/>
      <c r="ZH27" s="101"/>
      <c r="ZI27" s="101"/>
      <c r="ZJ27" s="101"/>
      <c r="ZK27" s="101"/>
      <c r="ZL27" s="101"/>
      <c r="ZM27" s="101"/>
      <c r="ZN27" s="101"/>
      <c r="ZO27" s="101"/>
      <c r="ZP27" s="101"/>
      <c r="ZQ27" s="101"/>
      <c r="ZR27" s="101"/>
      <c r="ZS27" s="101"/>
      <c r="ZT27" s="101"/>
      <c r="ZU27" s="101"/>
      <c r="ZV27" s="101"/>
      <c r="ZW27" s="101"/>
      <c r="ZX27" s="101"/>
      <c r="ZY27" s="101"/>
      <c r="ZZ27" s="101"/>
      <c r="AAA27" s="101"/>
      <c r="AAB27" s="101"/>
      <c r="AAC27" s="101"/>
      <c r="AAD27" s="101"/>
      <c r="AAE27" s="101"/>
      <c r="AAF27" s="101"/>
      <c r="AAG27" s="101"/>
      <c r="AAH27" s="101"/>
      <c r="AAI27" s="101"/>
      <c r="AAJ27" s="101"/>
      <c r="AAK27" s="101"/>
      <c r="AAL27" s="101"/>
      <c r="AAM27" s="101"/>
      <c r="AAN27" s="101"/>
      <c r="AAO27" s="101"/>
      <c r="AAP27" s="101"/>
      <c r="AAQ27" s="101"/>
      <c r="AAR27" s="101"/>
      <c r="AAS27" s="101"/>
      <c r="AAT27" s="101"/>
      <c r="AAU27" s="101"/>
      <c r="AAV27" s="101"/>
      <c r="AAW27" s="101"/>
      <c r="AAX27" s="101"/>
      <c r="AAY27" s="101"/>
      <c r="AAZ27" s="101"/>
      <c r="ABA27" s="101"/>
      <c r="ABB27" s="101"/>
      <c r="ABC27" s="101"/>
      <c r="ABD27" s="101"/>
      <c r="ABE27" s="101"/>
      <c r="ABF27" s="101"/>
      <c r="ABG27" s="101"/>
      <c r="ABH27" s="101"/>
      <c r="ABI27" s="101"/>
      <c r="ABJ27" s="101"/>
      <c r="ABK27" s="101"/>
      <c r="ABL27" s="101"/>
      <c r="ABM27" s="101"/>
      <c r="ABN27" s="101"/>
      <c r="ABO27" s="101"/>
      <c r="ABP27" s="101"/>
      <c r="ABQ27" s="101"/>
      <c r="ABR27" s="101"/>
      <c r="ABS27" s="101"/>
      <c r="ABT27" s="101"/>
      <c r="ABU27" s="101"/>
      <c r="ABV27" s="101"/>
      <c r="ABW27" s="101"/>
      <c r="ABX27" s="101"/>
      <c r="ABY27" s="101"/>
      <c r="ABZ27" s="101"/>
      <c r="ACA27" s="101"/>
      <c r="ACB27" s="101"/>
      <c r="ACC27" s="101"/>
      <c r="ACD27" s="101"/>
      <c r="ACE27" s="101"/>
      <c r="ACF27" s="101"/>
      <c r="ACG27" s="101"/>
      <c r="ACH27" s="101"/>
      <c r="ACI27" s="101"/>
      <c r="ACJ27" s="101"/>
      <c r="ACK27" s="101"/>
      <c r="ACL27" s="101"/>
      <c r="ACM27" s="101"/>
      <c r="ACN27" s="101"/>
      <c r="ACO27" s="101"/>
      <c r="ACP27" s="101"/>
      <c r="ACQ27" s="101"/>
      <c r="ACR27" s="101"/>
      <c r="ACS27" s="101"/>
      <c r="ACT27" s="101"/>
      <c r="ACU27" s="101"/>
      <c r="ACV27" s="101"/>
      <c r="ACW27" s="101"/>
      <c r="ACX27" s="101"/>
      <c r="ACY27" s="101"/>
      <c r="ACZ27" s="101"/>
      <c r="ADA27" s="101"/>
      <c r="ADB27" s="101"/>
      <c r="ADC27" s="101"/>
      <c r="ADD27" s="101"/>
      <c r="ADE27" s="101"/>
      <c r="ADF27" s="101"/>
      <c r="ADG27" s="101"/>
      <c r="ADH27" s="101"/>
      <c r="ADI27" s="101"/>
      <c r="ADJ27" s="101"/>
      <c r="ADK27" s="101"/>
      <c r="ADL27" s="101"/>
      <c r="ADM27" s="101"/>
      <c r="ADN27" s="101"/>
      <c r="ADO27" s="101"/>
      <c r="ADP27" s="101"/>
      <c r="ADQ27" s="101"/>
      <c r="ADR27" s="101"/>
      <c r="ADS27" s="101"/>
      <c r="ADT27" s="101"/>
      <c r="ADU27" s="101"/>
      <c r="ADV27" s="101"/>
      <c r="ADW27" s="101"/>
      <c r="ADX27" s="101"/>
      <c r="ADY27" s="101"/>
      <c r="ADZ27" s="101"/>
      <c r="AEA27" s="101"/>
      <c r="AEB27" s="101"/>
      <c r="AEC27" s="101"/>
      <c r="AED27" s="101"/>
      <c r="AEE27" s="101"/>
      <c r="AEF27" s="101"/>
      <c r="AEG27" s="101"/>
      <c r="AEH27" s="101"/>
      <c r="AEI27" s="101"/>
      <c r="AEJ27" s="101"/>
      <c r="AEK27" s="101"/>
      <c r="AEL27" s="101"/>
      <c r="AEM27" s="101"/>
      <c r="AEN27" s="101"/>
      <c r="AEO27" s="101"/>
      <c r="AEP27" s="101"/>
      <c r="AEQ27" s="101"/>
      <c r="AER27" s="101"/>
      <c r="AES27" s="101"/>
      <c r="AET27" s="101"/>
      <c r="AEU27" s="101"/>
      <c r="AEV27" s="101"/>
      <c r="AEW27" s="101"/>
      <c r="AEX27" s="101"/>
      <c r="AEY27" s="101"/>
      <c r="AEZ27" s="101"/>
      <c r="AFA27" s="101"/>
      <c r="AFB27" s="101"/>
      <c r="AFC27" s="101"/>
      <c r="AFD27" s="101"/>
      <c r="AFE27" s="101"/>
      <c r="AFF27" s="101"/>
      <c r="AFG27" s="101"/>
      <c r="AFH27" s="101"/>
      <c r="AFI27" s="101"/>
      <c r="AFJ27" s="101"/>
      <c r="AFK27" s="101"/>
      <c r="AFL27" s="101"/>
      <c r="AFM27" s="101"/>
      <c r="AFN27" s="101"/>
      <c r="AFO27" s="101"/>
      <c r="AFP27" s="101"/>
      <c r="AFQ27" s="101"/>
      <c r="AFR27" s="101"/>
      <c r="AFS27" s="101"/>
      <c r="AFT27" s="101"/>
      <c r="AFU27" s="101"/>
      <c r="AFV27" s="101"/>
      <c r="AFW27" s="101"/>
      <c r="AFX27" s="101"/>
      <c r="AFY27" s="101"/>
      <c r="AFZ27" s="101"/>
      <c r="AGA27" s="101"/>
      <c r="AGB27" s="101"/>
      <c r="AGC27" s="101"/>
      <c r="AGD27" s="101"/>
      <c r="AGE27" s="101"/>
      <c r="AGF27" s="101"/>
      <c r="AGG27" s="101"/>
      <c r="AGH27" s="101"/>
      <c r="AGI27" s="101"/>
      <c r="AGJ27" s="101"/>
      <c r="AGK27" s="101"/>
      <c r="AGL27" s="101"/>
      <c r="AGM27" s="101"/>
      <c r="AGN27" s="101"/>
      <c r="AGO27" s="101"/>
      <c r="AGP27" s="101"/>
      <c r="AGQ27" s="101"/>
      <c r="AGR27" s="101"/>
      <c r="AGS27" s="101"/>
      <c r="AGT27" s="101"/>
      <c r="AGU27" s="101"/>
      <c r="AGV27" s="101"/>
      <c r="AGW27" s="101"/>
      <c r="AGX27" s="101"/>
      <c r="AGY27" s="101"/>
      <c r="AGZ27" s="101"/>
      <c r="AHA27" s="101"/>
      <c r="AHB27" s="101"/>
      <c r="AHC27" s="101"/>
      <c r="AHD27" s="101"/>
      <c r="AHE27" s="101"/>
      <c r="AHF27" s="101"/>
      <c r="AHG27" s="101"/>
      <c r="AHH27" s="101"/>
      <c r="AHI27" s="101"/>
      <c r="AHJ27" s="101"/>
      <c r="AHK27" s="101"/>
      <c r="AHL27" s="101"/>
      <c r="AHM27" s="101"/>
      <c r="AHN27" s="101"/>
      <c r="AHO27" s="101"/>
      <c r="AHP27" s="101"/>
      <c r="AHQ27" s="101"/>
      <c r="AHR27" s="101"/>
      <c r="AHS27" s="101"/>
      <c r="AHT27" s="101"/>
      <c r="AHU27" s="101"/>
      <c r="AHV27" s="101"/>
      <c r="AHW27" s="101"/>
      <c r="AHX27" s="101"/>
      <c r="AHY27" s="101"/>
      <c r="AHZ27" s="101"/>
      <c r="AIA27" s="101"/>
      <c r="AIB27" s="101"/>
      <c r="AIC27" s="101"/>
      <c r="AID27" s="101"/>
      <c r="AIE27" s="101"/>
      <c r="AIF27" s="101"/>
      <c r="AIG27" s="101"/>
      <c r="AIH27" s="101"/>
      <c r="AII27" s="101"/>
      <c r="AIJ27" s="101"/>
      <c r="AIK27" s="101"/>
      <c r="AIL27" s="101"/>
      <c r="AIM27" s="101"/>
      <c r="AIN27" s="101"/>
      <c r="AIO27" s="101"/>
      <c r="AIP27" s="101"/>
      <c r="AIQ27" s="101"/>
      <c r="AIR27" s="101"/>
      <c r="AIS27" s="101"/>
      <c r="AIT27" s="101"/>
      <c r="AIU27" s="101"/>
      <c r="AIV27" s="101"/>
      <c r="AIW27" s="101"/>
      <c r="AIX27" s="101"/>
      <c r="AIY27" s="101"/>
      <c r="AIZ27" s="101"/>
      <c r="AJA27" s="101"/>
      <c r="AJB27" s="101"/>
      <c r="AJC27" s="101"/>
      <c r="AJD27" s="101"/>
      <c r="AJE27" s="101"/>
      <c r="AJF27" s="101"/>
      <c r="AJG27" s="101"/>
      <c r="AJH27" s="101"/>
      <c r="AJI27" s="101"/>
      <c r="AJJ27" s="101"/>
      <c r="AJK27" s="101"/>
      <c r="AJL27" s="101"/>
      <c r="AJM27" s="101"/>
      <c r="AJN27" s="101"/>
      <c r="AJO27" s="101"/>
      <c r="AJP27" s="101"/>
      <c r="AJQ27" s="101"/>
      <c r="AJR27" s="101"/>
      <c r="AJS27" s="101"/>
      <c r="AJT27" s="101"/>
      <c r="AJU27" s="101"/>
      <c r="AJV27" s="101"/>
      <c r="AJW27" s="101"/>
      <c r="AJX27" s="101"/>
      <c r="AJY27" s="101"/>
      <c r="AJZ27" s="101"/>
      <c r="AKA27" s="101"/>
      <c r="AKB27" s="101"/>
      <c r="AKC27" s="101"/>
      <c r="AKD27" s="101"/>
      <c r="AKE27" s="101"/>
      <c r="AKF27" s="101"/>
      <c r="AKG27" s="101"/>
      <c r="AKH27" s="101"/>
      <c r="AKI27" s="101"/>
      <c r="AKJ27" s="101"/>
      <c r="AKK27" s="101"/>
      <c r="AKL27" s="101"/>
      <c r="AKM27" s="101"/>
      <c r="AKN27" s="101"/>
      <c r="AKO27" s="101"/>
      <c r="AKP27" s="101"/>
      <c r="AKQ27" s="101"/>
      <c r="AKR27" s="101"/>
      <c r="AKS27" s="101"/>
      <c r="AKT27" s="101"/>
      <c r="AKU27" s="101"/>
      <c r="AKV27" s="101"/>
      <c r="AKW27" s="101"/>
      <c r="AKX27" s="101"/>
      <c r="AKY27" s="101"/>
      <c r="AKZ27" s="101"/>
      <c r="ALA27" s="101"/>
      <c r="ALB27" s="101"/>
      <c r="ALC27" s="101"/>
      <c r="ALD27" s="101"/>
      <c r="ALE27" s="101"/>
      <c r="ALF27" s="101"/>
      <c r="ALG27" s="101"/>
      <c r="ALH27" s="101"/>
      <c r="ALI27" s="101"/>
      <c r="ALJ27" s="101"/>
      <c r="ALK27" s="101"/>
      <c r="ALL27" s="101"/>
      <c r="ALM27" s="101"/>
      <c r="ALN27" s="101"/>
      <c r="ALO27" s="101"/>
      <c r="ALP27" s="101"/>
      <c r="ALQ27" s="101"/>
      <c r="ALR27" s="101"/>
      <c r="ALS27" s="101"/>
      <c r="ALT27" s="101"/>
      <c r="ALU27" s="101"/>
      <c r="ALV27" s="101"/>
      <c r="ALW27" s="101"/>
      <c r="ALX27" s="101"/>
      <c r="ALY27" s="101"/>
      <c r="ALZ27" s="101"/>
      <c r="AMA27" s="101"/>
      <c r="AMB27" s="101"/>
      <c r="AMC27" s="101"/>
      <c r="AMD27" s="101"/>
      <c r="AME27" s="101"/>
      <c r="AMF27" s="101"/>
      <c r="AMG27" s="101"/>
      <c r="AMH27" s="101"/>
      <c r="AMI27" s="101"/>
      <c r="AMJ27" s="101"/>
      <c r="AMK27" s="101"/>
      <c r="AML27" s="101"/>
      <c r="AMM27" s="101"/>
      <c r="AMN27" s="101"/>
      <c r="AMO27" s="101"/>
      <c r="AMP27" s="101"/>
      <c r="AMQ27" s="101"/>
      <c r="AMR27" s="101"/>
      <c r="AMS27" s="101"/>
      <c r="AMT27" s="101"/>
      <c r="AMU27" s="101"/>
      <c r="AMV27" s="101"/>
      <c r="AMW27" s="101"/>
      <c r="AMX27" s="101"/>
      <c r="AMY27" s="101"/>
      <c r="AMZ27" s="101"/>
      <c r="ANA27" s="101"/>
      <c r="ANB27" s="101"/>
      <c r="ANC27" s="101"/>
      <c r="AND27" s="101"/>
      <c r="ANE27" s="101"/>
      <c r="ANF27" s="101"/>
      <c r="ANG27" s="101"/>
      <c r="ANH27" s="101"/>
      <c r="ANI27" s="101"/>
      <c r="ANJ27" s="101"/>
      <c r="ANK27" s="101"/>
      <c r="ANL27" s="101"/>
      <c r="ANM27" s="101"/>
      <c r="ANN27" s="101"/>
      <c r="ANO27" s="101"/>
      <c r="ANP27" s="101"/>
      <c r="ANQ27" s="101"/>
      <c r="ANR27" s="101"/>
      <c r="ANS27" s="101"/>
      <c r="ANT27" s="101"/>
      <c r="ANU27" s="101"/>
      <c r="ANV27" s="101"/>
      <c r="ANW27" s="101"/>
      <c r="ANX27" s="101"/>
      <c r="ANY27" s="101"/>
      <c r="ANZ27" s="101"/>
      <c r="AOA27" s="101"/>
      <c r="AOB27" s="101"/>
      <c r="AOC27" s="101"/>
      <c r="AOD27" s="101"/>
      <c r="AOE27" s="101"/>
      <c r="AOF27" s="101"/>
      <c r="AOG27" s="101"/>
      <c r="AOH27" s="101"/>
      <c r="AOI27" s="101"/>
      <c r="AOJ27" s="101"/>
      <c r="AOK27" s="101"/>
      <c r="AOL27" s="101"/>
      <c r="AOM27" s="101"/>
      <c r="AON27" s="101"/>
      <c r="AOO27" s="101"/>
      <c r="AOP27" s="101"/>
      <c r="AOQ27" s="101"/>
      <c r="AOR27" s="101"/>
      <c r="AOS27" s="101"/>
      <c r="AOT27" s="101"/>
      <c r="AOU27" s="101"/>
      <c r="AOV27" s="101"/>
      <c r="AOW27" s="101"/>
      <c r="AOX27" s="101"/>
      <c r="AOY27" s="101"/>
      <c r="AOZ27" s="101"/>
      <c r="APA27" s="101"/>
      <c r="APB27" s="101"/>
      <c r="APC27" s="101"/>
      <c r="APD27" s="101"/>
      <c r="APE27" s="101"/>
      <c r="APF27" s="101"/>
      <c r="APG27" s="101"/>
      <c r="APH27" s="101"/>
      <c r="API27" s="101"/>
      <c r="APJ27" s="101"/>
      <c r="APK27" s="101"/>
      <c r="APL27" s="101"/>
      <c r="APM27" s="101"/>
      <c r="APN27" s="101"/>
      <c r="APO27" s="101"/>
      <c r="APP27" s="101"/>
      <c r="APQ27" s="101"/>
      <c r="APR27" s="101"/>
      <c r="APS27" s="101"/>
      <c r="APT27" s="101"/>
      <c r="APU27" s="101"/>
      <c r="APV27" s="101"/>
      <c r="APW27" s="101"/>
      <c r="APX27" s="101"/>
      <c r="APY27" s="101"/>
      <c r="APZ27" s="101"/>
      <c r="AQA27" s="101"/>
      <c r="AQB27" s="101"/>
      <c r="AQC27" s="101"/>
      <c r="AQD27" s="101"/>
      <c r="AQE27" s="101"/>
      <c r="AQF27" s="101"/>
      <c r="AQG27" s="101"/>
      <c r="AQH27" s="101"/>
      <c r="AQI27" s="101"/>
      <c r="AQJ27" s="101"/>
      <c r="AQK27" s="101"/>
      <c r="AQL27" s="101"/>
      <c r="AQM27" s="101"/>
      <c r="AQN27" s="101"/>
      <c r="AQO27" s="101"/>
      <c r="AQP27" s="101"/>
      <c r="AQQ27" s="101"/>
      <c r="AQR27" s="101"/>
      <c r="AQS27" s="101"/>
      <c r="AQT27" s="101"/>
      <c r="AQU27" s="101"/>
      <c r="AQV27" s="101"/>
      <c r="AQW27" s="101"/>
      <c r="AQX27" s="101"/>
      <c r="AQY27" s="101"/>
      <c r="AQZ27" s="101"/>
      <c r="ARA27" s="101"/>
      <c r="ARB27" s="101"/>
      <c r="ARC27" s="101"/>
      <c r="ARD27" s="101"/>
      <c r="ARE27" s="101"/>
      <c r="ARF27" s="101"/>
      <c r="ARG27" s="101"/>
      <c r="ARH27" s="101"/>
      <c r="ARI27" s="101"/>
      <c r="ARJ27" s="101"/>
      <c r="ARK27" s="101"/>
      <c r="ARL27" s="101"/>
      <c r="ARM27" s="101"/>
      <c r="ARN27" s="101"/>
      <c r="ARO27" s="101"/>
      <c r="ARP27" s="101"/>
      <c r="ARQ27" s="101"/>
      <c r="ARR27" s="101"/>
      <c r="ARS27" s="101"/>
      <c r="ART27" s="101"/>
      <c r="ARU27" s="101"/>
      <c r="ARV27" s="101"/>
      <c r="ARW27" s="101"/>
      <c r="ARX27" s="101"/>
      <c r="ARY27" s="101"/>
      <c r="ARZ27" s="101"/>
      <c r="ASA27" s="101"/>
      <c r="ASB27" s="101"/>
      <c r="ASC27" s="101"/>
      <c r="ASD27" s="101"/>
      <c r="ASE27" s="101"/>
      <c r="ASF27" s="101"/>
      <c r="ASG27" s="101"/>
      <c r="ASH27" s="101"/>
      <c r="ASI27" s="101"/>
      <c r="ASJ27" s="101"/>
      <c r="ASK27" s="101"/>
      <c r="ASL27" s="101"/>
      <c r="ASM27" s="101"/>
      <c r="ASN27" s="101"/>
      <c r="ASO27" s="101"/>
      <c r="ASP27" s="101"/>
      <c r="ASQ27" s="101"/>
      <c r="ASR27" s="101"/>
      <c r="ASS27" s="101"/>
      <c r="AST27" s="101"/>
      <c r="ASU27" s="101"/>
      <c r="ASV27" s="101"/>
      <c r="ASW27" s="101"/>
      <c r="ASX27" s="101"/>
      <c r="ASY27" s="101"/>
      <c r="ASZ27" s="101"/>
      <c r="ATA27" s="101"/>
      <c r="ATB27" s="101"/>
      <c r="ATC27" s="101"/>
      <c r="ATD27" s="101"/>
      <c r="ATE27" s="101"/>
      <c r="ATF27" s="101"/>
      <c r="ATG27" s="101"/>
      <c r="ATH27" s="101"/>
      <c r="ATI27" s="101"/>
      <c r="ATJ27" s="101"/>
      <c r="ATK27" s="101"/>
      <c r="ATL27" s="101"/>
      <c r="ATM27" s="101"/>
      <c r="ATN27" s="101"/>
      <c r="ATO27" s="101"/>
      <c r="ATP27" s="101"/>
      <c r="ATQ27" s="101"/>
      <c r="ATR27" s="101"/>
      <c r="ATS27" s="101"/>
      <c r="ATT27" s="101"/>
      <c r="ATU27" s="101"/>
      <c r="ATV27" s="101"/>
      <c r="ATW27" s="101"/>
      <c r="ATX27" s="101"/>
      <c r="ATY27" s="101"/>
      <c r="ATZ27" s="101"/>
      <c r="AUA27" s="101"/>
      <c r="AUB27" s="101"/>
      <c r="AUC27" s="101"/>
      <c r="AUD27" s="101"/>
      <c r="AUE27" s="101"/>
      <c r="AUF27" s="101"/>
      <c r="AUG27" s="101"/>
      <c r="AUH27" s="101"/>
      <c r="AUI27" s="101"/>
      <c r="AUJ27" s="101"/>
      <c r="AUK27" s="101"/>
      <c r="AUL27" s="101"/>
      <c r="AUM27" s="101"/>
      <c r="AUN27" s="101"/>
      <c r="AUO27" s="101"/>
      <c r="AUP27" s="101"/>
      <c r="AUQ27" s="101"/>
      <c r="AUR27" s="101"/>
      <c r="AUS27" s="101"/>
      <c r="AUT27" s="101"/>
      <c r="AUU27" s="101"/>
      <c r="AUV27" s="101"/>
      <c r="AUW27" s="101"/>
      <c r="AUX27" s="101"/>
      <c r="AUY27" s="101"/>
      <c r="AUZ27" s="101"/>
      <c r="AVA27" s="101"/>
      <c r="AVB27" s="101"/>
      <c r="AVC27" s="101"/>
      <c r="AVD27" s="101"/>
      <c r="AVE27" s="101"/>
      <c r="AVF27" s="101"/>
      <c r="AVG27" s="101"/>
      <c r="AVH27" s="101"/>
      <c r="AVI27" s="101"/>
      <c r="AVJ27" s="101"/>
      <c r="AVK27" s="101"/>
      <c r="AVL27" s="101"/>
      <c r="AVM27" s="101"/>
      <c r="AVN27" s="101"/>
      <c r="AVO27" s="101"/>
      <c r="AVP27" s="101"/>
      <c r="AVQ27" s="101"/>
      <c r="AVR27" s="101"/>
      <c r="AVS27" s="101"/>
      <c r="AVT27" s="101"/>
      <c r="AVU27" s="101"/>
      <c r="AVV27" s="101"/>
      <c r="AVW27" s="101"/>
      <c r="AVX27" s="101"/>
      <c r="AVY27" s="101"/>
      <c r="AVZ27" s="101"/>
      <c r="AWA27" s="101"/>
      <c r="AWB27" s="101"/>
      <c r="AWC27" s="101"/>
      <c r="AWD27" s="101"/>
      <c r="AWE27" s="101"/>
      <c r="AWF27" s="101"/>
      <c r="AWG27" s="101"/>
      <c r="AWH27" s="101"/>
      <c r="AWI27" s="101"/>
      <c r="AWJ27" s="101"/>
      <c r="AWK27" s="101"/>
      <c r="AWL27" s="101"/>
      <c r="AWM27" s="101"/>
      <c r="AWN27" s="101"/>
      <c r="AWO27" s="101"/>
      <c r="AWP27" s="101"/>
      <c r="AWQ27" s="101"/>
      <c r="AWR27" s="101"/>
      <c r="AWS27" s="101"/>
      <c r="AWT27" s="101"/>
      <c r="AWU27" s="101"/>
      <c r="AWV27" s="101"/>
      <c r="AWW27" s="101"/>
      <c r="AWX27" s="101"/>
      <c r="AWY27" s="101"/>
      <c r="AWZ27" s="101"/>
      <c r="AXA27" s="101"/>
      <c r="AXB27" s="101"/>
      <c r="AXC27" s="101"/>
      <c r="AXD27" s="101"/>
      <c r="AXE27" s="101"/>
      <c r="AXF27" s="101"/>
      <c r="AXG27" s="101"/>
      <c r="AXH27" s="101"/>
      <c r="AXI27" s="101"/>
      <c r="AXJ27" s="101"/>
      <c r="AXK27" s="101"/>
      <c r="AXL27" s="101"/>
      <c r="AXM27" s="101"/>
      <c r="AXN27" s="101"/>
      <c r="AXO27" s="101"/>
      <c r="AXP27" s="101"/>
      <c r="AXQ27" s="101"/>
      <c r="AXR27" s="101"/>
      <c r="AXS27" s="101"/>
      <c r="AXT27" s="101"/>
      <c r="AXU27" s="101"/>
      <c r="AXV27" s="101"/>
      <c r="AXW27" s="101"/>
      <c r="AXX27" s="101"/>
      <c r="AXY27" s="101"/>
      <c r="AXZ27" s="101"/>
      <c r="AYA27" s="101"/>
      <c r="AYB27" s="101"/>
      <c r="AYC27" s="101"/>
      <c r="AYD27" s="101"/>
      <c r="AYE27" s="101"/>
      <c r="AYF27" s="101"/>
      <c r="AYG27" s="101"/>
      <c r="AYH27" s="101"/>
      <c r="AYI27" s="101"/>
      <c r="AYJ27" s="101"/>
      <c r="AYK27" s="101"/>
      <c r="AYL27" s="101"/>
      <c r="AYM27" s="101"/>
      <c r="AYN27" s="101"/>
      <c r="AYO27" s="101"/>
      <c r="AYP27" s="101"/>
      <c r="AYQ27" s="101"/>
      <c r="AYR27" s="101"/>
      <c r="AYS27" s="101"/>
      <c r="AYT27" s="101"/>
      <c r="AYU27" s="101"/>
      <c r="AYV27" s="101"/>
      <c r="AYW27" s="101"/>
      <c r="AYX27" s="101"/>
      <c r="AYY27" s="101"/>
      <c r="AYZ27" s="101"/>
      <c r="AZA27" s="101"/>
      <c r="AZB27" s="101"/>
      <c r="AZC27" s="101"/>
      <c r="AZD27" s="101"/>
      <c r="AZE27" s="101"/>
      <c r="AZF27" s="101"/>
      <c r="AZG27" s="101"/>
      <c r="AZH27" s="101"/>
      <c r="AZI27" s="101"/>
      <c r="AZJ27" s="101"/>
      <c r="AZK27" s="101"/>
      <c r="AZL27" s="101"/>
      <c r="AZM27" s="101"/>
      <c r="AZN27" s="101"/>
      <c r="AZO27" s="101"/>
      <c r="AZP27" s="101"/>
      <c r="AZQ27" s="101"/>
      <c r="AZR27" s="101"/>
      <c r="AZS27" s="101"/>
      <c r="AZT27" s="101"/>
      <c r="AZU27" s="101"/>
      <c r="AZV27" s="101"/>
      <c r="AZW27" s="101"/>
      <c r="AZX27" s="101"/>
      <c r="AZY27" s="101"/>
      <c r="AZZ27" s="101"/>
      <c r="BAA27" s="101"/>
      <c r="BAB27" s="101"/>
      <c r="BAC27" s="101"/>
      <c r="BAD27" s="101"/>
      <c r="BAE27" s="101"/>
      <c r="BAF27" s="101"/>
      <c r="BAG27" s="101"/>
      <c r="BAH27" s="101"/>
      <c r="BAI27" s="101"/>
      <c r="BAJ27" s="101"/>
      <c r="BAK27" s="101"/>
      <c r="BAL27" s="101"/>
      <c r="BAM27" s="101"/>
      <c r="BAN27" s="101"/>
      <c r="BAO27" s="101"/>
      <c r="BAP27" s="101"/>
      <c r="BAQ27" s="101"/>
      <c r="BAR27" s="101"/>
      <c r="BAS27" s="101"/>
      <c r="BAT27" s="101"/>
      <c r="BAU27" s="101"/>
      <c r="BAV27" s="101"/>
      <c r="BAW27" s="101"/>
      <c r="BAX27" s="101"/>
      <c r="BAY27" s="101"/>
      <c r="BAZ27" s="101"/>
      <c r="BBA27" s="101"/>
      <c r="BBB27" s="101"/>
      <c r="BBC27" s="101"/>
      <c r="BBD27" s="101"/>
      <c r="BBE27" s="101"/>
      <c r="BBF27" s="101"/>
      <c r="BBG27" s="101"/>
      <c r="BBH27" s="101"/>
      <c r="BBI27" s="101"/>
      <c r="BBJ27" s="101"/>
      <c r="BBK27" s="101"/>
      <c r="BBL27" s="101"/>
      <c r="BBM27" s="101"/>
      <c r="BBN27" s="101"/>
      <c r="BBO27" s="101"/>
      <c r="BBP27" s="101"/>
      <c r="BBQ27" s="101"/>
      <c r="BBR27" s="101"/>
      <c r="BBS27" s="101"/>
      <c r="BBT27" s="101"/>
      <c r="BBU27" s="101"/>
      <c r="BBV27" s="101"/>
      <c r="BBW27" s="101"/>
      <c r="BBX27" s="101"/>
      <c r="BBY27" s="101"/>
      <c r="BBZ27" s="101"/>
      <c r="BCA27" s="101"/>
      <c r="BCB27" s="101"/>
      <c r="BCC27" s="101"/>
      <c r="BCD27" s="101"/>
      <c r="BCE27" s="101"/>
      <c r="BCF27" s="101"/>
      <c r="BCG27" s="101"/>
      <c r="BCH27" s="101"/>
      <c r="BCI27" s="101"/>
      <c r="BCJ27" s="101"/>
      <c r="BCK27" s="101"/>
      <c r="BCL27" s="101"/>
      <c r="BCM27" s="101"/>
      <c r="BCN27" s="101"/>
      <c r="BCO27" s="101"/>
      <c r="BCP27" s="101"/>
      <c r="BCQ27" s="101"/>
      <c r="BCR27" s="101"/>
      <c r="BCS27" s="101"/>
      <c r="BCT27" s="101"/>
      <c r="BCU27" s="101"/>
      <c r="BCV27" s="101"/>
      <c r="BCW27" s="101"/>
      <c r="BCX27" s="101"/>
      <c r="BCY27" s="101"/>
      <c r="BCZ27" s="101"/>
      <c r="BDA27" s="101"/>
      <c r="BDB27" s="101"/>
      <c r="BDC27" s="101"/>
      <c r="BDD27" s="101"/>
      <c r="BDE27" s="101"/>
      <c r="BDF27" s="101"/>
      <c r="BDG27" s="101"/>
      <c r="BDH27" s="101"/>
      <c r="BDI27" s="101"/>
      <c r="BDJ27" s="101"/>
      <c r="BDK27" s="101"/>
      <c r="BDL27" s="101"/>
      <c r="BDM27" s="101"/>
      <c r="BDN27" s="101"/>
      <c r="BDO27" s="101"/>
      <c r="BDP27" s="101"/>
      <c r="BDQ27" s="101"/>
      <c r="BDR27" s="101"/>
      <c r="BDS27" s="101"/>
      <c r="BDT27" s="101"/>
      <c r="BDU27" s="101"/>
      <c r="BDV27" s="101"/>
      <c r="BDW27" s="101"/>
      <c r="BDX27" s="101"/>
      <c r="BDY27" s="101"/>
      <c r="BDZ27" s="101"/>
      <c r="BEA27" s="101"/>
      <c r="BEB27" s="101"/>
      <c r="BEC27" s="101"/>
      <c r="BED27" s="101"/>
      <c r="BEE27" s="101"/>
      <c r="BEF27" s="101"/>
      <c r="BEG27" s="101"/>
      <c r="BEH27" s="101"/>
      <c r="BEI27" s="101"/>
      <c r="BEJ27" s="101"/>
      <c r="BEK27" s="101"/>
      <c r="BEL27" s="101"/>
      <c r="BEM27" s="101"/>
      <c r="BEN27" s="101"/>
      <c r="BEO27" s="101"/>
      <c r="BEP27" s="101"/>
      <c r="BEQ27" s="101"/>
      <c r="BER27" s="101"/>
      <c r="BES27" s="101"/>
      <c r="BET27" s="101"/>
      <c r="BEU27" s="101"/>
      <c r="BEV27" s="101"/>
      <c r="BEW27" s="101"/>
      <c r="BEX27" s="101"/>
      <c r="BEY27" s="101"/>
      <c r="BEZ27" s="101"/>
      <c r="BFA27" s="101"/>
      <c r="BFB27" s="101"/>
      <c r="BFC27" s="101"/>
      <c r="BFD27" s="101"/>
      <c r="BFE27" s="101"/>
      <c r="BFF27" s="101"/>
      <c r="BFG27" s="101"/>
      <c r="BFH27" s="101"/>
      <c r="BFI27" s="101"/>
      <c r="BFJ27" s="101"/>
      <c r="BFK27" s="101"/>
      <c r="BFL27" s="101"/>
      <c r="BFM27" s="101"/>
      <c r="BFN27" s="101"/>
      <c r="BFO27" s="101"/>
      <c r="BFP27" s="101"/>
      <c r="BFQ27" s="101"/>
      <c r="BFR27" s="101"/>
      <c r="BFS27" s="101"/>
      <c r="BFT27" s="101"/>
      <c r="BFU27" s="101"/>
      <c r="BFV27" s="101"/>
      <c r="BFW27" s="101"/>
      <c r="BFX27" s="101"/>
      <c r="BFY27" s="101"/>
      <c r="BFZ27" s="101"/>
      <c r="BGA27" s="101"/>
      <c r="BGB27" s="101"/>
      <c r="BGC27" s="101"/>
      <c r="BGD27" s="101"/>
      <c r="BGE27" s="101"/>
      <c r="BGF27" s="101"/>
      <c r="BGG27" s="101"/>
      <c r="BGH27" s="101"/>
      <c r="BGI27" s="101"/>
      <c r="BGJ27" s="101"/>
      <c r="BGK27" s="101"/>
      <c r="BGL27" s="101"/>
      <c r="BGM27" s="101"/>
      <c r="BGN27" s="101"/>
      <c r="BGO27" s="101"/>
      <c r="BGP27" s="101"/>
      <c r="BGQ27" s="101"/>
      <c r="BGR27" s="101"/>
      <c r="BGS27" s="101"/>
      <c r="BGT27" s="101"/>
      <c r="BGU27" s="101"/>
      <c r="BGV27" s="101"/>
      <c r="BGW27" s="101"/>
      <c r="BGX27" s="101"/>
      <c r="BGY27" s="101"/>
      <c r="BGZ27" s="101"/>
      <c r="BHA27" s="101"/>
      <c r="BHB27" s="101"/>
      <c r="BHC27" s="101"/>
      <c r="BHD27" s="101"/>
      <c r="BHE27" s="101"/>
      <c r="BHF27" s="101"/>
      <c r="BHG27" s="101"/>
      <c r="BHH27" s="101"/>
      <c r="BHI27" s="101"/>
      <c r="BHJ27" s="101"/>
      <c r="BHK27" s="101"/>
      <c r="BHL27" s="101"/>
      <c r="BHM27" s="101"/>
      <c r="BHN27" s="101"/>
      <c r="BHO27" s="101"/>
      <c r="BHP27" s="101"/>
      <c r="BHQ27" s="101"/>
      <c r="BHR27" s="101"/>
      <c r="BHS27" s="101"/>
      <c r="BHT27" s="101"/>
      <c r="BHU27" s="101"/>
      <c r="BHV27" s="101"/>
      <c r="BHW27" s="101"/>
      <c r="BHX27" s="101"/>
      <c r="BHY27" s="101"/>
      <c r="BHZ27" s="101"/>
      <c r="BIA27" s="101"/>
      <c r="BIB27" s="101"/>
      <c r="BIC27" s="101"/>
      <c r="BID27" s="101"/>
      <c r="BIE27" s="101"/>
      <c r="BIF27" s="101"/>
      <c r="BIG27" s="101"/>
      <c r="BIH27" s="101"/>
      <c r="BII27" s="101"/>
      <c r="BIJ27" s="101"/>
      <c r="BIK27" s="101"/>
      <c r="BIL27" s="101"/>
      <c r="BIM27" s="101"/>
      <c r="BIN27" s="101"/>
      <c r="BIO27" s="101"/>
      <c r="BIP27" s="101"/>
      <c r="BIQ27" s="101"/>
      <c r="BIR27" s="101"/>
      <c r="BIS27" s="101"/>
      <c r="BIT27" s="101"/>
      <c r="BIU27" s="101"/>
      <c r="BIV27" s="101"/>
      <c r="BIW27" s="101"/>
      <c r="BIX27" s="101"/>
      <c r="BIY27" s="101"/>
      <c r="BIZ27" s="101"/>
      <c r="BJA27" s="101"/>
      <c r="BJB27" s="101"/>
      <c r="BJC27" s="101"/>
      <c r="BJD27" s="101"/>
      <c r="BJE27" s="101"/>
      <c r="BJF27" s="101"/>
      <c r="BJG27" s="101"/>
      <c r="BJH27" s="101"/>
      <c r="BJI27" s="101"/>
      <c r="BJJ27" s="101"/>
      <c r="BJK27" s="101"/>
      <c r="BJL27" s="101"/>
      <c r="BJM27" s="101"/>
      <c r="BJN27" s="101"/>
      <c r="BJO27" s="101"/>
      <c r="BJP27" s="101"/>
      <c r="BJQ27" s="101"/>
      <c r="BJR27" s="101"/>
      <c r="BJS27" s="101"/>
      <c r="BJT27" s="101"/>
      <c r="BJU27" s="101"/>
      <c r="BJV27" s="101"/>
      <c r="BJW27" s="101"/>
      <c r="BJX27" s="101"/>
      <c r="BJY27" s="101"/>
      <c r="BJZ27" s="101"/>
      <c r="BKA27" s="101"/>
      <c r="BKB27" s="101"/>
      <c r="BKC27" s="101"/>
      <c r="BKD27" s="101"/>
      <c r="BKE27" s="101"/>
      <c r="BKF27" s="101"/>
      <c r="BKG27" s="101"/>
      <c r="BKH27" s="101"/>
      <c r="BKI27" s="101"/>
      <c r="BKJ27" s="101"/>
      <c r="BKK27" s="101"/>
      <c r="BKL27" s="101"/>
      <c r="BKM27" s="101"/>
      <c r="BKN27" s="101"/>
      <c r="BKO27" s="101"/>
      <c r="BKP27" s="101"/>
      <c r="BKQ27" s="101"/>
      <c r="BKR27" s="101"/>
      <c r="BKS27" s="101"/>
      <c r="BKT27" s="101"/>
      <c r="BKU27" s="101"/>
      <c r="BKV27" s="101"/>
      <c r="BKW27" s="101"/>
      <c r="BKX27" s="101"/>
      <c r="BKY27" s="101"/>
      <c r="BKZ27" s="101"/>
      <c r="BLA27" s="101"/>
      <c r="BLB27" s="101"/>
      <c r="BLC27" s="101"/>
      <c r="BLD27" s="101"/>
      <c r="BLE27" s="101"/>
      <c r="BLF27" s="101"/>
      <c r="BLG27" s="101"/>
      <c r="BLH27" s="101"/>
      <c r="BLI27" s="101"/>
      <c r="BLJ27" s="101"/>
      <c r="BLK27" s="101"/>
      <c r="BLL27" s="101"/>
      <c r="BLM27" s="101"/>
      <c r="BLN27" s="101"/>
      <c r="BLO27" s="101"/>
      <c r="BLP27" s="101"/>
      <c r="BLQ27" s="101"/>
      <c r="BLR27" s="101"/>
      <c r="BLS27" s="101"/>
      <c r="BLT27" s="101"/>
      <c r="BLU27" s="101"/>
      <c r="BLV27" s="101"/>
      <c r="BLW27" s="101"/>
      <c r="BLX27" s="101"/>
      <c r="BLY27" s="101"/>
      <c r="BLZ27" s="101"/>
      <c r="BMA27" s="101"/>
      <c r="BMB27" s="101"/>
      <c r="BMC27" s="101"/>
      <c r="BMD27" s="101"/>
      <c r="BME27" s="101"/>
      <c r="BMF27" s="101"/>
      <c r="BMG27" s="101"/>
      <c r="BMH27" s="101"/>
      <c r="BMI27" s="101"/>
      <c r="BMJ27" s="101"/>
      <c r="BMK27" s="101"/>
      <c r="BML27" s="101"/>
      <c r="BMM27" s="101"/>
      <c r="BMN27" s="101"/>
      <c r="BMO27" s="101"/>
      <c r="BMP27" s="101"/>
      <c r="BMQ27" s="101"/>
      <c r="BMR27" s="101"/>
      <c r="BMS27" s="101"/>
      <c r="BMT27" s="101"/>
      <c r="BMU27" s="101"/>
      <c r="BMV27" s="101"/>
      <c r="BMW27" s="101"/>
      <c r="BMX27" s="101"/>
      <c r="BMY27" s="101"/>
      <c r="BMZ27" s="101"/>
      <c r="BNA27" s="101"/>
      <c r="BNB27" s="101"/>
      <c r="BNC27" s="101"/>
      <c r="BND27" s="101"/>
      <c r="BNE27" s="101"/>
      <c r="BNF27" s="101"/>
      <c r="BNG27" s="101"/>
      <c r="BNH27" s="101"/>
      <c r="BNI27" s="101"/>
      <c r="BNJ27" s="101"/>
      <c r="BNK27" s="101"/>
      <c r="BNL27" s="101"/>
      <c r="BNM27" s="101"/>
      <c r="BNN27" s="101"/>
      <c r="BNO27" s="101"/>
      <c r="BNP27" s="101"/>
      <c r="BNQ27" s="101"/>
      <c r="BNR27" s="101"/>
      <c r="BNS27" s="101"/>
      <c r="BNT27" s="101"/>
      <c r="BNU27" s="101"/>
      <c r="BNV27" s="101"/>
      <c r="BNW27" s="101"/>
      <c r="BNX27" s="101"/>
      <c r="BNY27" s="101"/>
      <c r="BNZ27" s="101"/>
      <c r="BOA27" s="101"/>
      <c r="BOB27" s="101"/>
      <c r="BOC27" s="101"/>
      <c r="BOD27" s="101"/>
      <c r="BOE27" s="101"/>
      <c r="BOF27" s="101"/>
      <c r="BOG27" s="101"/>
      <c r="BOH27" s="101"/>
      <c r="BOI27" s="101"/>
      <c r="BOJ27" s="101"/>
      <c r="BOK27" s="101"/>
      <c r="BOL27" s="101"/>
      <c r="BOM27" s="101"/>
      <c r="BON27" s="101"/>
      <c r="BOO27" s="101"/>
      <c r="BOP27" s="101"/>
      <c r="BOQ27" s="101"/>
      <c r="BOR27" s="101"/>
      <c r="BOS27" s="101"/>
      <c r="BOT27" s="101"/>
      <c r="BOU27" s="101"/>
      <c r="BOV27" s="101"/>
      <c r="BOW27" s="101"/>
      <c r="BOX27" s="101"/>
      <c r="BOY27" s="101"/>
      <c r="BOZ27" s="101"/>
      <c r="BPA27" s="101"/>
      <c r="BPB27" s="101"/>
      <c r="BPC27" s="167"/>
    </row>
    <row r="28" s="103" customFormat="1" ht="75" customHeight="1" outlineLevel="1" spans="1:1024 1025:1771">
      <c r="A28" s="157" t="s">
        <v>107</v>
      </c>
      <c r="B28" s="151" t="s">
        <v>1075</v>
      </c>
      <c r="C28" s="158" t="s">
        <v>1076</v>
      </c>
      <c r="D28" s="153" t="s">
        <v>1044</v>
      </c>
      <c r="E28" s="154"/>
      <c r="F28" s="159"/>
      <c r="G28" s="160"/>
      <c r="H28" s="155">
        <v>46137</v>
      </c>
      <c r="I28" s="168" t="s">
        <v>8</v>
      </c>
      <c r="J28" s="169" t="s">
        <v>1069</v>
      </c>
      <c r="K28" s="5" t="s">
        <v>1077</v>
      </c>
      <c r="L28" s="5" t="s">
        <v>1041</v>
      </c>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c r="DK28" s="101"/>
      <c r="DL28" s="101"/>
      <c r="DM28" s="101"/>
      <c r="DN28" s="101"/>
      <c r="DO28" s="101"/>
      <c r="DP28" s="101"/>
      <c r="DQ28" s="101"/>
      <c r="DR28" s="101"/>
      <c r="DS28" s="101"/>
      <c r="DT28" s="101"/>
      <c r="DU28" s="101"/>
      <c r="DV28" s="101"/>
      <c r="DW28" s="101"/>
      <c r="DX28" s="101"/>
      <c r="DY28" s="101"/>
      <c r="DZ28" s="101"/>
      <c r="EA28" s="101"/>
      <c r="EB28" s="101"/>
      <c r="EC28" s="101"/>
      <c r="ED28" s="101"/>
      <c r="EE28" s="101"/>
      <c r="EF28" s="101"/>
      <c r="EG28" s="101"/>
      <c r="EH28" s="101"/>
      <c r="EI28" s="101"/>
      <c r="EJ28" s="101"/>
      <c r="EK28" s="101"/>
      <c r="EL28" s="101"/>
      <c r="EM28" s="101"/>
      <c r="EN28" s="101"/>
      <c r="EO28" s="101"/>
      <c r="EP28" s="101"/>
      <c r="EQ28" s="101"/>
      <c r="ER28" s="101"/>
      <c r="ES28" s="101"/>
      <c r="ET28" s="101"/>
      <c r="EU28" s="101"/>
      <c r="EV28" s="101"/>
      <c r="EW28" s="101"/>
      <c r="EX28" s="101"/>
      <c r="EY28" s="101"/>
      <c r="EZ28" s="101"/>
      <c r="FA28" s="101"/>
      <c r="FB28" s="101"/>
      <c r="FC28" s="101"/>
      <c r="FD28" s="101"/>
      <c r="FE28" s="101"/>
      <c r="FF28" s="101"/>
      <c r="FG28" s="101"/>
      <c r="FH28" s="101"/>
      <c r="FI28" s="101"/>
      <c r="FJ28" s="101"/>
      <c r="FK28" s="101"/>
      <c r="FL28" s="101"/>
      <c r="FM28" s="101"/>
      <c r="FN28" s="101"/>
      <c r="FO28" s="101"/>
      <c r="FP28" s="101"/>
      <c r="FQ28" s="101"/>
      <c r="FR28" s="101"/>
      <c r="FS28" s="101"/>
      <c r="FT28" s="101"/>
      <c r="FU28" s="101"/>
      <c r="FV28" s="101"/>
      <c r="FW28" s="101"/>
      <c r="FX28" s="101"/>
      <c r="FY28" s="101"/>
      <c r="FZ28" s="101"/>
      <c r="GA28" s="101"/>
      <c r="GB28" s="101"/>
      <c r="GC28" s="101"/>
      <c r="GD28" s="101"/>
      <c r="GE28" s="101"/>
      <c r="GF28" s="101"/>
      <c r="GG28" s="101"/>
      <c r="GH28" s="101"/>
      <c r="GI28" s="101"/>
      <c r="GJ28" s="101"/>
      <c r="GK28" s="101"/>
      <c r="GL28" s="101"/>
      <c r="GM28" s="101"/>
      <c r="GN28" s="101"/>
      <c r="GO28" s="101"/>
      <c r="GP28" s="101"/>
      <c r="GQ28" s="101"/>
      <c r="GR28" s="101"/>
      <c r="GS28" s="101"/>
      <c r="GT28" s="101"/>
      <c r="GU28" s="101"/>
      <c r="GV28" s="101"/>
      <c r="GW28" s="101"/>
      <c r="GX28" s="101"/>
      <c r="GY28" s="101"/>
      <c r="GZ28" s="101"/>
      <c r="HA28" s="101"/>
      <c r="HB28" s="101"/>
      <c r="HC28" s="101"/>
      <c r="HD28" s="101"/>
      <c r="HE28" s="101"/>
      <c r="HF28" s="101"/>
      <c r="HG28" s="101"/>
      <c r="HH28" s="101"/>
      <c r="HI28" s="101"/>
      <c r="HJ28" s="101"/>
      <c r="HK28" s="101"/>
      <c r="HL28" s="101"/>
      <c r="HM28" s="101"/>
      <c r="HN28" s="101"/>
      <c r="HO28" s="101"/>
      <c r="HP28" s="101"/>
      <c r="HQ28" s="101"/>
      <c r="HR28" s="101"/>
      <c r="HS28" s="101"/>
      <c r="HT28" s="101"/>
      <c r="HU28" s="101"/>
      <c r="HV28" s="101"/>
      <c r="HW28" s="101"/>
      <c r="HX28" s="101"/>
      <c r="HY28" s="101"/>
      <c r="HZ28" s="101"/>
      <c r="IA28" s="101"/>
      <c r="IB28" s="101"/>
      <c r="IC28" s="101"/>
      <c r="ID28" s="101"/>
      <c r="IE28" s="101"/>
      <c r="IF28" s="101"/>
      <c r="IG28" s="101"/>
      <c r="IH28" s="101"/>
      <c r="II28" s="101"/>
      <c r="IJ28" s="101"/>
      <c r="IK28" s="101"/>
      <c r="IL28" s="101"/>
      <c r="IM28" s="101"/>
      <c r="IN28" s="101"/>
      <c r="IO28" s="101"/>
      <c r="IP28" s="101"/>
      <c r="IQ28" s="101"/>
      <c r="IR28" s="101"/>
      <c r="IS28" s="101"/>
      <c r="IT28" s="101"/>
      <c r="IU28" s="101"/>
      <c r="IV28" s="101"/>
      <c r="IW28" s="101"/>
      <c r="IX28" s="101"/>
      <c r="IY28" s="101"/>
      <c r="IZ28" s="101"/>
      <c r="JA28" s="101"/>
      <c r="JB28" s="101"/>
      <c r="JC28" s="101"/>
      <c r="JD28" s="101"/>
      <c r="JE28" s="101"/>
      <c r="JF28" s="101"/>
      <c r="JG28" s="101"/>
      <c r="JH28" s="101"/>
      <c r="JI28" s="101"/>
      <c r="JJ28" s="101"/>
      <c r="JK28" s="101"/>
      <c r="JL28" s="101"/>
      <c r="JM28" s="101"/>
      <c r="JN28" s="101"/>
      <c r="JO28" s="101"/>
      <c r="JP28" s="101"/>
      <c r="JQ28" s="101"/>
      <c r="JR28" s="101"/>
      <c r="JS28" s="101"/>
      <c r="JT28" s="101"/>
      <c r="JU28" s="101"/>
      <c r="JV28" s="101"/>
      <c r="JW28" s="101"/>
      <c r="JX28" s="101"/>
      <c r="JY28" s="101"/>
      <c r="JZ28" s="101"/>
      <c r="KA28" s="101"/>
      <c r="KB28" s="101"/>
      <c r="KC28" s="101"/>
      <c r="KD28" s="101"/>
      <c r="KE28" s="101"/>
      <c r="KF28" s="101"/>
      <c r="KG28" s="101"/>
      <c r="KH28" s="101"/>
      <c r="KI28" s="101"/>
      <c r="KJ28" s="101"/>
      <c r="KK28" s="101"/>
      <c r="KL28" s="101"/>
      <c r="KM28" s="101"/>
      <c r="KN28" s="101"/>
      <c r="KO28" s="101"/>
      <c r="KP28" s="101"/>
      <c r="KQ28" s="101"/>
      <c r="KR28" s="101"/>
      <c r="KS28" s="101"/>
      <c r="KT28" s="101"/>
      <c r="KU28" s="101"/>
      <c r="KV28" s="101"/>
      <c r="KW28" s="101"/>
      <c r="KX28" s="101"/>
      <c r="KY28" s="101"/>
      <c r="KZ28" s="101"/>
      <c r="LA28" s="101"/>
      <c r="LB28" s="101"/>
      <c r="LC28" s="101"/>
      <c r="LD28" s="101"/>
      <c r="LE28" s="101"/>
      <c r="LF28" s="101"/>
      <c r="LG28" s="101"/>
      <c r="LH28" s="101"/>
      <c r="LI28" s="101"/>
      <c r="LJ28" s="101"/>
      <c r="LK28" s="101"/>
      <c r="LL28" s="101"/>
      <c r="LM28" s="101"/>
      <c r="LN28" s="101"/>
      <c r="LO28" s="101"/>
      <c r="LP28" s="101"/>
      <c r="LQ28" s="101"/>
      <c r="LR28" s="101"/>
      <c r="LS28" s="101"/>
      <c r="LT28" s="101"/>
      <c r="LU28" s="101"/>
      <c r="LV28" s="101"/>
      <c r="LW28" s="101"/>
      <c r="LX28" s="101"/>
      <c r="LY28" s="101"/>
      <c r="LZ28" s="101"/>
      <c r="MA28" s="101"/>
      <c r="MB28" s="101"/>
      <c r="MC28" s="101"/>
      <c r="MD28" s="101"/>
      <c r="ME28" s="101"/>
      <c r="MF28" s="101"/>
      <c r="MG28" s="101"/>
      <c r="MH28" s="101"/>
      <c r="MI28" s="101"/>
      <c r="MJ28" s="101"/>
      <c r="MK28" s="101"/>
      <c r="ML28" s="101"/>
      <c r="MM28" s="101"/>
      <c r="MN28" s="101"/>
      <c r="MO28" s="101"/>
      <c r="MP28" s="101"/>
      <c r="MQ28" s="101"/>
      <c r="MR28" s="101"/>
      <c r="MS28" s="101"/>
      <c r="MT28" s="101"/>
      <c r="MU28" s="101"/>
      <c r="MV28" s="101"/>
      <c r="MW28" s="101"/>
      <c r="MX28" s="101"/>
      <c r="MY28" s="101"/>
      <c r="MZ28" s="101"/>
      <c r="NA28" s="101"/>
      <c r="NB28" s="101"/>
      <c r="NC28" s="101"/>
      <c r="ND28" s="101"/>
      <c r="NE28" s="101"/>
      <c r="NF28" s="101"/>
      <c r="NG28" s="101"/>
      <c r="NH28" s="101"/>
      <c r="NI28" s="101"/>
      <c r="NJ28" s="101"/>
      <c r="NK28" s="101"/>
      <c r="NL28" s="101"/>
      <c r="NM28" s="101"/>
      <c r="NN28" s="101"/>
      <c r="NO28" s="101"/>
      <c r="NP28" s="101"/>
      <c r="NQ28" s="101"/>
      <c r="NR28" s="101"/>
      <c r="NS28" s="101"/>
      <c r="NT28" s="101"/>
      <c r="NU28" s="101"/>
      <c r="NV28" s="101"/>
      <c r="NW28" s="101"/>
      <c r="NX28" s="101"/>
      <c r="NY28" s="101"/>
      <c r="NZ28" s="101"/>
      <c r="OA28" s="101"/>
      <c r="OB28" s="101"/>
      <c r="OC28" s="101"/>
      <c r="OD28" s="101"/>
      <c r="OE28" s="101"/>
      <c r="OF28" s="101"/>
      <c r="OG28" s="101"/>
      <c r="OH28" s="101"/>
      <c r="OI28" s="101"/>
      <c r="OJ28" s="101"/>
      <c r="OK28" s="101"/>
      <c r="OL28" s="101"/>
      <c r="OM28" s="101"/>
      <c r="ON28" s="101"/>
      <c r="OO28" s="101"/>
      <c r="OP28" s="101"/>
      <c r="OQ28" s="101"/>
      <c r="OR28" s="101"/>
      <c r="OS28" s="101"/>
      <c r="OT28" s="101"/>
      <c r="OU28" s="101"/>
      <c r="OV28" s="101"/>
      <c r="OW28" s="101"/>
      <c r="OX28" s="101"/>
      <c r="OY28" s="101"/>
      <c r="OZ28" s="101"/>
      <c r="PA28" s="101"/>
      <c r="PB28" s="101"/>
      <c r="PC28" s="101"/>
      <c r="PD28" s="101"/>
      <c r="PE28" s="101"/>
      <c r="PF28" s="101"/>
      <c r="PG28" s="101"/>
      <c r="PH28" s="101"/>
      <c r="PI28" s="101"/>
      <c r="PJ28" s="101"/>
      <c r="PK28" s="101"/>
      <c r="PL28" s="101"/>
      <c r="PM28" s="101"/>
      <c r="PN28" s="101"/>
      <c r="PO28" s="101"/>
      <c r="PP28" s="101"/>
      <c r="PQ28" s="101"/>
      <c r="PR28" s="101"/>
      <c r="PS28" s="101"/>
      <c r="PT28" s="101"/>
      <c r="PU28" s="101"/>
      <c r="PV28" s="101"/>
      <c r="PW28" s="101"/>
      <c r="PX28" s="101"/>
      <c r="PY28" s="101"/>
      <c r="PZ28" s="101"/>
      <c r="QA28" s="101"/>
      <c r="QB28" s="101"/>
      <c r="QC28" s="101"/>
      <c r="QD28" s="101"/>
      <c r="QE28" s="101"/>
      <c r="QF28" s="101"/>
      <c r="QG28" s="101"/>
      <c r="QH28" s="101"/>
      <c r="QI28" s="101"/>
      <c r="QJ28" s="101"/>
      <c r="QK28" s="101"/>
      <c r="QL28" s="101"/>
      <c r="QM28" s="101"/>
      <c r="QN28" s="101"/>
      <c r="QO28" s="101"/>
      <c r="QP28" s="101"/>
      <c r="QQ28" s="101"/>
      <c r="QR28" s="101"/>
      <c r="QS28" s="101"/>
      <c r="QT28" s="101"/>
      <c r="QU28" s="101"/>
      <c r="QV28" s="101"/>
      <c r="QW28" s="101"/>
      <c r="QX28" s="101"/>
      <c r="QY28" s="101"/>
      <c r="QZ28" s="101"/>
      <c r="RA28" s="101"/>
      <c r="RB28" s="101"/>
      <c r="RC28" s="101"/>
      <c r="RD28" s="101"/>
      <c r="RE28" s="101"/>
      <c r="RF28" s="101"/>
      <c r="RG28" s="101"/>
      <c r="RH28" s="101"/>
      <c r="RI28" s="101"/>
      <c r="RJ28" s="101"/>
      <c r="RK28" s="101"/>
      <c r="RL28" s="101"/>
      <c r="RM28" s="101"/>
      <c r="RN28" s="101"/>
      <c r="RO28" s="101"/>
      <c r="RP28" s="101"/>
      <c r="RQ28" s="101"/>
      <c r="RR28" s="101"/>
      <c r="RS28" s="101"/>
      <c r="RT28" s="101"/>
      <c r="RU28" s="101"/>
      <c r="RV28" s="101"/>
      <c r="RW28" s="101"/>
      <c r="RX28" s="101"/>
      <c r="RY28" s="101"/>
      <c r="RZ28" s="101"/>
      <c r="SA28" s="101"/>
      <c r="SB28" s="101"/>
      <c r="SC28" s="101"/>
      <c r="SD28" s="101"/>
      <c r="SE28" s="101"/>
      <c r="SF28" s="101"/>
      <c r="SG28" s="101"/>
      <c r="SH28" s="101"/>
      <c r="SI28" s="101"/>
      <c r="SJ28" s="101"/>
      <c r="SK28" s="101"/>
      <c r="SL28" s="101"/>
      <c r="SM28" s="101"/>
      <c r="SN28" s="101"/>
      <c r="SO28" s="101"/>
      <c r="SP28" s="101"/>
      <c r="SQ28" s="101"/>
      <c r="SR28" s="101"/>
      <c r="SS28" s="101"/>
      <c r="ST28" s="101"/>
      <c r="SU28" s="101"/>
      <c r="SV28" s="101"/>
      <c r="SW28" s="101"/>
      <c r="SX28" s="101"/>
      <c r="SY28" s="101"/>
      <c r="SZ28" s="101"/>
      <c r="TA28" s="101"/>
      <c r="TB28" s="101"/>
      <c r="TC28" s="101"/>
      <c r="TD28" s="101"/>
      <c r="TE28" s="101"/>
      <c r="TF28" s="101"/>
      <c r="TG28" s="101"/>
      <c r="TH28" s="101"/>
      <c r="TI28" s="101"/>
      <c r="TJ28" s="101"/>
      <c r="TK28" s="101"/>
      <c r="TL28" s="101"/>
      <c r="TM28" s="101"/>
      <c r="TN28" s="101"/>
      <c r="TO28" s="101"/>
      <c r="TP28" s="101"/>
      <c r="TQ28" s="101"/>
      <c r="TR28" s="101"/>
      <c r="TS28" s="101"/>
      <c r="TT28" s="101"/>
      <c r="TU28" s="101"/>
      <c r="TV28" s="101"/>
      <c r="TW28" s="101"/>
      <c r="TX28" s="101"/>
      <c r="TY28" s="101"/>
      <c r="TZ28" s="101"/>
      <c r="UA28" s="101"/>
      <c r="UB28" s="101"/>
      <c r="UC28" s="101"/>
      <c r="UD28" s="101"/>
      <c r="UE28" s="101"/>
      <c r="UF28" s="101"/>
      <c r="UG28" s="101"/>
      <c r="UH28" s="101"/>
      <c r="UI28" s="101"/>
      <c r="UJ28" s="101"/>
      <c r="UK28" s="101"/>
      <c r="UL28" s="101"/>
      <c r="UM28" s="101"/>
      <c r="UN28" s="101"/>
      <c r="UO28" s="101"/>
      <c r="UP28" s="101"/>
      <c r="UQ28" s="101"/>
      <c r="UR28" s="101"/>
      <c r="US28" s="101"/>
      <c r="UT28" s="101"/>
      <c r="UU28" s="101"/>
      <c r="UV28" s="101"/>
      <c r="UW28" s="101"/>
      <c r="UX28" s="101"/>
      <c r="UY28" s="101"/>
      <c r="UZ28" s="101"/>
      <c r="VA28" s="101"/>
      <c r="VB28" s="101"/>
      <c r="VC28" s="101"/>
      <c r="VD28" s="101"/>
      <c r="VE28" s="101"/>
      <c r="VF28" s="101"/>
      <c r="VG28" s="101"/>
      <c r="VH28" s="101"/>
      <c r="VI28" s="101"/>
      <c r="VJ28" s="101"/>
      <c r="VK28" s="101"/>
      <c r="VL28" s="101"/>
      <c r="VM28" s="101"/>
      <c r="VN28" s="101"/>
      <c r="VO28" s="101"/>
      <c r="VP28" s="101"/>
      <c r="VQ28" s="101"/>
      <c r="VR28" s="101"/>
      <c r="VS28" s="101"/>
      <c r="VT28" s="101"/>
      <c r="VU28" s="101"/>
      <c r="VV28" s="101"/>
      <c r="VW28" s="101"/>
      <c r="VX28" s="101"/>
      <c r="VY28" s="101"/>
      <c r="VZ28" s="101"/>
      <c r="WA28" s="101"/>
      <c r="WB28" s="101"/>
      <c r="WC28" s="101"/>
      <c r="WD28" s="101"/>
      <c r="WE28" s="101"/>
      <c r="WF28" s="101"/>
      <c r="WG28" s="101"/>
      <c r="WH28" s="101"/>
      <c r="WI28" s="101"/>
      <c r="WJ28" s="101"/>
      <c r="WK28" s="101"/>
      <c r="WL28" s="101"/>
      <c r="WM28" s="101"/>
      <c r="WN28" s="101"/>
      <c r="WO28" s="101"/>
      <c r="WP28" s="101"/>
      <c r="WQ28" s="101"/>
      <c r="WR28" s="101"/>
      <c r="WS28" s="101"/>
      <c r="WT28" s="101"/>
      <c r="WU28" s="101"/>
      <c r="WV28" s="101"/>
      <c r="WW28" s="101"/>
      <c r="WX28" s="101"/>
      <c r="WY28" s="101"/>
      <c r="WZ28" s="101"/>
      <c r="XA28" s="101"/>
      <c r="XB28" s="101"/>
      <c r="XC28" s="101"/>
      <c r="XD28" s="101"/>
      <c r="XE28" s="101"/>
      <c r="XF28" s="101"/>
      <c r="XG28" s="101"/>
      <c r="XH28" s="101"/>
      <c r="XI28" s="101"/>
      <c r="XJ28" s="101"/>
      <c r="XK28" s="101"/>
      <c r="XL28" s="101"/>
      <c r="XM28" s="101"/>
      <c r="XN28" s="101"/>
      <c r="XO28" s="101"/>
      <c r="XP28" s="101"/>
      <c r="XQ28" s="101"/>
      <c r="XR28" s="101"/>
      <c r="XS28" s="101"/>
      <c r="XT28" s="101"/>
      <c r="XU28" s="101"/>
      <c r="XV28" s="101"/>
      <c r="XW28" s="101"/>
      <c r="XX28" s="101"/>
      <c r="XY28" s="101"/>
      <c r="XZ28" s="101"/>
      <c r="YA28" s="101"/>
      <c r="YB28" s="101"/>
      <c r="YC28" s="101"/>
      <c r="YD28" s="101"/>
      <c r="YE28" s="101"/>
      <c r="YF28" s="101"/>
      <c r="YG28" s="101"/>
      <c r="YH28" s="101"/>
      <c r="YI28" s="101"/>
      <c r="YJ28" s="101"/>
      <c r="YK28" s="101"/>
      <c r="YL28" s="101"/>
      <c r="YM28" s="101"/>
      <c r="YN28" s="101"/>
      <c r="YO28" s="101"/>
      <c r="YP28" s="101"/>
      <c r="YQ28" s="101"/>
      <c r="YR28" s="101"/>
      <c r="YS28" s="101"/>
      <c r="YT28" s="101"/>
      <c r="YU28" s="101"/>
      <c r="YV28" s="101"/>
      <c r="YW28" s="101"/>
      <c r="YX28" s="101"/>
      <c r="YY28" s="101"/>
      <c r="YZ28" s="101"/>
      <c r="ZA28" s="101"/>
      <c r="ZB28" s="101"/>
      <c r="ZC28" s="101"/>
      <c r="ZD28" s="101"/>
      <c r="ZE28" s="101"/>
      <c r="ZF28" s="101"/>
      <c r="ZG28" s="101"/>
      <c r="ZH28" s="101"/>
      <c r="ZI28" s="101"/>
      <c r="ZJ28" s="101"/>
      <c r="ZK28" s="101"/>
      <c r="ZL28" s="101"/>
      <c r="ZM28" s="101"/>
      <c r="ZN28" s="101"/>
      <c r="ZO28" s="101"/>
      <c r="ZP28" s="101"/>
      <c r="ZQ28" s="101"/>
      <c r="ZR28" s="101"/>
      <c r="ZS28" s="101"/>
      <c r="ZT28" s="101"/>
      <c r="ZU28" s="101"/>
      <c r="ZV28" s="101"/>
      <c r="ZW28" s="101"/>
      <c r="ZX28" s="101"/>
      <c r="ZY28" s="101"/>
      <c r="ZZ28" s="101"/>
      <c r="AAA28" s="101"/>
      <c r="AAB28" s="101"/>
      <c r="AAC28" s="101"/>
      <c r="AAD28" s="101"/>
      <c r="AAE28" s="101"/>
      <c r="AAF28" s="101"/>
      <c r="AAG28" s="101"/>
      <c r="AAH28" s="101"/>
      <c r="AAI28" s="101"/>
      <c r="AAJ28" s="101"/>
      <c r="AAK28" s="101"/>
      <c r="AAL28" s="101"/>
      <c r="AAM28" s="101"/>
      <c r="AAN28" s="101"/>
      <c r="AAO28" s="101"/>
      <c r="AAP28" s="101"/>
      <c r="AAQ28" s="101"/>
      <c r="AAR28" s="101"/>
      <c r="AAS28" s="101"/>
      <c r="AAT28" s="101"/>
      <c r="AAU28" s="101"/>
      <c r="AAV28" s="101"/>
      <c r="AAW28" s="101"/>
      <c r="AAX28" s="101"/>
      <c r="AAY28" s="101"/>
      <c r="AAZ28" s="101"/>
      <c r="ABA28" s="101"/>
      <c r="ABB28" s="101"/>
      <c r="ABC28" s="101"/>
      <c r="ABD28" s="101"/>
      <c r="ABE28" s="101"/>
      <c r="ABF28" s="101"/>
      <c r="ABG28" s="101"/>
      <c r="ABH28" s="101"/>
      <c r="ABI28" s="101"/>
      <c r="ABJ28" s="101"/>
      <c r="ABK28" s="101"/>
      <c r="ABL28" s="101"/>
      <c r="ABM28" s="101"/>
      <c r="ABN28" s="101"/>
      <c r="ABO28" s="101"/>
      <c r="ABP28" s="101"/>
      <c r="ABQ28" s="101"/>
      <c r="ABR28" s="101"/>
      <c r="ABS28" s="101"/>
      <c r="ABT28" s="101"/>
      <c r="ABU28" s="101"/>
      <c r="ABV28" s="101"/>
      <c r="ABW28" s="101"/>
      <c r="ABX28" s="101"/>
      <c r="ABY28" s="101"/>
      <c r="ABZ28" s="101"/>
      <c r="ACA28" s="101"/>
      <c r="ACB28" s="101"/>
      <c r="ACC28" s="101"/>
      <c r="ACD28" s="101"/>
      <c r="ACE28" s="101"/>
      <c r="ACF28" s="101"/>
      <c r="ACG28" s="101"/>
      <c r="ACH28" s="101"/>
      <c r="ACI28" s="101"/>
      <c r="ACJ28" s="101"/>
      <c r="ACK28" s="101"/>
      <c r="ACL28" s="101"/>
      <c r="ACM28" s="101"/>
      <c r="ACN28" s="101"/>
      <c r="ACO28" s="101"/>
      <c r="ACP28" s="101"/>
      <c r="ACQ28" s="101"/>
      <c r="ACR28" s="101"/>
      <c r="ACS28" s="101"/>
      <c r="ACT28" s="101"/>
      <c r="ACU28" s="101"/>
      <c r="ACV28" s="101"/>
      <c r="ACW28" s="101"/>
      <c r="ACX28" s="101"/>
      <c r="ACY28" s="101"/>
      <c r="ACZ28" s="101"/>
      <c r="ADA28" s="101"/>
      <c r="ADB28" s="101"/>
      <c r="ADC28" s="101"/>
      <c r="ADD28" s="101"/>
      <c r="ADE28" s="101"/>
      <c r="ADF28" s="101"/>
      <c r="ADG28" s="101"/>
      <c r="ADH28" s="101"/>
      <c r="ADI28" s="101"/>
      <c r="ADJ28" s="101"/>
      <c r="ADK28" s="101"/>
      <c r="ADL28" s="101"/>
      <c r="ADM28" s="101"/>
      <c r="ADN28" s="101"/>
      <c r="ADO28" s="101"/>
      <c r="ADP28" s="101"/>
      <c r="ADQ28" s="101"/>
      <c r="ADR28" s="101"/>
      <c r="ADS28" s="101"/>
      <c r="ADT28" s="101"/>
      <c r="ADU28" s="101"/>
      <c r="ADV28" s="101"/>
      <c r="ADW28" s="101"/>
      <c r="ADX28" s="101"/>
      <c r="ADY28" s="101"/>
      <c r="ADZ28" s="101"/>
      <c r="AEA28" s="101"/>
      <c r="AEB28" s="101"/>
      <c r="AEC28" s="101"/>
      <c r="AED28" s="101"/>
      <c r="AEE28" s="101"/>
      <c r="AEF28" s="101"/>
      <c r="AEG28" s="101"/>
      <c r="AEH28" s="101"/>
      <c r="AEI28" s="101"/>
      <c r="AEJ28" s="101"/>
      <c r="AEK28" s="101"/>
      <c r="AEL28" s="101"/>
      <c r="AEM28" s="101"/>
      <c r="AEN28" s="101"/>
      <c r="AEO28" s="101"/>
      <c r="AEP28" s="101"/>
      <c r="AEQ28" s="101"/>
      <c r="AER28" s="101"/>
      <c r="AES28" s="101"/>
      <c r="AET28" s="101"/>
      <c r="AEU28" s="101"/>
      <c r="AEV28" s="101"/>
      <c r="AEW28" s="101"/>
      <c r="AEX28" s="101"/>
      <c r="AEY28" s="101"/>
      <c r="AEZ28" s="101"/>
      <c r="AFA28" s="101"/>
      <c r="AFB28" s="101"/>
      <c r="AFC28" s="101"/>
      <c r="AFD28" s="101"/>
      <c r="AFE28" s="101"/>
      <c r="AFF28" s="101"/>
      <c r="AFG28" s="101"/>
      <c r="AFH28" s="101"/>
      <c r="AFI28" s="101"/>
      <c r="AFJ28" s="101"/>
      <c r="AFK28" s="101"/>
      <c r="AFL28" s="101"/>
      <c r="AFM28" s="101"/>
      <c r="AFN28" s="101"/>
      <c r="AFO28" s="101"/>
      <c r="AFP28" s="101"/>
      <c r="AFQ28" s="101"/>
      <c r="AFR28" s="101"/>
      <c r="AFS28" s="101"/>
      <c r="AFT28" s="101"/>
      <c r="AFU28" s="101"/>
      <c r="AFV28" s="101"/>
      <c r="AFW28" s="101"/>
      <c r="AFX28" s="101"/>
      <c r="AFY28" s="101"/>
      <c r="AFZ28" s="101"/>
      <c r="AGA28" s="101"/>
      <c r="AGB28" s="101"/>
      <c r="AGC28" s="101"/>
      <c r="AGD28" s="101"/>
      <c r="AGE28" s="101"/>
      <c r="AGF28" s="101"/>
      <c r="AGG28" s="101"/>
      <c r="AGH28" s="101"/>
      <c r="AGI28" s="101"/>
      <c r="AGJ28" s="101"/>
      <c r="AGK28" s="101"/>
      <c r="AGL28" s="101"/>
      <c r="AGM28" s="101"/>
      <c r="AGN28" s="101"/>
      <c r="AGO28" s="101"/>
      <c r="AGP28" s="101"/>
      <c r="AGQ28" s="101"/>
      <c r="AGR28" s="101"/>
      <c r="AGS28" s="101"/>
      <c r="AGT28" s="101"/>
      <c r="AGU28" s="101"/>
      <c r="AGV28" s="101"/>
      <c r="AGW28" s="101"/>
      <c r="AGX28" s="101"/>
      <c r="AGY28" s="101"/>
      <c r="AGZ28" s="101"/>
      <c r="AHA28" s="101"/>
      <c r="AHB28" s="101"/>
      <c r="AHC28" s="101"/>
      <c r="AHD28" s="101"/>
      <c r="AHE28" s="101"/>
      <c r="AHF28" s="101"/>
      <c r="AHG28" s="101"/>
      <c r="AHH28" s="101"/>
      <c r="AHI28" s="101"/>
      <c r="AHJ28" s="101"/>
      <c r="AHK28" s="101"/>
      <c r="AHL28" s="101"/>
      <c r="AHM28" s="101"/>
      <c r="AHN28" s="101"/>
      <c r="AHO28" s="101"/>
      <c r="AHP28" s="101"/>
      <c r="AHQ28" s="101"/>
      <c r="AHR28" s="101"/>
      <c r="AHS28" s="101"/>
      <c r="AHT28" s="101"/>
      <c r="AHU28" s="101"/>
      <c r="AHV28" s="101"/>
      <c r="AHW28" s="101"/>
      <c r="AHX28" s="101"/>
      <c r="AHY28" s="101"/>
      <c r="AHZ28" s="101"/>
      <c r="AIA28" s="101"/>
      <c r="AIB28" s="101"/>
      <c r="AIC28" s="101"/>
      <c r="AID28" s="101"/>
      <c r="AIE28" s="101"/>
      <c r="AIF28" s="101"/>
      <c r="AIG28" s="101"/>
      <c r="AIH28" s="101"/>
      <c r="AII28" s="101"/>
      <c r="AIJ28" s="101"/>
      <c r="AIK28" s="101"/>
      <c r="AIL28" s="101"/>
      <c r="AIM28" s="101"/>
      <c r="AIN28" s="101"/>
      <c r="AIO28" s="101"/>
      <c r="AIP28" s="101"/>
      <c r="AIQ28" s="101"/>
      <c r="AIR28" s="101"/>
      <c r="AIS28" s="101"/>
      <c r="AIT28" s="101"/>
      <c r="AIU28" s="101"/>
      <c r="AIV28" s="101"/>
      <c r="AIW28" s="101"/>
      <c r="AIX28" s="101"/>
      <c r="AIY28" s="101"/>
      <c r="AIZ28" s="101"/>
      <c r="AJA28" s="101"/>
      <c r="AJB28" s="101"/>
      <c r="AJC28" s="101"/>
      <c r="AJD28" s="101"/>
      <c r="AJE28" s="101"/>
      <c r="AJF28" s="101"/>
      <c r="AJG28" s="101"/>
      <c r="AJH28" s="101"/>
      <c r="AJI28" s="101"/>
      <c r="AJJ28" s="101"/>
      <c r="AJK28" s="101"/>
      <c r="AJL28" s="101"/>
      <c r="AJM28" s="101"/>
      <c r="AJN28" s="101"/>
      <c r="AJO28" s="101"/>
      <c r="AJP28" s="101"/>
      <c r="AJQ28" s="101"/>
      <c r="AJR28" s="101"/>
      <c r="AJS28" s="101"/>
      <c r="AJT28" s="101"/>
      <c r="AJU28" s="101"/>
      <c r="AJV28" s="101"/>
      <c r="AJW28" s="101"/>
      <c r="AJX28" s="101"/>
      <c r="AJY28" s="101"/>
      <c r="AJZ28" s="101"/>
      <c r="AKA28" s="101"/>
      <c r="AKB28" s="101"/>
      <c r="AKC28" s="101"/>
      <c r="AKD28" s="101"/>
      <c r="AKE28" s="101"/>
      <c r="AKF28" s="101"/>
      <c r="AKG28" s="101"/>
      <c r="AKH28" s="101"/>
      <c r="AKI28" s="101"/>
      <c r="AKJ28" s="101"/>
      <c r="AKK28" s="101"/>
      <c r="AKL28" s="101"/>
      <c r="AKM28" s="101"/>
      <c r="AKN28" s="101"/>
      <c r="AKO28" s="101"/>
      <c r="AKP28" s="101"/>
      <c r="AKQ28" s="101"/>
      <c r="AKR28" s="101"/>
      <c r="AKS28" s="101"/>
      <c r="AKT28" s="101"/>
      <c r="AKU28" s="101"/>
      <c r="AKV28" s="101"/>
      <c r="AKW28" s="101"/>
      <c r="AKX28" s="101"/>
      <c r="AKY28" s="101"/>
      <c r="AKZ28" s="101"/>
      <c r="ALA28" s="101"/>
      <c r="ALB28" s="101"/>
      <c r="ALC28" s="101"/>
      <c r="ALD28" s="101"/>
      <c r="ALE28" s="101"/>
      <c r="ALF28" s="101"/>
      <c r="ALG28" s="101"/>
      <c r="ALH28" s="101"/>
      <c r="ALI28" s="101"/>
      <c r="ALJ28" s="101"/>
      <c r="ALK28" s="101"/>
      <c r="ALL28" s="101"/>
      <c r="ALM28" s="101"/>
      <c r="ALN28" s="101"/>
      <c r="ALO28" s="101"/>
      <c r="ALP28" s="101"/>
      <c r="ALQ28" s="101"/>
      <c r="ALR28" s="101"/>
      <c r="ALS28" s="101"/>
      <c r="ALT28" s="101"/>
      <c r="ALU28" s="101"/>
      <c r="ALV28" s="101"/>
      <c r="ALW28" s="101"/>
      <c r="ALX28" s="101"/>
      <c r="ALY28" s="101"/>
      <c r="ALZ28" s="101"/>
      <c r="AMA28" s="101"/>
      <c r="AMB28" s="101"/>
      <c r="AMC28" s="101"/>
      <c r="AMD28" s="101"/>
      <c r="AME28" s="101"/>
      <c r="AMF28" s="101"/>
      <c r="AMG28" s="101"/>
      <c r="AMH28" s="101"/>
      <c r="AMI28" s="101"/>
      <c r="AMJ28" s="101"/>
      <c r="AMK28" s="101"/>
      <c r="AML28" s="101"/>
      <c r="AMM28" s="101"/>
      <c r="AMN28" s="101"/>
      <c r="AMO28" s="101"/>
      <c r="AMP28" s="101"/>
      <c r="AMQ28" s="101"/>
      <c r="AMR28" s="101"/>
      <c r="AMS28" s="101"/>
      <c r="AMT28" s="101"/>
      <c r="AMU28" s="101"/>
      <c r="AMV28" s="101"/>
      <c r="AMW28" s="101"/>
      <c r="AMX28" s="101"/>
      <c r="AMY28" s="101"/>
      <c r="AMZ28" s="101"/>
      <c r="ANA28" s="101"/>
      <c r="ANB28" s="101"/>
      <c r="ANC28" s="101"/>
      <c r="AND28" s="101"/>
      <c r="ANE28" s="101"/>
      <c r="ANF28" s="101"/>
      <c r="ANG28" s="101"/>
      <c r="ANH28" s="101"/>
      <c r="ANI28" s="101"/>
      <c r="ANJ28" s="101"/>
      <c r="ANK28" s="101"/>
      <c r="ANL28" s="101"/>
      <c r="ANM28" s="101"/>
      <c r="ANN28" s="101"/>
      <c r="ANO28" s="101"/>
      <c r="ANP28" s="101"/>
      <c r="ANQ28" s="101"/>
      <c r="ANR28" s="101"/>
      <c r="ANS28" s="101"/>
      <c r="ANT28" s="101"/>
      <c r="ANU28" s="101"/>
      <c r="ANV28" s="101"/>
      <c r="ANW28" s="101"/>
      <c r="ANX28" s="101"/>
      <c r="ANY28" s="101"/>
      <c r="ANZ28" s="101"/>
      <c r="AOA28" s="101"/>
      <c r="AOB28" s="101"/>
      <c r="AOC28" s="101"/>
      <c r="AOD28" s="101"/>
      <c r="AOE28" s="101"/>
      <c r="AOF28" s="101"/>
      <c r="AOG28" s="101"/>
      <c r="AOH28" s="101"/>
      <c r="AOI28" s="101"/>
      <c r="AOJ28" s="101"/>
      <c r="AOK28" s="101"/>
      <c r="AOL28" s="101"/>
      <c r="AOM28" s="101"/>
      <c r="AON28" s="101"/>
      <c r="AOO28" s="101"/>
      <c r="AOP28" s="101"/>
      <c r="AOQ28" s="101"/>
      <c r="AOR28" s="101"/>
      <c r="AOS28" s="101"/>
      <c r="AOT28" s="101"/>
      <c r="AOU28" s="101"/>
      <c r="AOV28" s="101"/>
      <c r="AOW28" s="101"/>
      <c r="AOX28" s="101"/>
      <c r="AOY28" s="101"/>
      <c r="AOZ28" s="101"/>
      <c r="APA28" s="101"/>
      <c r="APB28" s="101"/>
      <c r="APC28" s="101"/>
      <c r="APD28" s="101"/>
      <c r="APE28" s="101"/>
      <c r="APF28" s="101"/>
      <c r="APG28" s="101"/>
      <c r="APH28" s="101"/>
      <c r="API28" s="101"/>
      <c r="APJ28" s="101"/>
      <c r="APK28" s="101"/>
      <c r="APL28" s="101"/>
      <c r="APM28" s="101"/>
      <c r="APN28" s="101"/>
      <c r="APO28" s="101"/>
      <c r="APP28" s="101"/>
      <c r="APQ28" s="101"/>
      <c r="APR28" s="101"/>
      <c r="APS28" s="101"/>
      <c r="APT28" s="101"/>
      <c r="APU28" s="101"/>
      <c r="APV28" s="101"/>
      <c r="APW28" s="101"/>
      <c r="APX28" s="101"/>
      <c r="APY28" s="101"/>
      <c r="APZ28" s="101"/>
      <c r="AQA28" s="101"/>
      <c r="AQB28" s="101"/>
      <c r="AQC28" s="101"/>
      <c r="AQD28" s="101"/>
      <c r="AQE28" s="101"/>
      <c r="AQF28" s="101"/>
      <c r="AQG28" s="101"/>
      <c r="AQH28" s="101"/>
      <c r="AQI28" s="101"/>
      <c r="AQJ28" s="101"/>
      <c r="AQK28" s="101"/>
      <c r="AQL28" s="101"/>
      <c r="AQM28" s="101"/>
      <c r="AQN28" s="101"/>
      <c r="AQO28" s="101"/>
      <c r="AQP28" s="101"/>
      <c r="AQQ28" s="101"/>
      <c r="AQR28" s="101"/>
      <c r="AQS28" s="101"/>
      <c r="AQT28" s="101"/>
      <c r="AQU28" s="101"/>
      <c r="AQV28" s="101"/>
      <c r="AQW28" s="101"/>
      <c r="AQX28" s="101"/>
      <c r="AQY28" s="101"/>
      <c r="AQZ28" s="101"/>
      <c r="ARA28" s="101"/>
      <c r="ARB28" s="101"/>
      <c r="ARC28" s="101"/>
      <c r="ARD28" s="101"/>
      <c r="ARE28" s="101"/>
      <c r="ARF28" s="101"/>
      <c r="ARG28" s="101"/>
      <c r="ARH28" s="101"/>
      <c r="ARI28" s="101"/>
      <c r="ARJ28" s="101"/>
      <c r="ARK28" s="101"/>
      <c r="ARL28" s="101"/>
      <c r="ARM28" s="101"/>
      <c r="ARN28" s="101"/>
      <c r="ARO28" s="101"/>
      <c r="ARP28" s="101"/>
      <c r="ARQ28" s="101"/>
      <c r="ARR28" s="101"/>
      <c r="ARS28" s="101"/>
      <c r="ART28" s="101"/>
      <c r="ARU28" s="101"/>
      <c r="ARV28" s="101"/>
      <c r="ARW28" s="101"/>
      <c r="ARX28" s="101"/>
      <c r="ARY28" s="101"/>
      <c r="ARZ28" s="101"/>
      <c r="ASA28" s="101"/>
      <c r="ASB28" s="101"/>
      <c r="ASC28" s="101"/>
      <c r="ASD28" s="101"/>
      <c r="ASE28" s="101"/>
      <c r="ASF28" s="101"/>
      <c r="ASG28" s="101"/>
      <c r="ASH28" s="101"/>
      <c r="ASI28" s="101"/>
      <c r="ASJ28" s="101"/>
      <c r="ASK28" s="101"/>
      <c r="ASL28" s="101"/>
      <c r="ASM28" s="101"/>
      <c r="ASN28" s="101"/>
      <c r="ASO28" s="101"/>
      <c r="ASP28" s="101"/>
      <c r="ASQ28" s="101"/>
      <c r="ASR28" s="101"/>
      <c r="ASS28" s="101"/>
      <c r="AST28" s="101"/>
      <c r="ASU28" s="101"/>
      <c r="ASV28" s="101"/>
      <c r="ASW28" s="101"/>
      <c r="ASX28" s="101"/>
      <c r="ASY28" s="101"/>
      <c r="ASZ28" s="101"/>
      <c r="ATA28" s="101"/>
      <c r="ATB28" s="101"/>
      <c r="ATC28" s="101"/>
      <c r="ATD28" s="101"/>
      <c r="ATE28" s="101"/>
      <c r="ATF28" s="101"/>
      <c r="ATG28" s="101"/>
      <c r="ATH28" s="101"/>
      <c r="ATI28" s="101"/>
      <c r="ATJ28" s="101"/>
      <c r="ATK28" s="101"/>
      <c r="ATL28" s="101"/>
      <c r="ATM28" s="101"/>
      <c r="ATN28" s="101"/>
      <c r="ATO28" s="101"/>
      <c r="ATP28" s="101"/>
      <c r="ATQ28" s="101"/>
      <c r="ATR28" s="101"/>
      <c r="ATS28" s="101"/>
      <c r="ATT28" s="101"/>
      <c r="ATU28" s="101"/>
      <c r="ATV28" s="101"/>
      <c r="ATW28" s="101"/>
      <c r="ATX28" s="101"/>
      <c r="ATY28" s="101"/>
      <c r="ATZ28" s="101"/>
      <c r="AUA28" s="101"/>
      <c r="AUB28" s="101"/>
      <c r="AUC28" s="101"/>
      <c r="AUD28" s="101"/>
      <c r="AUE28" s="101"/>
      <c r="AUF28" s="101"/>
      <c r="AUG28" s="101"/>
      <c r="AUH28" s="101"/>
      <c r="AUI28" s="101"/>
      <c r="AUJ28" s="101"/>
      <c r="AUK28" s="101"/>
      <c r="AUL28" s="101"/>
      <c r="AUM28" s="101"/>
      <c r="AUN28" s="101"/>
      <c r="AUO28" s="101"/>
      <c r="AUP28" s="101"/>
      <c r="AUQ28" s="101"/>
      <c r="AUR28" s="101"/>
      <c r="AUS28" s="101"/>
      <c r="AUT28" s="101"/>
      <c r="AUU28" s="101"/>
      <c r="AUV28" s="101"/>
      <c r="AUW28" s="101"/>
      <c r="AUX28" s="101"/>
      <c r="AUY28" s="101"/>
      <c r="AUZ28" s="101"/>
      <c r="AVA28" s="101"/>
      <c r="AVB28" s="101"/>
      <c r="AVC28" s="101"/>
      <c r="AVD28" s="101"/>
      <c r="AVE28" s="101"/>
      <c r="AVF28" s="101"/>
      <c r="AVG28" s="101"/>
      <c r="AVH28" s="101"/>
      <c r="AVI28" s="101"/>
      <c r="AVJ28" s="101"/>
      <c r="AVK28" s="101"/>
      <c r="AVL28" s="101"/>
      <c r="AVM28" s="101"/>
      <c r="AVN28" s="101"/>
      <c r="AVO28" s="101"/>
      <c r="AVP28" s="101"/>
      <c r="AVQ28" s="101"/>
      <c r="AVR28" s="101"/>
      <c r="AVS28" s="101"/>
      <c r="AVT28" s="101"/>
      <c r="AVU28" s="101"/>
      <c r="AVV28" s="101"/>
      <c r="AVW28" s="101"/>
      <c r="AVX28" s="101"/>
      <c r="AVY28" s="101"/>
      <c r="AVZ28" s="101"/>
      <c r="AWA28" s="101"/>
      <c r="AWB28" s="101"/>
      <c r="AWC28" s="101"/>
      <c r="AWD28" s="101"/>
      <c r="AWE28" s="101"/>
      <c r="AWF28" s="101"/>
      <c r="AWG28" s="101"/>
      <c r="AWH28" s="101"/>
      <c r="AWI28" s="101"/>
      <c r="AWJ28" s="101"/>
      <c r="AWK28" s="101"/>
      <c r="AWL28" s="101"/>
      <c r="AWM28" s="101"/>
      <c r="AWN28" s="101"/>
      <c r="AWO28" s="101"/>
      <c r="AWP28" s="101"/>
      <c r="AWQ28" s="101"/>
      <c r="AWR28" s="101"/>
      <c r="AWS28" s="101"/>
      <c r="AWT28" s="101"/>
      <c r="AWU28" s="101"/>
      <c r="AWV28" s="101"/>
      <c r="AWW28" s="101"/>
      <c r="AWX28" s="101"/>
      <c r="AWY28" s="101"/>
      <c r="AWZ28" s="101"/>
      <c r="AXA28" s="101"/>
      <c r="AXB28" s="101"/>
      <c r="AXC28" s="101"/>
      <c r="AXD28" s="101"/>
      <c r="AXE28" s="101"/>
      <c r="AXF28" s="101"/>
      <c r="AXG28" s="101"/>
      <c r="AXH28" s="101"/>
      <c r="AXI28" s="101"/>
      <c r="AXJ28" s="101"/>
      <c r="AXK28" s="101"/>
      <c r="AXL28" s="101"/>
      <c r="AXM28" s="101"/>
      <c r="AXN28" s="101"/>
      <c r="AXO28" s="101"/>
      <c r="AXP28" s="101"/>
      <c r="AXQ28" s="101"/>
      <c r="AXR28" s="101"/>
      <c r="AXS28" s="101"/>
      <c r="AXT28" s="101"/>
      <c r="AXU28" s="101"/>
      <c r="AXV28" s="101"/>
      <c r="AXW28" s="101"/>
      <c r="AXX28" s="101"/>
      <c r="AXY28" s="101"/>
      <c r="AXZ28" s="101"/>
      <c r="AYA28" s="101"/>
      <c r="AYB28" s="101"/>
      <c r="AYC28" s="101"/>
      <c r="AYD28" s="101"/>
      <c r="AYE28" s="101"/>
      <c r="AYF28" s="101"/>
      <c r="AYG28" s="101"/>
      <c r="AYH28" s="101"/>
      <c r="AYI28" s="101"/>
      <c r="AYJ28" s="101"/>
      <c r="AYK28" s="101"/>
      <c r="AYL28" s="101"/>
      <c r="AYM28" s="101"/>
      <c r="AYN28" s="101"/>
      <c r="AYO28" s="101"/>
      <c r="AYP28" s="101"/>
      <c r="AYQ28" s="101"/>
      <c r="AYR28" s="101"/>
      <c r="AYS28" s="101"/>
      <c r="AYT28" s="101"/>
      <c r="AYU28" s="101"/>
      <c r="AYV28" s="101"/>
      <c r="AYW28" s="101"/>
      <c r="AYX28" s="101"/>
      <c r="AYY28" s="101"/>
      <c r="AYZ28" s="101"/>
      <c r="AZA28" s="101"/>
      <c r="AZB28" s="101"/>
      <c r="AZC28" s="101"/>
      <c r="AZD28" s="101"/>
      <c r="AZE28" s="101"/>
      <c r="AZF28" s="101"/>
      <c r="AZG28" s="101"/>
      <c r="AZH28" s="101"/>
      <c r="AZI28" s="101"/>
      <c r="AZJ28" s="101"/>
      <c r="AZK28" s="101"/>
      <c r="AZL28" s="101"/>
      <c r="AZM28" s="101"/>
      <c r="AZN28" s="101"/>
      <c r="AZO28" s="101"/>
      <c r="AZP28" s="101"/>
      <c r="AZQ28" s="101"/>
      <c r="AZR28" s="101"/>
      <c r="AZS28" s="101"/>
      <c r="AZT28" s="101"/>
      <c r="AZU28" s="101"/>
      <c r="AZV28" s="101"/>
      <c r="AZW28" s="101"/>
      <c r="AZX28" s="101"/>
      <c r="AZY28" s="101"/>
      <c r="AZZ28" s="101"/>
      <c r="BAA28" s="101"/>
      <c r="BAB28" s="101"/>
      <c r="BAC28" s="101"/>
      <c r="BAD28" s="101"/>
      <c r="BAE28" s="101"/>
      <c r="BAF28" s="101"/>
      <c r="BAG28" s="101"/>
      <c r="BAH28" s="101"/>
      <c r="BAI28" s="101"/>
      <c r="BAJ28" s="101"/>
      <c r="BAK28" s="101"/>
      <c r="BAL28" s="101"/>
      <c r="BAM28" s="101"/>
      <c r="BAN28" s="101"/>
      <c r="BAO28" s="101"/>
      <c r="BAP28" s="101"/>
      <c r="BAQ28" s="101"/>
      <c r="BAR28" s="101"/>
      <c r="BAS28" s="101"/>
      <c r="BAT28" s="101"/>
      <c r="BAU28" s="101"/>
      <c r="BAV28" s="101"/>
      <c r="BAW28" s="101"/>
      <c r="BAX28" s="101"/>
      <c r="BAY28" s="101"/>
      <c r="BAZ28" s="101"/>
      <c r="BBA28" s="101"/>
      <c r="BBB28" s="101"/>
      <c r="BBC28" s="101"/>
      <c r="BBD28" s="101"/>
      <c r="BBE28" s="101"/>
      <c r="BBF28" s="101"/>
      <c r="BBG28" s="101"/>
      <c r="BBH28" s="101"/>
      <c r="BBI28" s="101"/>
      <c r="BBJ28" s="101"/>
      <c r="BBK28" s="101"/>
      <c r="BBL28" s="101"/>
      <c r="BBM28" s="101"/>
      <c r="BBN28" s="101"/>
      <c r="BBO28" s="101"/>
      <c r="BBP28" s="101"/>
      <c r="BBQ28" s="101"/>
      <c r="BBR28" s="101"/>
      <c r="BBS28" s="101"/>
      <c r="BBT28" s="101"/>
      <c r="BBU28" s="101"/>
      <c r="BBV28" s="101"/>
      <c r="BBW28" s="101"/>
      <c r="BBX28" s="101"/>
      <c r="BBY28" s="101"/>
      <c r="BBZ28" s="101"/>
      <c r="BCA28" s="101"/>
      <c r="BCB28" s="101"/>
      <c r="BCC28" s="101"/>
      <c r="BCD28" s="101"/>
      <c r="BCE28" s="101"/>
      <c r="BCF28" s="101"/>
      <c r="BCG28" s="101"/>
      <c r="BCH28" s="101"/>
      <c r="BCI28" s="101"/>
      <c r="BCJ28" s="101"/>
      <c r="BCK28" s="101"/>
      <c r="BCL28" s="101"/>
      <c r="BCM28" s="101"/>
      <c r="BCN28" s="101"/>
      <c r="BCO28" s="101"/>
      <c r="BCP28" s="101"/>
      <c r="BCQ28" s="101"/>
      <c r="BCR28" s="101"/>
      <c r="BCS28" s="101"/>
      <c r="BCT28" s="101"/>
      <c r="BCU28" s="101"/>
      <c r="BCV28" s="101"/>
      <c r="BCW28" s="101"/>
      <c r="BCX28" s="101"/>
      <c r="BCY28" s="101"/>
      <c r="BCZ28" s="101"/>
      <c r="BDA28" s="101"/>
      <c r="BDB28" s="101"/>
      <c r="BDC28" s="101"/>
      <c r="BDD28" s="101"/>
      <c r="BDE28" s="101"/>
      <c r="BDF28" s="101"/>
      <c r="BDG28" s="101"/>
      <c r="BDH28" s="101"/>
      <c r="BDI28" s="101"/>
      <c r="BDJ28" s="101"/>
      <c r="BDK28" s="101"/>
      <c r="BDL28" s="101"/>
      <c r="BDM28" s="101"/>
      <c r="BDN28" s="101"/>
      <c r="BDO28" s="101"/>
      <c r="BDP28" s="101"/>
      <c r="BDQ28" s="101"/>
      <c r="BDR28" s="101"/>
      <c r="BDS28" s="101"/>
      <c r="BDT28" s="101"/>
      <c r="BDU28" s="101"/>
      <c r="BDV28" s="101"/>
      <c r="BDW28" s="101"/>
      <c r="BDX28" s="101"/>
      <c r="BDY28" s="101"/>
      <c r="BDZ28" s="101"/>
      <c r="BEA28" s="101"/>
      <c r="BEB28" s="101"/>
      <c r="BEC28" s="101"/>
      <c r="BED28" s="101"/>
      <c r="BEE28" s="101"/>
      <c r="BEF28" s="101"/>
      <c r="BEG28" s="101"/>
      <c r="BEH28" s="101"/>
      <c r="BEI28" s="101"/>
      <c r="BEJ28" s="101"/>
      <c r="BEK28" s="101"/>
      <c r="BEL28" s="101"/>
      <c r="BEM28" s="101"/>
      <c r="BEN28" s="101"/>
      <c r="BEO28" s="101"/>
      <c r="BEP28" s="101"/>
      <c r="BEQ28" s="101"/>
      <c r="BER28" s="101"/>
      <c r="BES28" s="101"/>
      <c r="BET28" s="101"/>
      <c r="BEU28" s="101"/>
      <c r="BEV28" s="101"/>
      <c r="BEW28" s="101"/>
      <c r="BEX28" s="101"/>
      <c r="BEY28" s="101"/>
      <c r="BEZ28" s="101"/>
      <c r="BFA28" s="101"/>
      <c r="BFB28" s="101"/>
      <c r="BFC28" s="101"/>
      <c r="BFD28" s="101"/>
      <c r="BFE28" s="101"/>
      <c r="BFF28" s="101"/>
      <c r="BFG28" s="101"/>
      <c r="BFH28" s="101"/>
      <c r="BFI28" s="101"/>
      <c r="BFJ28" s="101"/>
      <c r="BFK28" s="101"/>
      <c r="BFL28" s="101"/>
      <c r="BFM28" s="101"/>
      <c r="BFN28" s="101"/>
      <c r="BFO28" s="101"/>
      <c r="BFP28" s="101"/>
      <c r="BFQ28" s="101"/>
      <c r="BFR28" s="101"/>
      <c r="BFS28" s="101"/>
      <c r="BFT28" s="101"/>
      <c r="BFU28" s="101"/>
      <c r="BFV28" s="101"/>
      <c r="BFW28" s="101"/>
      <c r="BFX28" s="101"/>
      <c r="BFY28" s="101"/>
      <c r="BFZ28" s="101"/>
      <c r="BGA28" s="101"/>
      <c r="BGB28" s="101"/>
      <c r="BGC28" s="101"/>
      <c r="BGD28" s="101"/>
      <c r="BGE28" s="101"/>
      <c r="BGF28" s="101"/>
      <c r="BGG28" s="101"/>
      <c r="BGH28" s="101"/>
      <c r="BGI28" s="101"/>
      <c r="BGJ28" s="101"/>
      <c r="BGK28" s="101"/>
      <c r="BGL28" s="101"/>
      <c r="BGM28" s="101"/>
      <c r="BGN28" s="101"/>
      <c r="BGO28" s="101"/>
      <c r="BGP28" s="101"/>
      <c r="BGQ28" s="101"/>
      <c r="BGR28" s="101"/>
      <c r="BGS28" s="101"/>
      <c r="BGT28" s="101"/>
      <c r="BGU28" s="101"/>
      <c r="BGV28" s="101"/>
      <c r="BGW28" s="101"/>
      <c r="BGX28" s="101"/>
      <c r="BGY28" s="101"/>
      <c r="BGZ28" s="101"/>
      <c r="BHA28" s="101"/>
      <c r="BHB28" s="101"/>
      <c r="BHC28" s="101"/>
      <c r="BHD28" s="101"/>
      <c r="BHE28" s="101"/>
      <c r="BHF28" s="101"/>
      <c r="BHG28" s="101"/>
      <c r="BHH28" s="101"/>
      <c r="BHI28" s="101"/>
      <c r="BHJ28" s="101"/>
      <c r="BHK28" s="101"/>
      <c r="BHL28" s="101"/>
      <c r="BHM28" s="101"/>
      <c r="BHN28" s="101"/>
      <c r="BHO28" s="101"/>
      <c r="BHP28" s="101"/>
      <c r="BHQ28" s="101"/>
      <c r="BHR28" s="101"/>
      <c r="BHS28" s="101"/>
      <c r="BHT28" s="101"/>
      <c r="BHU28" s="101"/>
      <c r="BHV28" s="101"/>
      <c r="BHW28" s="101"/>
      <c r="BHX28" s="101"/>
      <c r="BHY28" s="101"/>
      <c r="BHZ28" s="101"/>
      <c r="BIA28" s="101"/>
      <c r="BIB28" s="101"/>
      <c r="BIC28" s="101"/>
      <c r="BID28" s="101"/>
      <c r="BIE28" s="101"/>
      <c r="BIF28" s="101"/>
      <c r="BIG28" s="101"/>
      <c r="BIH28" s="101"/>
      <c r="BII28" s="101"/>
      <c r="BIJ28" s="101"/>
      <c r="BIK28" s="101"/>
      <c r="BIL28" s="101"/>
      <c r="BIM28" s="101"/>
      <c r="BIN28" s="101"/>
      <c r="BIO28" s="101"/>
      <c r="BIP28" s="101"/>
      <c r="BIQ28" s="101"/>
      <c r="BIR28" s="101"/>
      <c r="BIS28" s="101"/>
      <c r="BIT28" s="101"/>
      <c r="BIU28" s="101"/>
      <c r="BIV28" s="101"/>
      <c r="BIW28" s="101"/>
      <c r="BIX28" s="101"/>
      <c r="BIY28" s="101"/>
      <c r="BIZ28" s="101"/>
      <c r="BJA28" s="101"/>
      <c r="BJB28" s="101"/>
      <c r="BJC28" s="101"/>
      <c r="BJD28" s="101"/>
      <c r="BJE28" s="101"/>
      <c r="BJF28" s="101"/>
      <c r="BJG28" s="101"/>
      <c r="BJH28" s="101"/>
      <c r="BJI28" s="101"/>
      <c r="BJJ28" s="101"/>
      <c r="BJK28" s="101"/>
      <c r="BJL28" s="101"/>
      <c r="BJM28" s="101"/>
      <c r="BJN28" s="101"/>
      <c r="BJO28" s="101"/>
      <c r="BJP28" s="101"/>
      <c r="BJQ28" s="101"/>
      <c r="BJR28" s="101"/>
      <c r="BJS28" s="101"/>
      <c r="BJT28" s="101"/>
      <c r="BJU28" s="101"/>
      <c r="BJV28" s="101"/>
      <c r="BJW28" s="101"/>
      <c r="BJX28" s="101"/>
      <c r="BJY28" s="101"/>
      <c r="BJZ28" s="101"/>
      <c r="BKA28" s="101"/>
      <c r="BKB28" s="101"/>
      <c r="BKC28" s="101"/>
      <c r="BKD28" s="101"/>
      <c r="BKE28" s="101"/>
      <c r="BKF28" s="101"/>
      <c r="BKG28" s="101"/>
      <c r="BKH28" s="101"/>
      <c r="BKI28" s="101"/>
      <c r="BKJ28" s="101"/>
      <c r="BKK28" s="101"/>
      <c r="BKL28" s="101"/>
      <c r="BKM28" s="101"/>
      <c r="BKN28" s="101"/>
      <c r="BKO28" s="101"/>
      <c r="BKP28" s="101"/>
      <c r="BKQ28" s="101"/>
      <c r="BKR28" s="101"/>
      <c r="BKS28" s="101"/>
      <c r="BKT28" s="101"/>
      <c r="BKU28" s="101"/>
      <c r="BKV28" s="101"/>
      <c r="BKW28" s="101"/>
      <c r="BKX28" s="101"/>
      <c r="BKY28" s="101"/>
      <c r="BKZ28" s="101"/>
      <c r="BLA28" s="101"/>
      <c r="BLB28" s="101"/>
      <c r="BLC28" s="101"/>
      <c r="BLD28" s="101"/>
      <c r="BLE28" s="101"/>
      <c r="BLF28" s="101"/>
      <c r="BLG28" s="101"/>
      <c r="BLH28" s="101"/>
      <c r="BLI28" s="101"/>
      <c r="BLJ28" s="101"/>
      <c r="BLK28" s="101"/>
      <c r="BLL28" s="101"/>
      <c r="BLM28" s="101"/>
      <c r="BLN28" s="101"/>
      <c r="BLO28" s="101"/>
      <c r="BLP28" s="101"/>
      <c r="BLQ28" s="101"/>
      <c r="BLR28" s="101"/>
      <c r="BLS28" s="101"/>
      <c r="BLT28" s="101"/>
      <c r="BLU28" s="101"/>
      <c r="BLV28" s="101"/>
      <c r="BLW28" s="101"/>
      <c r="BLX28" s="101"/>
      <c r="BLY28" s="101"/>
      <c r="BLZ28" s="101"/>
      <c r="BMA28" s="101"/>
      <c r="BMB28" s="101"/>
      <c r="BMC28" s="101"/>
      <c r="BMD28" s="101"/>
      <c r="BME28" s="101"/>
      <c r="BMF28" s="101"/>
      <c r="BMG28" s="101"/>
      <c r="BMH28" s="101"/>
      <c r="BMI28" s="101"/>
      <c r="BMJ28" s="101"/>
      <c r="BMK28" s="101"/>
      <c r="BML28" s="101"/>
      <c r="BMM28" s="101"/>
      <c r="BMN28" s="101"/>
      <c r="BMO28" s="101"/>
      <c r="BMP28" s="101"/>
      <c r="BMQ28" s="101"/>
      <c r="BMR28" s="101"/>
      <c r="BMS28" s="101"/>
      <c r="BMT28" s="101"/>
      <c r="BMU28" s="101"/>
      <c r="BMV28" s="101"/>
      <c r="BMW28" s="101"/>
      <c r="BMX28" s="101"/>
      <c r="BMY28" s="101"/>
      <c r="BMZ28" s="101"/>
      <c r="BNA28" s="101"/>
      <c r="BNB28" s="101"/>
      <c r="BNC28" s="101"/>
      <c r="BND28" s="101"/>
      <c r="BNE28" s="101"/>
      <c r="BNF28" s="101"/>
      <c r="BNG28" s="101"/>
      <c r="BNH28" s="101"/>
      <c r="BNI28" s="101"/>
      <c r="BNJ28" s="101"/>
      <c r="BNK28" s="101"/>
      <c r="BNL28" s="101"/>
      <c r="BNM28" s="101"/>
      <c r="BNN28" s="101"/>
      <c r="BNO28" s="101"/>
      <c r="BNP28" s="101"/>
      <c r="BNQ28" s="101"/>
      <c r="BNR28" s="101"/>
      <c r="BNS28" s="101"/>
      <c r="BNT28" s="101"/>
      <c r="BNU28" s="101"/>
      <c r="BNV28" s="101"/>
      <c r="BNW28" s="101"/>
      <c r="BNX28" s="101"/>
      <c r="BNY28" s="101"/>
      <c r="BNZ28" s="101"/>
      <c r="BOA28" s="101"/>
      <c r="BOB28" s="101"/>
      <c r="BOC28" s="101"/>
      <c r="BOD28" s="101"/>
      <c r="BOE28" s="101"/>
      <c r="BOF28" s="101"/>
      <c r="BOG28" s="101"/>
      <c r="BOH28" s="101"/>
      <c r="BOI28" s="101"/>
      <c r="BOJ28" s="101"/>
      <c r="BOK28" s="101"/>
      <c r="BOL28" s="101"/>
      <c r="BOM28" s="101"/>
      <c r="BON28" s="101"/>
      <c r="BOO28" s="101"/>
      <c r="BOP28" s="101"/>
      <c r="BOQ28" s="101"/>
      <c r="BOR28" s="101"/>
      <c r="BOS28" s="101"/>
      <c r="BOT28" s="101"/>
      <c r="BOU28" s="101"/>
      <c r="BOV28" s="101"/>
      <c r="BOW28" s="101"/>
      <c r="BOX28" s="101"/>
      <c r="BOY28" s="101"/>
      <c r="BOZ28" s="101"/>
      <c r="BPA28" s="101"/>
      <c r="BPB28" s="101"/>
      <c r="BPC28" s="167"/>
    </row>
    <row r="29" s="103" customFormat="1" ht="75" customHeight="1" outlineLevel="1" spans="1:1024 1025:1771">
      <c r="A29" s="157" t="s">
        <v>112</v>
      </c>
      <c r="B29" s="151" t="s">
        <v>1078</v>
      </c>
      <c r="C29" s="158" t="s">
        <v>1079</v>
      </c>
      <c r="D29" s="153" t="s">
        <v>1044</v>
      </c>
      <c r="E29" s="154"/>
      <c r="F29" s="159"/>
      <c r="G29" s="160"/>
      <c r="H29" s="155">
        <v>46137</v>
      </c>
      <c r="I29" s="156" t="s">
        <v>7</v>
      </c>
      <c r="J29" s="153"/>
      <c r="K29" s="5"/>
      <c r="L29" s="5" t="s">
        <v>1041</v>
      </c>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c r="DK29" s="101"/>
      <c r="DL29" s="101"/>
      <c r="DM29" s="101"/>
      <c r="DN29" s="101"/>
      <c r="DO29" s="101"/>
      <c r="DP29" s="101"/>
      <c r="DQ29" s="101"/>
      <c r="DR29" s="101"/>
      <c r="DS29" s="101"/>
      <c r="DT29" s="101"/>
      <c r="DU29" s="101"/>
      <c r="DV29" s="101"/>
      <c r="DW29" s="101"/>
      <c r="DX29" s="101"/>
      <c r="DY29" s="101"/>
      <c r="DZ29" s="101"/>
      <c r="EA29" s="101"/>
      <c r="EB29" s="101"/>
      <c r="EC29" s="101"/>
      <c r="ED29" s="101"/>
      <c r="EE29" s="101"/>
      <c r="EF29" s="101"/>
      <c r="EG29" s="101"/>
      <c r="EH29" s="101"/>
      <c r="EI29" s="101"/>
      <c r="EJ29" s="101"/>
      <c r="EK29" s="101"/>
      <c r="EL29" s="101"/>
      <c r="EM29" s="101"/>
      <c r="EN29" s="101"/>
      <c r="EO29" s="101"/>
      <c r="EP29" s="101"/>
      <c r="EQ29" s="101"/>
      <c r="ER29" s="101"/>
      <c r="ES29" s="101"/>
      <c r="ET29" s="101"/>
      <c r="EU29" s="101"/>
      <c r="EV29" s="101"/>
      <c r="EW29" s="101"/>
      <c r="EX29" s="101"/>
      <c r="EY29" s="101"/>
      <c r="EZ29" s="101"/>
      <c r="FA29" s="101"/>
      <c r="FB29" s="101"/>
      <c r="FC29" s="101"/>
      <c r="FD29" s="101"/>
      <c r="FE29" s="101"/>
      <c r="FF29" s="101"/>
      <c r="FG29" s="101"/>
      <c r="FH29" s="101"/>
      <c r="FI29" s="101"/>
      <c r="FJ29" s="101"/>
      <c r="FK29" s="101"/>
      <c r="FL29" s="101"/>
      <c r="FM29" s="101"/>
      <c r="FN29" s="101"/>
      <c r="FO29" s="101"/>
      <c r="FP29" s="101"/>
      <c r="FQ29" s="101"/>
      <c r="FR29" s="101"/>
      <c r="FS29" s="101"/>
      <c r="FT29" s="101"/>
      <c r="FU29" s="101"/>
      <c r="FV29" s="101"/>
      <c r="FW29" s="101"/>
      <c r="FX29" s="101"/>
      <c r="FY29" s="101"/>
      <c r="FZ29" s="101"/>
      <c r="GA29" s="101"/>
      <c r="GB29" s="101"/>
      <c r="GC29" s="101"/>
      <c r="GD29" s="101"/>
      <c r="GE29" s="101"/>
      <c r="GF29" s="101"/>
      <c r="GG29" s="101"/>
      <c r="GH29" s="101"/>
      <c r="GI29" s="101"/>
      <c r="GJ29" s="101"/>
      <c r="GK29" s="101"/>
      <c r="GL29" s="101"/>
      <c r="GM29" s="101"/>
      <c r="GN29" s="101"/>
      <c r="GO29" s="101"/>
      <c r="GP29" s="101"/>
      <c r="GQ29" s="101"/>
      <c r="GR29" s="101"/>
      <c r="GS29" s="101"/>
      <c r="GT29" s="101"/>
      <c r="GU29" s="101"/>
      <c r="GV29" s="101"/>
      <c r="GW29" s="101"/>
      <c r="GX29" s="101"/>
      <c r="GY29" s="101"/>
      <c r="GZ29" s="101"/>
      <c r="HA29" s="101"/>
      <c r="HB29" s="101"/>
      <c r="HC29" s="101"/>
      <c r="HD29" s="101"/>
      <c r="HE29" s="101"/>
      <c r="HF29" s="101"/>
      <c r="HG29" s="101"/>
      <c r="HH29" s="101"/>
      <c r="HI29" s="101"/>
      <c r="HJ29" s="101"/>
      <c r="HK29" s="101"/>
      <c r="HL29" s="101"/>
      <c r="HM29" s="101"/>
      <c r="HN29" s="101"/>
      <c r="HO29" s="101"/>
      <c r="HP29" s="101"/>
      <c r="HQ29" s="101"/>
      <c r="HR29" s="101"/>
      <c r="HS29" s="101"/>
      <c r="HT29" s="101"/>
      <c r="HU29" s="101"/>
      <c r="HV29" s="101"/>
      <c r="HW29" s="101"/>
      <c r="HX29" s="101"/>
      <c r="HY29" s="101"/>
      <c r="HZ29" s="101"/>
      <c r="IA29" s="101"/>
      <c r="IB29" s="101"/>
      <c r="IC29" s="101"/>
      <c r="ID29" s="101"/>
      <c r="IE29" s="101"/>
      <c r="IF29" s="101"/>
      <c r="IG29" s="101"/>
      <c r="IH29" s="101"/>
      <c r="II29" s="101"/>
      <c r="IJ29" s="101"/>
      <c r="IK29" s="101"/>
      <c r="IL29" s="101"/>
      <c r="IM29" s="101"/>
      <c r="IN29" s="101"/>
      <c r="IO29" s="101"/>
      <c r="IP29" s="101"/>
      <c r="IQ29" s="101"/>
      <c r="IR29" s="101"/>
      <c r="IS29" s="101"/>
      <c r="IT29" s="101"/>
      <c r="IU29" s="101"/>
      <c r="IV29" s="101"/>
      <c r="IW29" s="101"/>
      <c r="IX29" s="101"/>
      <c r="IY29" s="101"/>
      <c r="IZ29" s="101"/>
      <c r="JA29" s="101"/>
      <c r="JB29" s="101"/>
      <c r="JC29" s="101"/>
      <c r="JD29" s="101"/>
      <c r="JE29" s="101"/>
      <c r="JF29" s="101"/>
      <c r="JG29" s="101"/>
      <c r="JH29" s="101"/>
      <c r="JI29" s="101"/>
      <c r="JJ29" s="101"/>
      <c r="JK29" s="101"/>
      <c r="JL29" s="101"/>
      <c r="JM29" s="101"/>
      <c r="JN29" s="101"/>
      <c r="JO29" s="101"/>
      <c r="JP29" s="101"/>
      <c r="JQ29" s="101"/>
      <c r="JR29" s="101"/>
      <c r="JS29" s="101"/>
      <c r="JT29" s="101"/>
      <c r="JU29" s="101"/>
      <c r="JV29" s="101"/>
      <c r="JW29" s="101"/>
      <c r="JX29" s="101"/>
      <c r="JY29" s="101"/>
      <c r="JZ29" s="101"/>
      <c r="KA29" s="101"/>
      <c r="KB29" s="101"/>
      <c r="KC29" s="101"/>
      <c r="KD29" s="101"/>
      <c r="KE29" s="101"/>
      <c r="KF29" s="101"/>
      <c r="KG29" s="101"/>
      <c r="KH29" s="101"/>
      <c r="KI29" s="101"/>
      <c r="KJ29" s="101"/>
      <c r="KK29" s="101"/>
      <c r="KL29" s="101"/>
      <c r="KM29" s="101"/>
      <c r="KN29" s="101"/>
      <c r="KO29" s="101"/>
      <c r="KP29" s="101"/>
      <c r="KQ29" s="101"/>
      <c r="KR29" s="101"/>
      <c r="KS29" s="101"/>
      <c r="KT29" s="101"/>
      <c r="KU29" s="101"/>
      <c r="KV29" s="101"/>
      <c r="KW29" s="101"/>
      <c r="KX29" s="101"/>
      <c r="KY29" s="101"/>
      <c r="KZ29" s="101"/>
      <c r="LA29" s="101"/>
      <c r="LB29" s="101"/>
      <c r="LC29" s="101"/>
      <c r="LD29" s="101"/>
      <c r="LE29" s="101"/>
      <c r="LF29" s="101"/>
      <c r="LG29" s="101"/>
      <c r="LH29" s="101"/>
      <c r="LI29" s="101"/>
      <c r="LJ29" s="101"/>
      <c r="LK29" s="101"/>
      <c r="LL29" s="101"/>
      <c r="LM29" s="101"/>
      <c r="LN29" s="101"/>
      <c r="LO29" s="101"/>
      <c r="LP29" s="101"/>
      <c r="LQ29" s="101"/>
      <c r="LR29" s="101"/>
      <c r="LS29" s="101"/>
      <c r="LT29" s="101"/>
      <c r="LU29" s="101"/>
      <c r="LV29" s="101"/>
      <c r="LW29" s="101"/>
      <c r="LX29" s="101"/>
      <c r="LY29" s="101"/>
      <c r="LZ29" s="101"/>
      <c r="MA29" s="101"/>
      <c r="MB29" s="101"/>
      <c r="MC29" s="101"/>
      <c r="MD29" s="101"/>
      <c r="ME29" s="101"/>
      <c r="MF29" s="101"/>
      <c r="MG29" s="101"/>
      <c r="MH29" s="101"/>
      <c r="MI29" s="101"/>
      <c r="MJ29" s="101"/>
      <c r="MK29" s="101"/>
      <c r="ML29" s="101"/>
      <c r="MM29" s="101"/>
      <c r="MN29" s="101"/>
      <c r="MO29" s="101"/>
      <c r="MP29" s="101"/>
      <c r="MQ29" s="101"/>
      <c r="MR29" s="101"/>
      <c r="MS29" s="101"/>
      <c r="MT29" s="101"/>
      <c r="MU29" s="101"/>
      <c r="MV29" s="101"/>
      <c r="MW29" s="101"/>
      <c r="MX29" s="101"/>
      <c r="MY29" s="101"/>
      <c r="MZ29" s="101"/>
      <c r="NA29" s="101"/>
      <c r="NB29" s="101"/>
      <c r="NC29" s="101"/>
      <c r="ND29" s="101"/>
      <c r="NE29" s="101"/>
      <c r="NF29" s="101"/>
      <c r="NG29" s="101"/>
      <c r="NH29" s="101"/>
      <c r="NI29" s="101"/>
      <c r="NJ29" s="101"/>
      <c r="NK29" s="101"/>
      <c r="NL29" s="101"/>
      <c r="NM29" s="101"/>
      <c r="NN29" s="101"/>
      <c r="NO29" s="101"/>
      <c r="NP29" s="101"/>
      <c r="NQ29" s="101"/>
      <c r="NR29" s="101"/>
      <c r="NS29" s="101"/>
      <c r="NT29" s="101"/>
      <c r="NU29" s="101"/>
      <c r="NV29" s="101"/>
      <c r="NW29" s="101"/>
      <c r="NX29" s="101"/>
      <c r="NY29" s="101"/>
      <c r="NZ29" s="101"/>
      <c r="OA29" s="101"/>
      <c r="OB29" s="101"/>
      <c r="OC29" s="101"/>
      <c r="OD29" s="101"/>
      <c r="OE29" s="101"/>
      <c r="OF29" s="101"/>
      <c r="OG29" s="101"/>
      <c r="OH29" s="101"/>
      <c r="OI29" s="101"/>
      <c r="OJ29" s="101"/>
      <c r="OK29" s="101"/>
      <c r="OL29" s="101"/>
      <c r="OM29" s="101"/>
      <c r="ON29" s="101"/>
      <c r="OO29" s="101"/>
      <c r="OP29" s="101"/>
      <c r="OQ29" s="101"/>
      <c r="OR29" s="101"/>
      <c r="OS29" s="101"/>
      <c r="OT29" s="101"/>
      <c r="OU29" s="101"/>
      <c r="OV29" s="101"/>
      <c r="OW29" s="101"/>
      <c r="OX29" s="101"/>
      <c r="OY29" s="101"/>
      <c r="OZ29" s="101"/>
      <c r="PA29" s="101"/>
      <c r="PB29" s="101"/>
      <c r="PC29" s="101"/>
      <c r="PD29" s="101"/>
      <c r="PE29" s="101"/>
      <c r="PF29" s="101"/>
      <c r="PG29" s="101"/>
      <c r="PH29" s="101"/>
      <c r="PI29" s="101"/>
      <c r="PJ29" s="101"/>
      <c r="PK29" s="101"/>
      <c r="PL29" s="101"/>
      <c r="PM29" s="101"/>
      <c r="PN29" s="101"/>
      <c r="PO29" s="101"/>
      <c r="PP29" s="101"/>
      <c r="PQ29" s="101"/>
      <c r="PR29" s="101"/>
      <c r="PS29" s="101"/>
      <c r="PT29" s="101"/>
      <c r="PU29" s="101"/>
      <c r="PV29" s="101"/>
      <c r="PW29" s="101"/>
      <c r="PX29" s="101"/>
      <c r="PY29" s="101"/>
      <c r="PZ29" s="101"/>
      <c r="QA29" s="101"/>
      <c r="QB29" s="101"/>
      <c r="QC29" s="101"/>
      <c r="QD29" s="101"/>
      <c r="QE29" s="101"/>
      <c r="QF29" s="101"/>
      <c r="QG29" s="101"/>
      <c r="QH29" s="101"/>
      <c r="QI29" s="101"/>
      <c r="QJ29" s="101"/>
      <c r="QK29" s="101"/>
      <c r="QL29" s="101"/>
      <c r="QM29" s="101"/>
      <c r="QN29" s="101"/>
      <c r="QO29" s="101"/>
      <c r="QP29" s="101"/>
      <c r="QQ29" s="101"/>
      <c r="QR29" s="101"/>
      <c r="QS29" s="101"/>
      <c r="QT29" s="101"/>
      <c r="QU29" s="101"/>
      <c r="QV29" s="101"/>
      <c r="QW29" s="101"/>
      <c r="QX29" s="101"/>
      <c r="QY29" s="101"/>
      <c r="QZ29" s="101"/>
      <c r="RA29" s="101"/>
      <c r="RB29" s="101"/>
      <c r="RC29" s="101"/>
      <c r="RD29" s="101"/>
      <c r="RE29" s="101"/>
      <c r="RF29" s="101"/>
      <c r="RG29" s="101"/>
      <c r="RH29" s="101"/>
      <c r="RI29" s="101"/>
      <c r="RJ29" s="101"/>
      <c r="RK29" s="101"/>
      <c r="RL29" s="101"/>
      <c r="RM29" s="101"/>
      <c r="RN29" s="101"/>
      <c r="RO29" s="101"/>
      <c r="RP29" s="101"/>
      <c r="RQ29" s="101"/>
      <c r="RR29" s="101"/>
      <c r="RS29" s="101"/>
      <c r="RT29" s="101"/>
      <c r="RU29" s="101"/>
      <c r="RV29" s="101"/>
      <c r="RW29" s="101"/>
      <c r="RX29" s="101"/>
      <c r="RY29" s="101"/>
      <c r="RZ29" s="101"/>
      <c r="SA29" s="101"/>
      <c r="SB29" s="101"/>
      <c r="SC29" s="101"/>
      <c r="SD29" s="101"/>
      <c r="SE29" s="101"/>
      <c r="SF29" s="101"/>
      <c r="SG29" s="101"/>
      <c r="SH29" s="101"/>
      <c r="SI29" s="101"/>
      <c r="SJ29" s="101"/>
      <c r="SK29" s="101"/>
      <c r="SL29" s="101"/>
      <c r="SM29" s="101"/>
      <c r="SN29" s="101"/>
      <c r="SO29" s="101"/>
      <c r="SP29" s="101"/>
      <c r="SQ29" s="101"/>
      <c r="SR29" s="101"/>
      <c r="SS29" s="101"/>
      <c r="ST29" s="101"/>
      <c r="SU29" s="101"/>
      <c r="SV29" s="101"/>
      <c r="SW29" s="101"/>
      <c r="SX29" s="101"/>
      <c r="SY29" s="101"/>
      <c r="SZ29" s="101"/>
      <c r="TA29" s="101"/>
      <c r="TB29" s="101"/>
      <c r="TC29" s="101"/>
      <c r="TD29" s="101"/>
      <c r="TE29" s="101"/>
      <c r="TF29" s="101"/>
      <c r="TG29" s="101"/>
      <c r="TH29" s="101"/>
      <c r="TI29" s="101"/>
      <c r="TJ29" s="101"/>
      <c r="TK29" s="101"/>
      <c r="TL29" s="101"/>
      <c r="TM29" s="101"/>
      <c r="TN29" s="101"/>
      <c r="TO29" s="101"/>
      <c r="TP29" s="101"/>
      <c r="TQ29" s="101"/>
      <c r="TR29" s="101"/>
      <c r="TS29" s="101"/>
      <c r="TT29" s="101"/>
      <c r="TU29" s="101"/>
      <c r="TV29" s="101"/>
      <c r="TW29" s="101"/>
      <c r="TX29" s="101"/>
      <c r="TY29" s="101"/>
      <c r="TZ29" s="101"/>
      <c r="UA29" s="101"/>
      <c r="UB29" s="101"/>
      <c r="UC29" s="101"/>
      <c r="UD29" s="101"/>
      <c r="UE29" s="101"/>
      <c r="UF29" s="101"/>
      <c r="UG29" s="101"/>
      <c r="UH29" s="101"/>
      <c r="UI29" s="101"/>
      <c r="UJ29" s="101"/>
      <c r="UK29" s="101"/>
      <c r="UL29" s="101"/>
      <c r="UM29" s="101"/>
      <c r="UN29" s="101"/>
      <c r="UO29" s="101"/>
      <c r="UP29" s="101"/>
      <c r="UQ29" s="101"/>
      <c r="UR29" s="101"/>
      <c r="US29" s="101"/>
      <c r="UT29" s="101"/>
      <c r="UU29" s="101"/>
      <c r="UV29" s="101"/>
      <c r="UW29" s="101"/>
      <c r="UX29" s="101"/>
      <c r="UY29" s="101"/>
      <c r="UZ29" s="101"/>
      <c r="VA29" s="101"/>
      <c r="VB29" s="101"/>
      <c r="VC29" s="101"/>
      <c r="VD29" s="101"/>
      <c r="VE29" s="101"/>
      <c r="VF29" s="101"/>
      <c r="VG29" s="101"/>
      <c r="VH29" s="101"/>
      <c r="VI29" s="101"/>
      <c r="VJ29" s="101"/>
      <c r="VK29" s="101"/>
      <c r="VL29" s="101"/>
      <c r="VM29" s="101"/>
      <c r="VN29" s="101"/>
      <c r="VO29" s="101"/>
      <c r="VP29" s="101"/>
      <c r="VQ29" s="101"/>
      <c r="VR29" s="101"/>
      <c r="VS29" s="101"/>
      <c r="VT29" s="101"/>
      <c r="VU29" s="101"/>
      <c r="VV29" s="101"/>
      <c r="VW29" s="101"/>
      <c r="VX29" s="101"/>
      <c r="VY29" s="101"/>
      <c r="VZ29" s="101"/>
      <c r="WA29" s="101"/>
      <c r="WB29" s="101"/>
      <c r="WC29" s="101"/>
      <c r="WD29" s="101"/>
      <c r="WE29" s="101"/>
      <c r="WF29" s="101"/>
      <c r="WG29" s="101"/>
      <c r="WH29" s="101"/>
      <c r="WI29" s="101"/>
      <c r="WJ29" s="101"/>
      <c r="WK29" s="101"/>
      <c r="WL29" s="101"/>
      <c r="WM29" s="101"/>
      <c r="WN29" s="101"/>
      <c r="WO29" s="101"/>
      <c r="WP29" s="101"/>
      <c r="WQ29" s="101"/>
      <c r="WR29" s="101"/>
      <c r="WS29" s="101"/>
      <c r="WT29" s="101"/>
      <c r="WU29" s="101"/>
      <c r="WV29" s="101"/>
      <c r="WW29" s="101"/>
      <c r="WX29" s="101"/>
      <c r="WY29" s="101"/>
      <c r="WZ29" s="101"/>
      <c r="XA29" s="101"/>
      <c r="XB29" s="101"/>
      <c r="XC29" s="101"/>
      <c r="XD29" s="101"/>
      <c r="XE29" s="101"/>
      <c r="XF29" s="101"/>
      <c r="XG29" s="101"/>
      <c r="XH29" s="101"/>
      <c r="XI29" s="101"/>
      <c r="XJ29" s="101"/>
      <c r="XK29" s="101"/>
      <c r="XL29" s="101"/>
      <c r="XM29" s="101"/>
      <c r="XN29" s="101"/>
      <c r="XO29" s="101"/>
      <c r="XP29" s="101"/>
      <c r="XQ29" s="101"/>
      <c r="XR29" s="101"/>
      <c r="XS29" s="101"/>
      <c r="XT29" s="101"/>
      <c r="XU29" s="101"/>
      <c r="XV29" s="101"/>
      <c r="XW29" s="101"/>
      <c r="XX29" s="101"/>
      <c r="XY29" s="101"/>
      <c r="XZ29" s="101"/>
      <c r="YA29" s="101"/>
      <c r="YB29" s="101"/>
      <c r="YC29" s="101"/>
      <c r="YD29" s="101"/>
      <c r="YE29" s="101"/>
      <c r="YF29" s="101"/>
      <c r="YG29" s="101"/>
      <c r="YH29" s="101"/>
      <c r="YI29" s="101"/>
      <c r="YJ29" s="101"/>
      <c r="YK29" s="101"/>
      <c r="YL29" s="101"/>
      <c r="YM29" s="101"/>
      <c r="YN29" s="101"/>
      <c r="YO29" s="101"/>
      <c r="YP29" s="101"/>
      <c r="YQ29" s="101"/>
      <c r="YR29" s="101"/>
      <c r="YS29" s="101"/>
      <c r="YT29" s="101"/>
      <c r="YU29" s="101"/>
      <c r="YV29" s="101"/>
      <c r="YW29" s="101"/>
      <c r="YX29" s="101"/>
      <c r="YY29" s="101"/>
      <c r="YZ29" s="101"/>
      <c r="ZA29" s="101"/>
      <c r="ZB29" s="101"/>
      <c r="ZC29" s="101"/>
      <c r="ZD29" s="101"/>
      <c r="ZE29" s="101"/>
      <c r="ZF29" s="101"/>
      <c r="ZG29" s="101"/>
      <c r="ZH29" s="101"/>
      <c r="ZI29" s="101"/>
      <c r="ZJ29" s="101"/>
      <c r="ZK29" s="101"/>
      <c r="ZL29" s="101"/>
      <c r="ZM29" s="101"/>
      <c r="ZN29" s="101"/>
      <c r="ZO29" s="101"/>
      <c r="ZP29" s="101"/>
      <c r="ZQ29" s="101"/>
      <c r="ZR29" s="101"/>
      <c r="ZS29" s="101"/>
      <c r="ZT29" s="101"/>
      <c r="ZU29" s="101"/>
      <c r="ZV29" s="101"/>
      <c r="ZW29" s="101"/>
      <c r="ZX29" s="101"/>
      <c r="ZY29" s="101"/>
      <c r="ZZ29" s="101"/>
      <c r="AAA29" s="101"/>
      <c r="AAB29" s="101"/>
      <c r="AAC29" s="101"/>
      <c r="AAD29" s="101"/>
      <c r="AAE29" s="101"/>
      <c r="AAF29" s="101"/>
      <c r="AAG29" s="101"/>
      <c r="AAH29" s="101"/>
      <c r="AAI29" s="101"/>
      <c r="AAJ29" s="101"/>
      <c r="AAK29" s="101"/>
      <c r="AAL29" s="101"/>
      <c r="AAM29" s="101"/>
      <c r="AAN29" s="101"/>
      <c r="AAO29" s="101"/>
      <c r="AAP29" s="101"/>
      <c r="AAQ29" s="101"/>
      <c r="AAR29" s="101"/>
      <c r="AAS29" s="101"/>
      <c r="AAT29" s="101"/>
      <c r="AAU29" s="101"/>
      <c r="AAV29" s="101"/>
      <c r="AAW29" s="101"/>
      <c r="AAX29" s="101"/>
      <c r="AAY29" s="101"/>
      <c r="AAZ29" s="101"/>
      <c r="ABA29" s="101"/>
      <c r="ABB29" s="101"/>
      <c r="ABC29" s="101"/>
      <c r="ABD29" s="101"/>
      <c r="ABE29" s="101"/>
      <c r="ABF29" s="101"/>
      <c r="ABG29" s="101"/>
      <c r="ABH29" s="101"/>
      <c r="ABI29" s="101"/>
      <c r="ABJ29" s="101"/>
      <c r="ABK29" s="101"/>
      <c r="ABL29" s="101"/>
      <c r="ABM29" s="101"/>
      <c r="ABN29" s="101"/>
      <c r="ABO29" s="101"/>
      <c r="ABP29" s="101"/>
      <c r="ABQ29" s="101"/>
      <c r="ABR29" s="101"/>
      <c r="ABS29" s="101"/>
      <c r="ABT29" s="101"/>
      <c r="ABU29" s="101"/>
      <c r="ABV29" s="101"/>
      <c r="ABW29" s="101"/>
      <c r="ABX29" s="101"/>
      <c r="ABY29" s="101"/>
      <c r="ABZ29" s="101"/>
      <c r="ACA29" s="101"/>
      <c r="ACB29" s="101"/>
      <c r="ACC29" s="101"/>
      <c r="ACD29" s="101"/>
      <c r="ACE29" s="101"/>
      <c r="ACF29" s="101"/>
      <c r="ACG29" s="101"/>
      <c r="ACH29" s="101"/>
      <c r="ACI29" s="101"/>
      <c r="ACJ29" s="101"/>
      <c r="ACK29" s="101"/>
      <c r="ACL29" s="101"/>
      <c r="ACM29" s="101"/>
      <c r="ACN29" s="101"/>
      <c r="ACO29" s="101"/>
      <c r="ACP29" s="101"/>
      <c r="ACQ29" s="101"/>
      <c r="ACR29" s="101"/>
      <c r="ACS29" s="101"/>
      <c r="ACT29" s="101"/>
      <c r="ACU29" s="101"/>
      <c r="ACV29" s="101"/>
      <c r="ACW29" s="101"/>
      <c r="ACX29" s="101"/>
      <c r="ACY29" s="101"/>
      <c r="ACZ29" s="101"/>
      <c r="ADA29" s="101"/>
      <c r="ADB29" s="101"/>
      <c r="ADC29" s="101"/>
      <c r="ADD29" s="101"/>
      <c r="ADE29" s="101"/>
      <c r="ADF29" s="101"/>
      <c r="ADG29" s="101"/>
      <c r="ADH29" s="101"/>
      <c r="ADI29" s="101"/>
      <c r="ADJ29" s="101"/>
      <c r="ADK29" s="101"/>
      <c r="ADL29" s="101"/>
      <c r="ADM29" s="101"/>
      <c r="ADN29" s="101"/>
      <c r="ADO29" s="101"/>
      <c r="ADP29" s="101"/>
      <c r="ADQ29" s="101"/>
      <c r="ADR29" s="101"/>
      <c r="ADS29" s="101"/>
      <c r="ADT29" s="101"/>
      <c r="ADU29" s="101"/>
      <c r="ADV29" s="101"/>
      <c r="ADW29" s="101"/>
      <c r="ADX29" s="101"/>
      <c r="ADY29" s="101"/>
      <c r="ADZ29" s="101"/>
      <c r="AEA29" s="101"/>
      <c r="AEB29" s="101"/>
      <c r="AEC29" s="101"/>
      <c r="AED29" s="101"/>
      <c r="AEE29" s="101"/>
      <c r="AEF29" s="101"/>
      <c r="AEG29" s="101"/>
      <c r="AEH29" s="101"/>
      <c r="AEI29" s="101"/>
      <c r="AEJ29" s="101"/>
      <c r="AEK29" s="101"/>
      <c r="AEL29" s="101"/>
      <c r="AEM29" s="101"/>
      <c r="AEN29" s="101"/>
      <c r="AEO29" s="101"/>
      <c r="AEP29" s="101"/>
      <c r="AEQ29" s="101"/>
      <c r="AER29" s="101"/>
      <c r="AES29" s="101"/>
      <c r="AET29" s="101"/>
      <c r="AEU29" s="101"/>
      <c r="AEV29" s="101"/>
      <c r="AEW29" s="101"/>
      <c r="AEX29" s="101"/>
      <c r="AEY29" s="101"/>
      <c r="AEZ29" s="101"/>
      <c r="AFA29" s="101"/>
      <c r="AFB29" s="101"/>
      <c r="AFC29" s="101"/>
      <c r="AFD29" s="101"/>
      <c r="AFE29" s="101"/>
      <c r="AFF29" s="101"/>
      <c r="AFG29" s="101"/>
      <c r="AFH29" s="101"/>
      <c r="AFI29" s="101"/>
      <c r="AFJ29" s="101"/>
      <c r="AFK29" s="101"/>
      <c r="AFL29" s="101"/>
      <c r="AFM29" s="101"/>
      <c r="AFN29" s="101"/>
      <c r="AFO29" s="101"/>
      <c r="AFP29" s="101"/>
      <c r="AFQ29" s="101"/>
      <c r="AFR29" s="101"/>
      <c r="AFS29" s="101"/>
      <c r="AFT29" s="101"/>
      <c r="AFU29" s="101"/>
      <c r="AFV29" s="101"/>
      <c r="AFW29" s="101"/>
      <c r="AFX29" s="101"/>
      <c r="AFY29" s="101"/>
      <c r="AFZ29" s="101"/>
      <c r="AGA29" s="101"/>
      <c r="AGB29" s="101"/>
      <c r="AGC29" s="101"/>
      <c r="AGD29" s="101"/>
      <c r="AGE29" s="101"/>
      <c r="AGF29" s="101"/>
      <c r="AGG29" s="101"/>
      <c r="AGH29" s="101"/>
      <c r="AGI29" s="101"/>
      <c r="AGJ29" s="101"/>
      <c r="AGK29" s="101"/>
      <c r="AGL29" s="101"/>
      <c r="AGM29" s="101"/>
      <c r="AGN29" s="101"/>
      <c r="AGO29" s="101"/>
      <c r="AGP29" s="101"/>
      <c r="AGQ29" s="101"/>
      <c r="AGR29" s="101"/>
      <c r="AGS29" s="101"/>
      <c r="AGT29" s="101"/>
      <c r="AGU29" s="101"/>
      <c r="AGV29" s="101"/>
      <c r="AGW29" s="101"/>
      <c r="AGX29" s="101"/>
      <c r="AGY29" s="101"/>
      <c r="AGZ29" s="101"/>
      <c r="AHA29" s="101"/>
      <c r="AHB29" s="101"/>
      <c r="AHC29" s="101"/>
      <c r="AHD29" s="101"/>
      <c r="AHE29" s="101"/>
      <c r="AHF29" s="101"/>
      <c r="AHG29" s="101"/>
      <c r="AHH29" s="101"/>
      <c r="AHI29" s="101"/>
      <c r="AHJ29" s="101"/>
      <c r="AHK29" s="101"/>
      <c r="AHL29" s="101"/>
      <c r="AHM29" s="101"/>
      <c r="AHN29" s="101"/>
      <c r="AHO29" s="101"/>
      <c r="AHP29" s="101"/>
      <c r="AHQ29" s="101"/>
      <c r="AHR29" s="101"/>
      <c r="AHS29" s="101"/>
      <c r="AHT29" s="101"/>
      <c r="AHU29" s="101"/>
      <c r="AHV29" s="101"/>
      <c r="AHW29" s="101"/>
      <c r="AHX29" s="101"/>
      <c r="AHY29" s="101"/>
      <c r="AHZ29" s="101"/>
      <c r="AIA29" s="101"/>
      <c r="AIB29" s="101"/>
      <c r="AIC29" s="101"/>
      <c r="AID29" s="101"/>
      <c r="AIE29" s="101"/>
      <c r="AIF29" s="101"/>
      <c r="AIG29" s="101"/>
      <c r="AIH29" s="101"/>
      <c r="AII29" s="101"/>
      <c r="AIJ29" s="101"/>
      <c r="AIK29" s="101"/>
      <c r="AIL29" s="101"/>
      <c r="AIM29" s="101"/>
      <c r="AIN29" s="101"/>
      <c r="AIO29" s="101"/>
      <c r="AIP29" s="101"/>
      <c r="AIQ29" s="101"/>
      <c r="AIR29" s="101"/>
      <c r="AIS29" s="101"/>
      <c r="AIT29" s="101"/>
      <c r="AIU29" s="101"/>
      <c r="AIV29" s="101"/>
      <c r="AIW29" s="101"/>
      <c r="AIX29" s="101"/>
      <c r="AIY29" s="101"/>
      <c r="AIZ29" s="101"/>
      <c r="AJA29" s="101"/>
      <c r="AJB29" s="101"/>
      <c r="AJC29" s="101"/>
      <c r="AJD29" s="101"/>
      <c r="AJE29" s="101"/>
      <c r="AJF29" s="101"/>
      <c r="AJG29" s="101"/>
      <c r="AJH29" s="101"/>
      <c r="AJI29" s="101"/>
      <c r="AJJ29" s="101"/>
      <c r="AJK29" s="101"/>
      <c r="AJL29" s="101"/>
      <c r="AJM29" s="101"/>
      <c r="AJN29" s="101"/>
      <c r="AJO29" s="101"/>
      <c r="AJP29" s="101"/>
      <c r="AJQ29" s="101"/>
      <c r="AJR29" s="101"/>
      <c r="AJS29" s="101"/>
      <c r="AJT29" s="101"/>
      <c r="AJU29" s="101"/>
      <c r="AJV29" s="101"/>
      <c r="AJW29" s="101"/>
      <c r="AJX29" s="101"/>
      <c r="AJY29" s="101"/>
      <c r="AJZ29" s="101"/>
      <c r="AKA29" s="101"/>
      <c r="AKB29" s="101"/>
      <c r="AKC29" s="101"/>
      <c r="AKD29" s="101"/>
      <c r="AKE29" s="101"/>
      <c r="AKF29" s="101"/>
      <c r="AKG29" s="101"/>
      <c r="AKH29" s="101"/>
      <c r="AKI29" s="101"/>
      <c r="AKJ29" s="101"/>
      <c r="AKK29" s="101"/>
      <c r="AKL29" s="101"/>
      <c r="AKM29" s="101"/>
      <c r="AKN29" s="101"/>
      <c r="AKO29" s="101"/>
      <c r="AKP29" s="101"/>
      <c r="AKQ29" s="101"/>
      <c r="AKR29" s="101"/>
      <c r="AKS29" s="101"/>
      <c r="AKT29" s="101"/>
      <c r="AKU29" s="101"/>
      <c r="AKV29" s="101"/>
      <c r="AKW29" s="101"/>
      <c r="AKX29" s="101"/>
      <c r="AKY29" s="101"/>
      <c r="AKZ29" s="101"/>
      <c r="ALA29" s="101"/>
      <c r="ALB29" s="101"/>
      <c r="ALC29" s="101"/>
      <c r="ALD29" s="101"/>
      <c r="ALE29" s="101"/>
      <c r="ALF29" s="101"/>
      <c r="ALG29" s="101"/>
      <c r="ALH29" s="101"/>
      <c r="ALI29" s="101"/>
      <c r="ALJ29" s="101"/>
      <c r="ALK29" s="101"/>
      <c r="ALL29" s="101"/>
      <c r="ALM29" s="101"/>
      <c r="ALN29" s="101"/>
      <c r="ALO29" s="101"/>
      <c r="ALP29" s="101"/>
      <c r="ALQ29" s="101"/>
      <c r="ALR29" s="101"/>
      <c r="ALS29" s="101"/>
      <c r="ALT29" s="101"/>
      <c r="ALU29" s="101"/>
      <c r="ALV29" s="101"/>
      <c r="ALW29" s="101"/>
      <c r="ALX29" s="101"/>
      <c r="ALY29" s="101"/>
      <c r="ALZ29" s="101"/>
      <c r="AMA29" s="101"/>
      <c r="AMB29" s="101"/>
      <c r="AMC29" s="101"/>
      <c r="AMD29" s="101"/>
      <c r="AME29" s="101"/>
      <c r="AMF29" s="101"/>
      <c r="AMG29" s="101"/>
      <c r="AMH29" s="101"/>
      <c r="AMI29" s="101"/>
      <c r="AMJ29" s="101"/>
      <c r="AMK29" s="101"/>
      <c r="AML29" s="101"/>
      <c r="AMM29" s="101"/>
      <c r="AMN29" s="101"/>
      <c r="AMO29" s="101"/>
      <c r="AMP29" s="101"/>
      <c r="AMQ29" s="101"/>
      <c r="AMR29" s="101"/>
      <c r="AMS29" s="101"/>
      <c r="AMT29" s="101"/>
      <c r="AMU29" s="101"/>
      <c r="AMV29" s="101"/>
      <c r="AMW29" s="101"/>
      <c r="AMX29" s="101"/>
      <c r="AMY29" s="101"/>
      <c r="AMZ29" s="101"/>
      <c r="ANA29" s="101"/>
      <c r="ANB29" s="101"/>
      <c r="ANC29" s="101"/>
      <c r="AND29" s="101"/>
      <c r="ANE29" s="101"/>
      <c r="ANF29" s="101"/>
      <c r="ANG29" s="101"/>
      <c r="ANH29" s="101"/>
      <c r="ANI29" s="101"/>
      <c r="ANJ29" s="101"/>
      <c r="ANK29" s="101"/>
      <c r="ANL29" s="101"/>
      <c r="ANM29" s="101"/>
      <c r="ANN29" s="101"/>
      <c r="ANO29" s="101"/>
      <c r="ANP29" s="101"/>
      <c r="ANQ29" s="101"/>
      <c r="ANR29" s="101"/>
      <c r="ANS29" s="101"/>
      <c r="ANT29" s="101"/>
      <c r="ANU29" s="101"/>
      <c r="ANV29" s="101"/>
      <c r="ANW29" s="101"/>
      <c r="ANX29" s="101"/>
      <c r="ANY29" s="101"/>
      <c r="ANZ29" s="101"/>
      <c r="AOA29" s="101"/>
      <c r="AOB29" s="101"/>
      <c r="AOC29" s="101"/>
      <c r="AOD29" s="101"/>
      <c r="AOE29" s="101"/>
      <c r="AOF29" s="101"/>
      <c r="AOG29" s="101"/>
      <c r="AOH29" s="101"/>
      <c r="AOI29" s="101"/>
      <c r="AOJ29" s="101"/>
      <c r="AOK29" s="101"/>
      <c r="AOL29" s="101"/>
      <c r="AOM29" s="101"/>
      <c r="AON29" s="101"/>
      <c r="AOO29" s="101"/>
      <c r="AOP29" s="101"/>
      <c r="AOQ29" s="101"/>
      <c r="AOR29" s="101"/>
      <c r="AOS29" s="101"/>
      <c r="AOT29" s="101"/>
      <c r="AOU29" s="101"/>
      <c r="AOV29" s="101"/>
      <c r="AOW29" s="101"/>
      <c r="AOX29" s="101"/>
      <c r="AOY29" s="101"/>
      <c r="AOZ29" s="101"/>
      <c r="APA29" s="101"/>
      <c r="APB29" s="101"/>
      <c r="APC29" s="101"/>
      <c r="APD29" s="101"/>
      <c r="APE29" s="101"/>
      <c r="APF29" s="101"/>
      <c r="APG29" s="101"/>
      <c r="APH29" s="101"/>
      <c r="API29" s="101"/>
      <c r="APJ29" s="101"/>
      <c r="APK29" s="101"/>
      <c r="APL29" s="101"/>
      <c r="APM29" s="101"/>
      <c r="APN29" s="101"/>
      <c r="APO29" s="101"/>
      <c r="APP29" s="101"/>
      <c r="APQ29" s="101"/>
      <c r="APR29" s="101"/>
      <c r="APS29" s="101"/>
      <c r="APT29" s="101"/>
      <c r="APU29" s="101"/>
      <c r="APV29" s="101"/>
      <c r="APW29" s="101"/>
      <c r="APX29" s="101"/>
      <c r="APY29" s="101"/>
      <c r="APZ29" s="101"/>
      <c r="AQA29" s="101"/>
      <c r="AQB29" s="101"/>
      <c r="AQC29" s="101"/>
      <c r="AQD29" s="101"/>
      <c r="AQE29" s="101"/>
      <c r="AQF29" s="101"/>
      <c r="AQG29" s="101"/>
      <c r="AQH29" s="101"/>
      <c r="AQI29" s="101"/>
      <c r="AQJ29" s="101"/>
      <c r="AQK29" s="101"/>
      <c r="AQL29" s="101"/>
      <c r="AQM29" s="101"/>
      <c r="AQN29" s="101"/>
      <c r="AQO29" s="101"/>
      <c r="AQP29" s="101"/>
      <c r="AQQ29" s="101"/>
      <c r="AQR29" s="101"/>
      <c r="AQS29" s="101"/>
      <c r="AQT29" s="101"/>
      <c r="AQU29" s="101"/>
      <c r="AQV29" s="101"/>
      <c r="AQW29" s="101"/>
      <c r="AQX29" s="101"/>
      <c r="AQY29" s="101"/>
      <c r="AQZ29" s="101"/>
      <c r="ARA29" s="101"/>
      <c r="ARB29" s="101"/>
      <c r="ARC29" s="101"/>
      <c r="ARD29" s="101"/>
      <c r="ARE29" s="101"/>
      <c r="ARF29" s="101"/>
      <c r="ARG29" s="101"/>
      <c r="ARH29" s="101"/>
      <c r="ARI29" s="101"/>
      <c r="ARJ29" s="101"/>
      <c r="ARK29" s="101"/>
      <c r="ARL29" s="101"/>
      <c r="ARM29" s="101"/>
      <c r="ARN29" s="101"/>
      <c r="ARO29" s="101"/>
      <c r="ARP29" s="101"/>
      <c r="ARQ29" s="101"/>
      <c r="ARR29" s="101"/>
      <c r="ARS29" s="101"/>
      <c r="ART29" s="101"/>
      <c r="ARU29" s="101"/>
      <c r="ARV29" s="101"/>
      <c r="ARW29" s="101"/>
      <c r="ARX29" s="101"/>
      <c r="ARY29" s="101"/>
      <c r="ARZ29" s="101"/>
      <c r="ASA29" s="101"/>
      <c r="ASB29" s="101"/>
      <c r="ASC29" s="101"/>
      <c r="ASD29" s="101"/>
      <c r="ASE29" s="101"/>
      <c r="ASF29" s="101"/>
      <c r="ASG29" s="101"/>
      <c r="ASH29" s="101"/>
      <c r="ASI29" s="101"/>
      <c r="ASJ29" s="101"/>
      <c r="ASK29" s="101"/>
      <c r="ASL29" s="101"/>
      <c r="ASM29" s="101"/>
      <c r="ASN29" s="101"/>
      <c r="ASO29" s="101"/>
      <c r="ASP29" s="101"/>
      <c r="ASQ29" s="101"/>
      <c r="ASR29" s="101"/>
      <c r="ASS29" s="101"/>
      <c r="AST29" s="101"/>
      <c r="ASU29" s="101"/>
      <c r="ASV29" s="101"/>
      <c r="ASW29" s="101"/>
      <c r="ASX29" s="101"/>
      <c r="ASY29" s="101"/>
      <c r="ASZ29" s="101"/>
      <c r="ATA29" s="101"/>
      <c r="ATB29" s="101"/>
      <c r="ATC29" s="101"/>
      <c r="ATD29" s="101"/>
      <c r="ATE29" s="101"/>
      <c r="ATF29" s="101"/>
      <c r="ATG29" s="101"/>
      <c r="ATH29" s="101"/>
      <c r="ATI29" s="101"/>
      <c r="ATJ29" s="101"/>
      <c r="ATK29" s="101"/>
      <c r="ATL29" s="101"/>
      <c r="ATM29" s="101"/>
      <c r="ATN29" s="101"/>
      <c r="ATO29" s="101"/>
      <c r="ATP29" s="101"/>
      <c r="ATQ29" s="101"/>
      <c r="ATR29" s="101"/>
      <c r="ATS29" s="101"/>
      <c r="ATT29" s="101"/>
      <c r="ATU29" s="101"/>
      <c r="ATV29" s="101"/>
      <c r="ATW29" s="101"/>
      <c r="ATX29" s="101"/>
      <c r="ATY29" s="101"/>
      <c r="ATZ29" s="101"/>
      <c r="AUA29" s="101"/>
      <c r="AUB29" s="101"/>
      <c r="AUC29" s="101"/>
      <c r="AUD29" s="101"/>
      <c r="AUE29" s="101"/>
      <c r="AUF29" s="101"/>
      <c r="AUG29" s="101"/>
      <c r="AUH29" s="101"/>
      <c r="AUI29" s="101"/>
      <c r="AUJ29" s="101"/>
      <c r="AUK29" s="101"/>
      <c r="AUL29" s="101"/>
      <c r="AUM29" s="101"/>
      <c r="AUN29" s="101"/>
      <c r="AUO29" s="101"/>
      <c r="AUP29" s="101"/>
      <c r="AUQ29" s="101"/>
      <c r="AUR29" s="101"/>
      <c r="AUS29" s="101"/>
      <c r="AUT29" s="101"/>
      <c r="AUU29" s="101"/>
      <c r="AUV29" s="101"/>
      <c r="AUW29" s="101"/>
      <c r="AUX29" s="101"/>
      <c r="AUY29" s="101"/>
      <c r="AUZ29" s="101"/>
      <c r="AVA29" s="101"/>
      <c r="AVB29" s="101"/>
      <c r="AVC29" s="101"/>
      <c r="AVD29" s="101"/>
      <c r="AVE29" s="101"/>
      <c r="AVF29" s="101"/>
      <c r="AVG29" s="101"/>
      <c r="AVH29" s="101"/>
      <c r="AVI29" s="101"/>
      <c r="AVJ29" s="101"/>
      <c r="AVK29" s="101"/>
      <c r="AVL29" s="101"/>
      <c r="AVM29" s="101"/>
      <c r="AVN29" s="101"/>
      <c r="AVO29" s="101"/>
      <c r="AVP29" s="101"/>
      <c r="AVQ29" s="101"/>
      <c r="AVR29" s="101"/>
      <c r="AVS29" s="101"/>
      <c r="AVT29" s="101"/>
      <c r="AVU29" s="101"/>
      <c r="AVV29" s="101"/>
      <c r="AVW29" s="101"/>
      <c r="AVX29" s="101"/>
      <c r="AVY29" s="101"/>
      <c r="AVZ29" s="101"/>
      <c r="AWA29" s="101"/>
      <c r="AWB29" s="101"/>
      <c r="AWC29" s="101"/>
      <c r="AWD29" s="101"/>
      <c r="AWE29" s="101"/>
      <c r="AWF29" s="101"/>
      <c r="AWG29" s="101"/>
      <c r="AWH29" s="101"/>
      <c r="AWI29" s="101"/>
      <c r="AWJ29" s="101"/>
      <c r="AWK29" s="101"/>
      <c r="AWL29" s="101"/>
      <c r="AWM29" s="101"/>
      <c r="AWN29" s="101"/>
      <c r="AWO29" s="101"/>
      <c r="AWP29" s="101"/>
      <c r="AWQ29" s="101"/>
      <c r="AWR29" s="101"/>
      <c r="AWS29" s="101"/>
      <c r="AWT29" s="101"/>
      <c r="AWU29" s="101"/>
      <c r="AWV29" s="101"/>
      <c r="AWW29" s="101"/>
      <c r="AWX29" s="101"/>
      <c r="AWY29" s="101"/>
      <c r="AWZ29" s="101"/>
      <c r="AXA29" s="101"/>
      <c r="AXB29" s="101"/>
      <c r="AXC29" s="101"/>
      <c r="AXD29" s="101"/>
      <c r="AXE29" s="101"/>
      <c r="AXF29" s="101"/>
      <c r="AXG29" s="101"/>
      <c r="AXH29" s="101"/>
      <c r="AXI29" s="101"/>
      <c r="AXJ29" s="101"/>
      <c r="AXK29" s="101"/>
      <c r="AXL29" s="101"/>
      <c r="AXM29" s="101"/>
      <c r="AXN29" s="101"/>
      <c r="AXO29" s="101"/>
      <c r="AXP29" s="101"/>
      <c r="AXQ29" s="101"/>
      <c r="AXR29" s="101"/>
      <c r="AXS29" s="101"/>
      <c r="AXT29" s="101"/>
      <c r="AXU29" s="101"/>
      <c r="AXV29" s="101"/>
      <c r="AXW29" s="101"/>
      <c r="AXX29" s="101"/>
      <c r="AXY29" s="101"/>
      <c r="AXZ29" s="101"/>
      <c r="AYA29" s="101"/>
      <c r="AYB29" s="101"/>
      <c r="AYC29" s="101"/>
      <c r="AYD29" s="101"/>
      <c r="AYE29" s="101"/>
      <c r="AYF29" s="101"/>
      <c r="AYG29" s="101"/>
      <c r="AYH29" s="101"/>
      <c r="AYI29" s="101"/>
      <c r="AYJ29" s="101"/>
      <c r="AYK29" s="101"/>
      <c r="AYL29" s="101"/>
      <c r="AYM29" s="101"/>
      <c r="AYN29" s="101"/>
      <c r="AYO29" s="101"/>
      <c r="AYP29" s="101"/>
      <c r="AYQ29" s="101"/>
      <c r="AYR29" s="101"/>
      <c r="AYS29" s="101"/>
      <c r="AYT29" s="101"/>
      <c r="AYU29" s="101"/>
      <c r="AYV29" s="101"/>
      <c r="AYW29" s="101"/>
      <c r="AYX29" s="101"/>
      <c r="AYY29" s="101"/>
      <c r="AYZ29" s="101"/>
      <c r="AZA29" s="101"/>
      <c r="AZB29" s="101"/>
      <c r="AZC29" s="101"/>
      <c r="AZD29" s="101"/>
      <c r="AZE29" s="101"/>
      <c r="AZF29" s="101"/>
      <c r="AZG29" s="101"/>
      <c r="AZH29" s="101"/>
      <c r="AZI29" s="101"/>
      <c r="AZJ29" s="101"/>
      <c r="AZK29" s="101"/>
      <c r="AZL29" s="101"/>
      <c r="AZM29" s="101"/>
      <c r="AZN29" s="101"/>
      <c r="AZO29" s="101"/>
      <c r="AZP29" s="101"/>
      <c r="AZQ29" s="101"/>
      <c r="AZR29" s="101"/>
      <c r="AZS29" s="101"/>
      <c r="AZT29" s="101"/>
      <c r="AZU29" s="101"/>
      <c r="AZV29" s="101"/>
      <c r="AZW29" s="101"/>
      <c r="AZX29" s="101"/>
      <c r="AZY29" s="101"/>
      <c r="AZZ29" s="101"/>
      <c r="BAA29" s="101"/>
      <c r="BAB29" s="101"/>
      <c r="BAC29" s="101"/>
      <c r="BAD29" s="101"/>
      <c r="BAE29" s="101"/>
      <c r="BAF29" s="101"/>
      <c r="BAG29" s="101"/>
      <c r="BAH29" s="101"/>
      <c r="BAI29" s="101"/>
      <c r="BAJ29" s="101"/>
      <c r="BAK29" s="101"/>
      <c r="BAL29" s="101"/>
      <c r="BAM29" s="101"/>
      <c r="BAN29" s="101"/>
      <c r="BAO29" s="101"/>
      <c r="BAP29" s="101"/>
      <c r="BAQ29" s="101"/>
      <c r="BAR29" s="101"/>
      <c r="BAS29" s="101"/>
      <c r="BAT29" s="101"/>
      <c r="BAU29" s="101"/>
      <c r="BAV29" s="101"/>
      <c r="BAW29" s="101"/>
      <c r="BAX29" s="101"/>
      <c r="BAY29" s="101"/>
      <c r="BAZ29" s="101"/>
      <c r="BBA29" s="101"/>
      <c r="BBB29" s="101"/>
      <c r="BBC29" s="101"/>
      <c r="BBD29" s="101"/>
      <c r="BBE29" s="101"/>
      <c r="BBF29" s="101"/>
      <c r="BBG29" s="101"/>
      <c r="BBH29" s="101"/>
      <c r="BBI29" s="101"/>
      <c r="BBJ29" s="101"/>
      <c r="BBK29" s="101"/>
      <c r="BBL29" s="101"/>
      <c r="BBM29" s="101"/>
      <c r="BBN29" s="101"/>
      <c r="BBO29" s="101"/>
      <c r="BBP29" s="101"/>
      <c r="BBQ29" s="101"/>
      <c r="BBR29" s="101"/>
      <c r="BBS29" s="101"/>
      <c r="BBT29" s="101"/>
      <c r="BBU29" s="101"/>
      <c r="BBV29" s="101"/>
      <c r="BBW29" s="101"/>
      <c r="BBX29" s="101"/>
      <c r="BBY29" s="101"/>
      <c r="BBZ29" s="101"/>
      <c r="BCA29" s="101"/>
      <c r="BCB29" s="101"/>
      <c r="BCC29" s="101"/>
      <c r="BCD29" s="101"/>
      <c r="BCE29" s="101"/>
      <c r="BCF29" s="101"/>
      <c r="BCG29" s="101"/>
      <c r="BCH29" s="101"/>
      <c r="BCI29" s="101"/>
      <c r="BCJ29" s="101"/>
      <c r="BCK29" s="101"/>
      <c r="BCL29" s="101"/>
      <c r="BCM29" s="101"/>
      <c r="BCN29" s="101"/>
      <c r="BCO29" s="101"/>
      <c r="BCP29" s="101"/>
      <c r="BCQ29" s="101"/>
      <c r="BCR29" s="101"/>
      <c r="BCS29" s="101"/>
      <c r="BCT29" s="101"/>
      <c r="BCU29" s="101"/>
      <c r="BCV29" s="101"/>
      <c r="BCW29" s="101"/>
      <c r="BCX29" s="101"/>
      <c r="BCY29" s="101"/>
      <c r="BCZ29" s="101"/>
      <c r="BDA29" s="101"/>
      <c r="BDB29" s="101"/>
      <c r="BDC29" s="101"/>
      <c r="BDD29" s="101"/>
      <c r="BDE29" s="101"/>
      <c r="BDF29" s="101"/>
      <c r="BDG29" s="101"/>
      <c r="BDH29" s="101"/>
      <c r="BDI29" s="101"/>
      <c r="BDJ29" s="101"/>
      <c r="BDK29" s="101"/>
      <c r="BDL29" s="101"/>
      <c r="BDM29" s="101"/>
      <c r="BDN29" s="101"/>
      <c r="BDO29" s="101"/>
      <c r="BDP29" s="101"/>
      <c r="BDQ29" s="101"/>
      <c r="BDR29" s="101"/>
      <c r="BDS29" s="101"/>
      <c r="BDT29" s="101"/>
      <c r="BDU29" s="101"/>
      <c r="BDV29" s="101"/>
      <c r="BDW29" s="101"/>
      <c r="BDX29" s="101"/>
      <c r="BDY29" s="101"/>
      <c r="BDZ29" s="101"/>
      <c r="BEA29" s="101"/>
      <c r="BEB29" s="101"/>
      <c r="BEC29" s="101"/>
      <c r="BED29" s="101"/>
      <c r="BEE29" s="101"/>
      <c r="BEF29" s="101"/>
      <c r="BEG29" s="101"/>
      <c r="BEH29" s="101"/>
      <c r="BEI29" s="101"/>
      <c r="BEJ29" s="101"/>
      <c r="BEK29" s="101"/>
      <c r="BEL29" s="101"/>
      <c r="BEM29" s="101"/>
      <c r="BEN29" s="101"/>
      <c r="BEO29" s="101"/>
      <c r="BEP29" s="101"/>
      <c r="BEQ29" s="101"/>
      <c r="BER29" s="101"/>
      <c r="BES29" s="101"/>
      <c r="BET29" s="101"/>
      <c r="BEU29" s="101"/>
      <c r="BEV29" s="101"/>
      <c r="BEW29" s="101"/>
      <c r="BEX29" s="101"/>
      <c r="BEY29" s="101"/>
      <c r="BEZ29" s="101"/>
      <c r="BFA29" s="101"/>
      <c r="BFB29" s="101"/>
      <c r="BFC29" s="101"/>
      <c r="BFD29" s="101"/>
      <c r="BFE29" s="101"/>
      <c r="BFF29" s="101"/>
      <c r="BFG29" s="101"/>
      <c r="BFH29" s="101"/>
      <c r="BFI29" s="101"/>
      <c r="BFJ29" s="101"/>
      <c r="BFK29" s="101"/>
      <c r="BFL29" s="101"/>
      <c r="BFM29" s="101"/>
      <c r="BFN29" s="101"/>
      <c r="BFO29" s="101"/>
      <c r="BFP29" s="101"/>
      <c r="BFQ29" s="101"/>
      <c r="BFR29" s="101"/>
      <c r="BFS29" s="101"/>
      <c r="BFT29" s="101"/>
      <c r="BFU29" s="101"/>
      <c r="BFV29" s="101"/>
      <c r="BFW29" s="101"/>
      <c r="BFX29" s="101"/>
      <c r="BFY29" s="101"/>
      <c r="BFZ29" s="101"/>
      <c r="BGA29" s="101"/>
      <c r="BGB29" s="101"/>
      <c r="BGC29" s="101"/>
      <c r="BGD29" s="101"/>
      <c r="BGE29" s="101"/>
      <c r="BGF29" s="101"/>
      <c r="BGG29" s="101"/>
      <c r="BGH29" s="101"/>
      <c r="BGI29" s="101"/>
      <c r="BGJ29" s="101"/>
      <c r="BGK29" s="101"/>
      <c r="BGL29" s="101"/>
      <c r="BGM29" s="101"/>
      <c r="BGN29" s="101"/>
      <c r="BGO29" s="101"/>
      <c r="BGP29" s="101"/>
      <c r="BGQ29" s="101"/>
      <c r="BGR29" s="101"/>
      <c r="BGS29" s="101"/>
      <c r="BGT29" s="101"/>
      <c r="BGU29" s="101"/>
      <c r="BGV29" s="101"/>
      <c r="BGW29" s="101"/>
      <c r="BGX29" s="101"/>
      <c r="BGY29" s="101"/>
      <c r="BGZ29" s="101"/>
      <c r="BHA29" s="101"/>
      <c r="BHB29" s="101"/>
      <c r="BHC29" s="101"/>
      <c r="BHD29" s="101"/>
      <c r="BHE29" s="101"/>
      <c r="BHF29" s="101"/>
      <c r="BHG29" s="101"/>
      <c r="BHH29" s="101"/>
      <c r="BHI29" s="101"/>
      <c r="BHJ29" s="101"/>
      <c r="BHK29" s="101"/>
      <c r="BHL29" s="101"/>
      <c r="BHM29" s="101"/>
      <c r="BHN29" s="101"/>
      <c r="BHO29" s="101"/>
      <c r="BHP29" s="101"/>
      <c r="BHQ29" s="101"/>
      <c r="BHR29" s="101"/>
      <c r="BHS29" s="101"/>
      <c r="BHT29" s="101"/>
      <c r="BHU29" s="101"/>
      <c r="BHV29" s="101"/>
      <c r="BHW29" s="101"/>
      <c r="BHX29" s="101"/>
      <c r="BHY29" s="101"/>
      <c r="BHZ29" s="101"/>
      <c r="BIA29" s="101"/>
      <c r="BIB29" s="101"/>
      <c r="BIC29" s="101"/>
      <c r="BID29" s="101"/>
      <c r="BIE29" s="101"/>
      <c r="BIF29" s="101"/>
      <c r="BIG29" s="101"/>
      <c r="BIH29" s="101"/>
      <c r="BII29" s="101"/>
      <c r="BIJ29" s="101"/>
      <c r="BIK29" s="101"/>
      <c r="BIL29" s="101"/>
      <c r="BIM29" s="101"/>
      <c r="BIN29" s="101"/>
      <c r="BIO29" s="101"/>
      <c r="BIP29" s="101"/>
      <c r="BIQ29" s="101"/>
      <c r="BIR29" s="101"/>
      <c r="BIS29" s="101"/>
      <c r="BIT29" s="101"/>
      <c r="BIU29" s="101"/>
      <c r="BIV29" s="101"/>
      <c r="BIW29" s="101"/>
      <c r="BIX29" s="101"/>
      <c r="BIY29" s="101"/>
      <c r="BIZ29" s="101"/>
      <c r="BJA29" s="101"/>
      <c r="BJB29" s="101"/>
      <c r="BJC29" s="101"/>
      <c r="BJD29" s="101"/>
      <c r="BJE29" s="101"/>
      <c r="BJF29" s="101"/>
      <c r="BJG29" s="101"/>
      <c r="BJH29" s="101"/>
      <c r="BJI29" s="101"/>
      <c r="BJJ29" s="101"/>
      <c r="BJK29" s="101"/>
      <c r="BJL29" s="101"/>
      <c r="BJM29" s="101"/>
      <c r="BJN29" s="101"/>
      <c r="BJO29" s="101"/>
      <c r="BJP29" s="101"/>
      <c r="BJQ29" s="101"/>
      <c r="BJR29" s="101"/>
      <c r="BJS29" s="101"/>
      <c r="BJT29" s="101"/>
      <c r="BJU29" s="101"/>
      <c r="BJV29" s="101"/>
      <c r="BJW29" s="101"/>
      <c r="BJX29" s="101"/>
      <c r="BJY29" s="101"/>
      <c r="BJZ29" s="101"/>
      <c r="BKA29" s="101"/>
      <c r="BKB29" s="101"/>
      <c r="BKC29" s="101"/>
      <c r="BKD29" s="101"/>
      <c r="BKE29" s="101"/>
      <c r="BKF29" s="101"/>
      <c r="BKG29" s="101"/>
      <c r="BKH29" s="101"/>
      <c r="BKI29" s="101"/>
      <c r="BKJ29" s="101"/>
      <c r="BKK29" s="101"/>
      <c r="BKL29" s="101"/>
      <c r="BKM29" s="101"/>
      <c r="BKN29" s="101"/>
      <c r="BKO29" s="101"/>
      <c r="BKP29" s="101"/>
      <c r="BKQ29" s="101"/>
      <c r="BKR29" s="101"/>
      <c r="BKS29" s="101"/>
      <c r="BKT29" s="101"/>
      <c r="BKU29" s="101"/>
      <c r="BKV29" s="101"/>
      <c r="BKW29" s="101"/>
      <c r="BKX29" s="101"/>
      <c r="BKY29" s="101"/>
      <c r="BKZ29" s="101"/>
      <c r="BLA29" s="101"/>
      <c r="BLB29" s="101"/>
      <c r="BLC29" s="101"/>
      <c r="BLD29" s="101"/>
      <c r="BLE29" s="101"/>
      <c r="BLF29" s="101"/>
      <c r="BLG29" s="101"/>
      <c r="BLH29" s="101"/>
      <c r="BLI29" s="101"/>
      <c r="BLJ29" s="101"/>
      <c r="BLK29" s="101"/>
      <c r="BLL29" s="101"/>
      <c r="BLM29" s="101"/>
      <c r="BLN29" s="101"/>
      <c r="BLO29" s="101"/>
      <c r="BLP29" s="101"/>
      <c r="BLQ29" s="101"/>
      <c r="BLR29" s="101"/>
      <c r="BLS29" s="101"/>
      <c r="BLT29" s="101"/>
      <c r="BLU29" s="101"/>
      <c r="BLV29" s="101"/>
      <c r="BLW29" s="101"/>
      <c r="BLX29" s="101"/>
      <c r="BLY29" s="101"/>
      <c r="BLZ29" s="101"/>
      <c r="BMA29" s="101"/>
      <c r="BMB29" s="101"/>
      <c r="BMC29" s="101"/>
      <c r="BMD29" s="101"/>
      <c r="BME29" s="101"/>
      <c r="BMF29" s="101"/>
      <c r="BMG29" s="101"/>
      <c r="BMH29" s="101"/>
      <c r="BMI29" s="101"/>
      <c r="BMJ29" s="101"/>
      <c r="BMK29" s="101"/>
      <c r="BML29" s="101"/>
      <c r="BMM29" s="101"/>
      <c r="BMN29" s="101"/>
      <c r="BMO29" s="101"/>
      <c r="BMP29" s="101"/>
      <c r="BMQ29" s="101"/>
      <c r="BMR29" s="101"/>
      <c r="BMS29" s="101"/>
      <c r="BMT29" s="101"/>
      <c r="BMU29" s="101"/>
      <c r="BMV29" s="101"/>
      <c r="BMW29" s="101"/>
      <c r="BMX29" s="101"/>
      <c r="BMY29" s="101"/>
      <c r="BMZ29" s="101"/>
      <c r="BNA29" s="101"/>
      <c r="BNB29" s="101"/>
      <c r="BNC29" s="101"/>
      <c r="BND29" s="101"/>
      <c r="BNE29" s="101"/>
      <c r="BNF29" s="101"/>
      <c r="BNG29" s="101"/>
      <c r="BNH29" s="101"/>
      <c r="BNI29" s="101"/>
      <c r="BNJ29" s="101"/>
      <c r="BNK29" s="101"/>
      <c r="BNL29" s="101"/>
      <c r="BNM29" s="101"/>
      <c r="BNN29" s="101"/>
      <c r="BNO29" s="101"/>
      <c r="BNP29" s="101"/>
      <c r="BNQ29" s="101"/>
      <c r="BNR29" s="101"/>
      <c r="BNS29" s="101"/>
      <c r="BNT29" s="101"/>
      <c r="BNU29" s="101"/>
      <c r="BNV29" s="101"/>
      <c r="BNW29" s="101"/>
      <c r="BNX29" s="101"/>
      <c r="BNY29" s="101"/>
      <c r="BNZ29" s="101"/>
      <c r="BOA29" s="101"/>
      <c r="BOB29" s="101"/>
      <c r="BOC29" s="101"/>
      <c r="BOD29" s="101"/>
      <c r="BOE29" s="101"/>
      <c r="BOF29" s="101"/>
      <c r="BOG29" s="101"/>
      <c r="BOH29" s="101"/>
      <c r="BOI29" s="101"/>
      <c r="BOJ29" s="101"/>
      <c r="BOK29" s="101"/>
      <c r="BOL29" s="101"/>
      <c r="BOM29" s="101"/>
      <c r="BON29" s="101"/>
      <c r="BOO29" s="101"/>
      <c r="BOP29" s="101"/>
      <c r="BOQ29" s="101"/>
      <c r="BOR29" s="101"/>
      <c r="BOS29" s="101"/>
      <c r="BOT29" s="101"/>
      <c r="BOU29" s="101"/>
      <c r="BOV29" s="101"/>
      <c r="BOW29" s="101"/>
      <c r="BOX29" s="101"/>
      <c r="BOY29" s="101"/>
      <c r="BOZ29" s="101"/>
      <c r="BPA29" s="101"/>
      <c r="BPB29" s="101"/>
      <c r="BPC29" s="167"/>
    </row>
    <row r="30" s="103" customFormat="1" ht="75" customHeight="1" outlineLevel="1" spans="1:1024 1025:1771">
      <c r="A30" s="157" t="s">
        <v>118</v>
      </c>
      <c r="B30" s="151" t="s">
        <v>1080</v>
      </c>
      <c r="C30" s="158" t="s">
        <v>1081</v>
      </c>
      <c r="D30" s="153" t="s">
        <v>1044</v>
      </c>
      <c r="E30" s="154"/>
      <c r="F30" s="159"/>
      <c r="G30" s="160"/>
      <c r="H30" s="155">
        <v>46137</v>
      </c>
      <c r="I30" s="156" t="s">
        <v>7</v>
      </c>
      <c r="J30" s="153"/>
      <c r="K30" s="5"/>
      <c r="L30" s="5" t="s">
        <v>1041</v>
      </c>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c r="DK30" s="101"/>
      <c r="DL30" s="101"/>
      <c r="DM30" s="101"/>
      <c r="DN30" s="101"/>
      <c r="DO30" s="101"/>
      <c r="DP30" s="101"/>
      <c r="DQ30" s="101"/>
      <c r="DR30" s="101"/>
      <c r="DS30" s="101"/>
      <c r="DT30" s="101"/>
      <c r="DU30" s="101"/>
      <c r="DV30" s="101"/>
      <c r="DW30" s="101"/>
      <c r="DX30" s="101"/>
      <c r="DY30" s="101"/>
      <c r="DZ30" s="101"/>
      <c r="EA30" s="101"/>
      <c r="EB30" s="101"/>
      <c r="EC30" s="101"/>
      <c r="ED30" s="101"/>
      <c r="EE30" s="101"/>
      <c r="EF30" s="101"/>
      <c r="EG30" s="101"/>
      <c r="EH30" s="101"/>
      <c r="EI30" s="101"/>
      <c r="EJ30" s="101"/>
      <c r="EK30" s="101"/>
      <c r="EL30" s="101"/>
      <c r="EM30" s="101"/>
      <c r="EN30" s="101"/>
      <c r="EO30" s="101"/>
      <c r="EP30" s="101"/>
      <c r="EQ30" s="101"/>
      <c r="ER30" s="101"/>
      <c r="ES30" s="101"/>
      <c r="ET30" s="101"/>
      <c r="EU30" s="101"/>
      <c r="EV30" s="101"/>
      <c r="EW30" s="101"/>
      <c r="EX30" s="101"/>
      <c r="EY30" s="101"/>
      <c r="EZ30" s="101"/>
      <c r="FA30" s="101"/>
      <c r="FB30" s="101"/>
      <c r="FC30" s="101"/>
      <c r="FD30" s="101"/>
      <c r="FE30" s="101"/>
      <c r="FF30" s="101"/>
      <c r="FG30" s="101"/>
      <c r="FH30" s="101"/>
      <c r="FI30" s="101"/>
      <c r="FJ30" s="101"/>
      <c r="FK30" s="101"/>
      <c r="FL30" s="101"/>
      <c r="FM30" s="101"/>
      <c r="FN30" s="101"/>
      <c r="FO30" s="101"/>
      <c r="FP30" s="101"/>
      <c r="FQ30" s="101"/>
      <c r="FR30" s="101"/>
      <c r="FS30" s="101"/>
      <c r="FT30" s="101"/>
      <c r="FU30" s="101"/>
      <c r="FV30" s="101"/>
      <c r="FW30" s="101"/>
      <c r="FX30" s="101"/>
      <c r="FY30" s="101"/>
      <c r="FZ30" s="101"/>
      <c r="GA30" s="101"/>
      <c r="GB30" s="101"/>
      <c r="GC30" s="101"/>
      <c r="GD30" s="101"/>
      <c r="GE30" s="101"/>
      <c r="GF30" s="101"/>
      <c r="GG30" s="101"/>
      <c r="GH30" s="101"/>
      <c r="GI30" s="101"/>
      <c r="GJ30" s="101"/>
      <c r="GK30" s="101"/>
      <c r="GL30" s="101"/>
      <c r="GM30" s="101"/>
      <c r="GN30" s="101"/>
      <c r="GO30" s="101"/>
      <c r="GP30" s="101"/>
      <c r="GQ30" s="101"/>
      <c r="GR30" s="101"/>
      <c r="GS30" s="101"/>
      <c r="GT30" s="101"/>
      <c r="GU30" s="101"/>
      <c r="GV30" s="101"/>
      <c r="GW30" s="101"/>
      <c r="GX30" s="101"/>
      <c r="GY30" s="101"/>
      <c r="GZ30" s="101"/>
      <c r="HA30" s="101"/>
      <c r="HB30" s="101"/>
      <c r="HC30" s="101"/>
      <c r="HD30" s="101"/>
      <c r="HE30" s="101"/>
      <c r="HF30" s="101"/>
      <c r="HG30" s="101"/>
      <c r="HH30" s="101"/>
      <c r="HI30" s="101"/>
      <c r="HJ30" s="101"/>
      <c r="HK30" s="101"/>
      <c r="HL30" s="101"/>
      <c r="HM30" s="101"/>
      <c r="HN30" s="101"/>
      <c r="HO30" s="101"/>
      <c r="HP30" s="101"/>
      <c r="HQ30" s="101"/>
      <c r="HR30" s="101"/>
      <c r="HS30" s="101"/>
      <c r="HT30" s="101"/>
      <c r="HU30" s="101"/>
      <c r="HV30" s="101"/>
      <c r="HW30" s="101"/>
      <c r="HX30" s="101"/>
      <c r="HY30" s="101"/>
      <c r="HZ30" s="101"/>
      <c r="IA30" s="101"/>
      <c r="IB30" s="101"/>
      <c r="IC30" s="101"/>
      <c r="ID30" s="101"/>
      <c r="IE30" s="101"/>
      <c r="IF30" s="101"/>
      <c r="IG30" s="101"/>
      <c r="IH30" s="101"/>
      <c r="II30" s="101"/>
      <c r="IJ30" s="101"/>
      <c r="IK30" s="101"/>
      <c r="IL30" s="101"/>
      <c r="IM30" s="101"/>
      <c r="IN30" s="101"/>
      <c r="IO30" s="101"/>
      <c r="IP30" s="101"/>
      <c r="IQ30" s="101"/>
      <c r="IR30" s="101"/>
      <c r="IS30" s="101"/>
      <c r="IT30" s="101"/>
      <c r="IU30" s="101"/>
      <c r="IV30" s="101"/>
      <c r="IW30" s="101"/>
      <c r="IX30" s="101"/>
      <c r="IY30" s="101"/>
      <c r="IZ30" s="101"/>
      <c r="JA30" s="101"/>
      <c r="JB30" s="101"/>
      <c r="JC30" s="101"/>
      <c r="JD30" s="101"/>
      <c r="JE30" s="101"/>
      <c r="JF30" s="101"/>
      <c r="JG30" s="101"/>
      <c r="JH30" s="101"/>
      <c r="JI30" s="101"/>
      <c r="JJ30" s="101"/>
      <c r="JK30" s="101"/>
      <c r="JL30" s="101"/>
      <c r="JM30" s="101"/>
      <c r="JN30" s="101"/>
      <c r="JO30" s="101"/>
      <c r="JP30" s="101"/>
      <c r="JQ30" s="101"/>
      <c r="JR30" s="101"/>
      <c r="JS30" s="101"/>
      <c r="JT30" s="101"/>
      <c r="JU30" s="101"/>
      <c r="JV30" s="101"/>
      <c r="JW30" s="101"/>
      <c r="JX30" s="101"/>
      <c r="JY30" s="101"/>
      <c r="JZ30" s="101"/>
      <c r="KA30" s="101"/>
      <c r="KB30" s="101"/>
      <c r="KC30" s="101"/>
      <c r="KD30" s="101"/>
      <c r="KE30" s="101"/>
      <c r="KF30" s="101"/>
      <c r="KG30" s="101"/>
      <c r="KH30" s="101"/>
      <c r="KI30" s="101"/>
      <c r="KJ30" s="101"/>
      <c r="KK30" s="101"/>
      <c r="KL30" s="101"/>
      <c r="KM30" s="101"/>
      <c r="KN30" s="101"/>
      <c r="KO30" s="101"/>
      <c r="KP30" s="101"/>
      <c r="KQ30" s="101"/>
      <c r="KR30" s="101"/>
      <c r="KS30" s="101"/>
      <c r="KT30" s="101"/>
      <c r="KU30" s="101"/>
      <c r="KV30" s="101"/>
      <c r="KW30" s="101"/>
      <c r="KX30" s="101"/>
      <c r="KY30" s="101"/>
      <c r="KZ30" s="101"/>
      <c r="LA30" s="101"/>
      <c r="LB30" s="101"/>
      <c r="LC30" s="101"/>
      <c r="LD30" s="101"/>
      <c r="LE30" s="101"/>
      <c r="LF30" s="101"/>
      <c r="LG30" s="101"/>
      <c r="LH30" s="101"/>
      <c r="LI30" s="101"/>
      <c r="LJ30" s="101"/>
      <c r="LK30" s="101"/>
      <c r="LL30" s="101"/>
      <c r="LM30" s="101"/>
      <c r="LN30" s="101"/>
      <c r="LO30" s="101"/>
      <c r="LP30" s="101"/>
      <c r="LQ30" s="101"/>
      <c r="LR30" s="101"/>
      <c r="LS30" s="101"/>
      <c r="LT30" s="101"/>
      <c r="LU30" s="101"/>
      <c r="LV30" s="101"/>
      <c r="LW30" s="101"/>
      <c r="LX30" s="101"/>
      <c r="LY30" s="101"/>
      <c r="LZ30" s="101"/>
      <c r="MA30" s="101"/>
      <c r="MB30" s="101"/>
      <c r="MC30" s="101"/>
      <c r="MD30" s="101"/>
      <c r="ME30" s="101"/>
      <c r="MF30" s="101"/>
      <c r="MG30" s="101"/>
      <c r="MH30" s="101"/>
      <c r="MI30" s="101"/>
      <c r="MJ30" s="101"/>
      <c r="MK30" s="101"/>
      <c r="ML30" s="101"/>
      <c r="MM30" s="101"/>
      <c r="MN30" s="101"/>
      <c r="MO30" s="101"/>
      <c r="MP30" s="101"/>
      <c r="MQ30" s="101"/>
      <c r="MR30" s="101"/>
      <c r="MS30" s="101"/>
      <c r="MT30" s="101"/>
      <c r="MU30" s="101"/>
      <c r="MV30" s="101"/>
      <c r="MW30" s="101"/>
      <c r="MX30" s="101"/>
      <c r="MY30" s="101"/>
      <c r="MZ30" s="101"/>
      <c r="NA30" s="101"/>
      <c r="NB30" s="101"/>
      <c r="NC30" s="101"/>
      <c r="ND30" s="101"/>
      <c r="NE30" s="101"/>
      <c r="NF30" s="101"/>
      <c r="NG30" s="101"/>
      <c r="NH30" s="101"/>
      <c r="NI30" s="101"/>
      <c r="NJ30" s="101"/>
      <c r="NK30" s="101"/>
      <c r="NL30" s="101"/>
      <c r="NM30" s="101"/>
      <c r="NN30" s="101"/>
      <c r="NO30" s="101"/>
      <c r="NP30" s="101"/>
      <c r="NQ30" s="101"/>
      <c r="NR30" s="101"/>
      <c r="NS30" s="101"/>
      <c r="NT30" s="101"/>
      <c r="NU30" s="101"/>
      <c r="NV30" s="101"/>
      <c r="NW30" s="101"/>
      <c r="NX30" s="101"/>
      <c r="NY30" s="101"/>
      <c r="NZ30" s="101"/>
      <c r="OA30" s="101"/>
      <c r="OB30" s="101"/>
      <c r="OC30" s="101"/>
      <c r="OD30" s="101"/>
      <c r="OE30" s="101"/>
      <c r="OF30" s="101"/>
      <c r="OG30" s="101"/>
      <c r="OH30" s="101"/>
      <c r="OI30" s="101"/>
      <c r="OJ30" s="101"/>
      <c r="OK30" s="101"/>
      <c r="OL30" s="101"/>
      <c r="OM30" s="101"/>
      <c r="ON30" s="101"/>
      <c r="OO30" s="101"/>
      <c r="OP30" s="101"/>
      <c r="OQ30" s="101"/>
      <c r="OR30" s="101"/>
      <c r="OS30" s="101"/>
      <c r="OT30" s="101"/>
      <c r="OU30" s="101"/>
      <c r="OV30" s="101"/>
      <c r="OW30" s="101"/>
      <c r="OX30" s="101"/>
      <c r="OY30" s="101"/>
      <c r="OZ30" s="101"/>
      <c r="PA30" s="101"/>
      <c r="PB30" s="101"/>
      <c r="PC30" s="101"/>
      <c r="PD30" s="101"/>
      <c r="PE30" s="101"/>
      <c r="PF30" s="101"/>
      <c r="PG30" s="101"/>
      <c r="PH30" s="101"/>
      <c r="PI30" s="101"/>
      <c r="PJ30" s="101"/>
      <c r="PK30" s="101"/>
      <c r="PL30" s="101"/>
      <c r="PM30" s="101"/>
      <c r="PN30" s="101"/>
      <c r="PO30" s="101"/>
      <c r="PP30" s="101"/>
      <c r="PQ30" s="101"/>
      <c r="PR30" s="101"/>
      <c r="PS30" s="101"/>
      <c r="PT30" s="101"/>
      <c r="PU30" s="101"/>
      <c r="PV30" s="101"/>
      <c r="PW30" s="101"/>
      <c r="PX30" s="101"/>
      <c r="PY30" s="101"/>
      <c r="PZ30" s="101"/>
      <c r="QA30" s="101"/>
      <c r="QB30" s="101"/>
      <c r="QC30" s="101"/>
      <c r="QD30" s="101"/>
      <c r="QE30" s="101"/>
      <c r="QF30" s="101"/>
      <c r="QG30" s="101"/>
      <c r="QH30" s="101"/>
      <c r="QI30" s="101"/>
      <c r="QJ30" s="101"/>
      <c r="QK30" s="101"/>
      <c r="QL30" s="101"/>
      <c r="QM30" s="101"/>
      <c r="QN30" s="101"/>
      <c r="QO30" s="101"/>
      <c r="QP30" s="101"/>
      <c r="QQ30" s="101"/>
      <c r="QR30" s="101"/>
      <c r="QS30" s="101"/>
      <c r="QT30" s="101"/>
      <c r="QU30" s="101"/>
      <c r="QV30" s="101"/>
      <c r="QW30" s="101"/>
      <c r="QX30" s="101"/>
      <c r="QY30" s="101"/>
      <c r="QZ30" s="101"/>
      <c r="RA30" s="101"/>
      <c r="RB30" s="101"/>
      <c r="RC30" s="101"/>
      <c r="RD30" s="101"/>
      <c r="RE30" s="101"/>
      <c r="RF30" s="101"/>
      <c r="RG30" s="101"/>
      <c r="RH30" s="101"/>
      <c r="RI30" s="101"/>
      <c r="RJ30" s="101"/>
      <c r="RK30" s="101"/>
      <c r="RL30" s="101"/>
      <c r="RM30" s="101"/>
      <c r="RN30" s="101"/>
      <c r="RO30" s="101"/>
      <c r="RP30" s="101"/>
      <c r="RQ30" s="101"/>
      <c r="RR30" s="101"/>
      <c r="RS30" s="101"/>
      <c r="RT30" s="101"/>
      <c r="RU30" s="101"/>
      <c r="RV30" s="101"/>
      <c r="RW30" s="101"/>
      <c r="RX30" s="101"/>
      <c r="RY30" s="101"/>
      <c r="RZ30" s="101"/>
      <c r="SA30" s="101"/>
      <c r="SB30" s="101"/>
      <c r="SC30" s="101"/>
      <c r="SD30" s="101"/>
      <c r="SE30" s="101"/>
      <c r="SF30" s="101"/>
      <c r="SG30" s="101"/>
      <c r="SH30" s="101"/>
      <c r="SI30" s="101"/>
      <c r="SJ30" s="101"/>
      <c r="SK30" s="101"/>
      <c r="SL30" s="101"/>
      <c r="SM30" s="101"/>
      <c r="SN30" s="101"/>
      <c r="SO30" s="101"/>
      <c r="SP30" s="101"/>
      <c r="SQ30" s="101"/>
      <c r="SR30" s="101"/>
      <c r="SS30" s="101"/>
      <c r="ST30" s="101"/>
      <c r="SU30" s="101"/>
      <c r="SV30" s="101"/>
      <c r="SW30" s="101"/>
      <c r="SX30" s="101"/>
      <c r="SY30" s="101"/>
      <c r="SZ30" s="101"/>
      <c r="TA30" s="101"/>
      <c r="TB30" s="101"/>
      <c r="TC30" s="101"/>
      <c r="TD30" s="101"/>
      <c r="TE30" s="101"/>
      <c r="TF30" s="101"/>
      <c r="TG30" s="101"/>
      <c r="TH30" s="101"/>
      <c r="TI30" s="101"/>
      <c r="TJ30" s="101"/>
      <c r="TK30" s="101"/>
      <c r="TL30" s="101"/>
      <c r="TM30" s="101"/>
      <c r="TN30" s="101"/>
      <c r="TO30" s="101"/>
      <c r="TP30" s="101"/>
      <c r="TQ30" s="101"/>
      <c r="TR30" s="101"/>
      <c r="TS30" s="101"/>
      <c r="TT30" s="101"/>
      <c r="TU30" s="101"/>
      <c r="TV30" s="101"/>
      <c r="TW30" s="101"/>
      <c r="TX30" s="101"/>
      <c r="TY30" s="101"/>
      <c r="TZ30" s="101"/>
      <c r="UA30" s="101"/>
      <c r="UB30" s="101"/>
      <c r="UC30" s="101"/>
      <c r="UD30" s="101"/>
      <c r="UE30" s="101"/>
      <c r="UF30" s="101"/>
      <c r="UG30" s="101"/>
      <c r="UH30" s="101"/>
      <c r="UI30" s="101"/>
      <c r="UJ30" s="101"/>
      <c r="UK30" s="101"/>
      <c r="UL30" s="101"/>
      <c r="UM30" s="101"/>
      <c r="UN30" s="101"/>
      <c r="UO30" s="101"/>
      <c r="UP30" s="101"/>
      <c r="UQ30" s="101"/>
      <c r="UR30" s="101"/>
      <c r="US30" s="101"/>
      <c r="UT30" s="101"/>
      <c r="UU30" s="101"/>
      <c r="UV30" s="101"/>
      <c r="UW30" s="101"/>
      <c r="UX30" s="101"/>
      <c r="UY30" s="101"/>
      <c r="UZ30" s="101"/>
      <c r="VA30" s="101"/>
      <c r="VB30" s="101"/>
      <c r="VC30" s="101"/>
      <c r="VD30" s="101"/>
      <c r="VE30" s="101"/>
      <c r="VF30" s="101"/>
      <c r="VG30" s="101"/>
      <c r="VH30" s="101"/>
      <c r="VI30" s="101"/>
      <c r="VJ30" s="101"/>
      <c r="VK30" s="101"/>
      <c r="VL30" s="101"/>
      <c r="VM30" s="101"/>
      <c r="VN30" s="101"/>
      <c r="VO30" s="101"/>
      <c r="VP30" s="101"/>
      <c r="VQ30" s="101"/>
      <c r="VR30" s="101"/>
      <c r="VS30" s="101"/>
      <c r="VT30" s="101"/>
      <c r="VU30" s="101"/>
      <c r="VV30" s="101"/>
      <c r="VW30" s="101"/>
      <c r="VX30" s="101"/>
      <c r="VY30" s="101"/>
      <c r="VZ30" s="101"/>
      <c r="WA30" s="101"/>
      <c r="WB30" s="101"/>
      <c r="WC30" s="101"/>
      <c r="WD30" s="101"/>
      <c r="WE30" s="101"/>
      <c r="WF30" s="101"/>
      <c r="WG30" s="101"/>
      <c r="WH30" s="101"/>
      <c r="WI30" s="101"/>
      <c r="WJ30" s="101"/>
      <c r="WK30" s="101"/>
      <c r="WL30" s="101"/>
      <c r="WM30" s="101"/>
      <c r="WN30" s="101"/>
      <c r="WO30" s="101"/>
      <c r="WP30" s="101"/>
      <c r="WQ30" s="101"/>
      <c r="WR30" s="101"/>
      <c r="WS30" s="101"/>
      <c r="WT30" s="101"/>
      <c r="WU30" s="101"/>
      <c r="WV30" s="101"/>
      <c r="WW30" s="101"/>
      <c r="WX30" s="101"/>
      <c r="WY30" s="101"/>
      <c r="WZ30" s="101"/>
      <c r="XA30" s="101"/>
      <c r="XB30" s="101"/>
      <c r="XC30" s="101"/>
      <c r="XD30" s="101"/>
      <c r="XE30" s="101"/>
      <c r="XF30" s="101"/>
      <c r="XG30" s="101"/>
      <c r="XH30" s="101"/>
      <c r="XI30" s="101"/>
      <c r="XJ30" s="101"/>
      <c r="XK30" s="101"/>
      <c r="XL30" s="101"/>
      <c r="XM30" s="101"/>
      <c r="XN30" s="101"/>
      <c r="XO30" s="101"/>
      <c r="XP30" s="101"/>
      <c r="XQ30" s="101"/>
      <c r="XR30" s="101"/>
      <c r="XS30" s="101"/>
      <c r="XT30" s="101"/>
      <c r="XU30" s="101"/>
      <c r="XV30" s="101"/>
      <c r="XW30" s="101"/>
      <c r="XX30" s="101"/>
      <c r="XY30" s="101"/>
      <c r="XZ30" s="101"/>
      <c r="YA30" s="101"/>
      <c r="YB30" s="101"/>
      <c r="YC30" s="101"/>
      <c r="YD30" s="101"/>
      <c r="YE30" s="101"/>
      <c r="YF30" s="101"/>
      <c r="YG30" s="101"/>
      <c r="YH30" s="101"/>
      <c r="YI30" s="101"/>
      <c r="YJ30" s="101"/>
      <c r="YK30" s="101"/>
      <c r="YL30" s="101"/>
      <c r="YM30" s="101"/>
      <c r="YN30" s="101"/>
      <c r="YO30" s="101"/>
      <c r="YP30" s="101"/>
      <c r="YQ30" s="101"/>
      <c r="YR30" s="101"/>
      <c r="YS30" s="101"/>
      <c r="YT30" s="101"/>
      <c r="YU30" s="101"/>
      <c r="YV30" s="101"/>
      <c r="YW30" s="101"/>
      <c r="YX30" s="101"/>
      <c r="YY30" s="101"/>
      <c r="YZ30" s="101"/>
      <c r="ZA30" s="101"/>
      <c r="ZB30" s="101"/>
      <c r="ZC30" s="101"/>
      <c r="ZD30" s="101"/>
      <c r="ZE30" s="101"/>
      <c r="ZF30" s="101"/>
      <c r="ZG30" s="101"/>
      <c r="ZH30" s="101"/>
      <c r="ZI30" s="101"/>
      <c r="ZJ30" s="101"/>
      <c r="ZK30" s="101"/>
      <c r="ZL30" s="101"/>
      <c r="ZM30" s="101"/>
      <c r="ZN30" s="101"/>
      <c r="ZO30" s="101"/>
      <c r="ZP30" s="101"/>
      <c r="ZQ30" s="101"/>
      <c r="ZR30" s="101"/>
      <c r="ZS30" s="101"/>
      <c r="ZT30" s="101"/>
      <c r="ZU30" s="101"/>
      <c r="ZV30" s="101"/>
      <c r="ZW30" s="101"/>
      <c r="ZX30" s="101"/>
      <c r="ZY30" s="101"/>
      <c r="ZZ30" s="101"/>
      <c r="AAA30" s="101"/>
      <c r="AAB30" s="101"/>
      <c r="AAC30" s="101"/>
      <c r="AAD30" s="101"/>
      <c r="AAE30" s="101"/>
      <c r="AAF30" s="101"/>
      <c r="AAG30" s="101"/>
      <c r="AAH30" s="101"/>
      <c r="AAI30" s="101"/>
      <c r="AAJ30" s="101"/>
      <c r="AAK30" s="101"/>
      <c r="AAL30" s="101"/>
      <c r="AAM30" s="101"/>
      <c r="AAN30" s="101"/>
      <c r="AAO30" s="101"/>
      <c r="AAP30" s="101"/>
      <c r="AAQ30" s="101"/>
      <c r="AAR30" s="101"/>
      <c r="AAS30" s="101"/>
      <c r="AAT30" s="101"/>
      <c r="AAU30" s="101"/>
      <c r="AAV30" s="101"/>
      <c r="AAW30" s="101"/>
      <c r="AAX30" s="101"/>
      <c r="AAY30" s="101"/>
      <c r="AAZ30" s="101"/>
      <c r="ABA30" s="101"/>
      <c r="ABB30" s="101"/>
      <c r="ABC30" s="101"/>
      <c r="ABD30" s="101"/>
      <c r="ABE30" s="101"/>
      <c r="ABF30" s="101"/>
      <c r="ABG30" s="101"/>
      <c r="ABH30" s="101"/>
      <c r="ABI30" s="101"/>
      <c r="ABJ30" s="101"/>
      <c r="ABK30" s="101"/>
      <c r="ABL30" s="101"/>
      <c r="ABM30" s="101"/>
      <c r="ABN30" s="101"/>
      <c r="ABO30" s="101"/>
      <c r="ABP30" s="101"/>
      <c r="ABQ30" s="101"/>
      <c r="ABR30" s="101"/>
      <c r="ABS30" s="101"/>
      <c r="ABT30" s="101"/>
      <c r="ABU30" s="101"/>
      <c r="ABV30" s="101"/>
      <c r="ABW30" s="101"/>
      <c r="ABX30" s="101"/>
      <c r="ABY30" s="101"/>
      <c r="ABZ30" s="101"/>
      <c r="ACA30" s="101"/>
      <c r="ACB30" s="101"/>
      <c r="ACC30" s="101"/>
      <c r="ACD30" s="101"/>
      <c r="ACE30" s="101"/>
      <c r="ACF30" s="101"/>
      <c r="ACG30" s="101"/>
      <c r="ACH30" s="101"/>
      <c r="ACI30" s="101"/>
      <c r="ACJ30" s="101"/>
      <c r="ACK30" s="101"/>
      <c r="ACL30" s="101"/>
      <c r="ACM30" s="101"/>
      <c r="ACN30" s="101"/>
      <c r="ACO30" s="101"/>
      <c r="ACP30" s="101"/>
      <c r="ACQ30" s="101"/>
      <c r="ACR30" s="101"/>
      <c r="ACS30" s="101"/>
      <c r="ACT30" s="101"/>
      <c r="ACU30" s="101"/>
      <c r="ACV30" s="101"/>
      <c r="ACW30" s="101"/>
      <c r="ACX30" s="101"/>
      <c r="ACY30" s="101"/>
      <c r="ACZ30" s="101"/>
      <c r="ADA30" s="101"/>
      <c r="ADB30" s="101"/>
      <c r="ADC30" s="101"/>
      <c r="ADD30" s="101"/>
      <c r="ADE30" s="101"/>
      <c r="ADF30" s="101"/>
      <c r="ADG30" s="101"/>
      <c r="ADH30" s="101"/>
      <c r="ADI30" s="101"/>
      <c r="ADJ30" s="101"/>
      <c r="ADK30" s="101"/>
      <c r="ADL30" s="101"/>
      <c r="ADM30" s="101"/>
      <c r="ADN30" s="101"/>
      <c r="ADO30" s="101"/>
      <c r="ADP30" s="101"/>
      <c r="ADQ30" s="101"/>
      <c r="ADR30" s="101"/>
      <c r="ADS30" s="101"/>
      <c r="ADT30" s="101"/>
      <c r="ADU30" s="101"/>
      <c r="ADV30" s="101"/>
      <c r="ADW30" s="101"/>
      <c r="ADX30" s="101"/>
      <c r="ADY30" s="101"/>
      <c r="ADZ30" s="101"/>
      <c r="AEA30" s="101"/>
      <c r="AEB30" s="101"/>
      <c r="AEC30" s="101"/>
      <c r="AED30" s="101"/>
      <c r="AEE30" s="101"/>
      <c r="AEF30" s="101"/>
      <c r="AEG30" s="101"/>
      <c r="AEH30" s="101"/>
      <c r="AEI30" s="101"/>
      <c r="AEJ30" s="101"/>
      <c r="AEK30" s="101"/>
      <c r="AEL30" s="101"/>
      <c r="AEM30" s="101"/>
      <c r="AEN30" s="101"/>
      <c r="AEO30" s="101"/>
      <c r="AEP30" s="101"/>
      <c r="AEQ30" s="101"/>
      <c r="AER30" s="101"/>
      <c r="AES30" s="101"/>
      <c r="AET30" s="101"/>
      <c r="AEU30" s="101"/>
      <c r="AEV30" s="101"/>
      <c r="AEW30" s="101"/>
      <c r="AEX30" s="101"/>
      <c r="AEY30" s="101"/>
      <c r="AEZ30" s="101"/>
      <c r="AFA30" s="101"/>
      <c r="AFB30" s="101"/>
      <c r="AFC30" s="101"/>
      <c r="AFD30" s="101"/>
      <c r="AFE30" s="101"/>
      <c r="AFF30" s="101"/>
      <c r="AFG30" s="101"/>
      <c r="AFH30" s="101"/>
      <c r="AFI30" s="101"/>
      <c r="AFJ30" s="101"/>
      <c r="AFK30" s="101"/>
      <c r="AFL30" s="101"/>
      <c r="AFM30" s="101"/>
      <c r="AFN30" s="101"/>
      <c r="AFO30" s="101"/>
      <c r="AFP30" s="101"/>
      <c r="AFQ30" s="101"/>
      <c r="AFR30" s="101"/>
      <c r="AFS30" s="101"/>
      <c r="AFT30" s="101"/>
      <c r="AFU30" s="101"/>
      <c r="AFV30" s="101"/>
      <c r="AFW30" s="101"/>
      <c r="AFX30" s="101"/>
      <c r="AFY30" s="101"/>
      <c r="AFZ30" s="101"/>
      <c r="AGA30" s="101"/>
      <c r="AGB30" s="101"/>
      <c r="AGC30" s="101"/>
      <c r="AGD30" s="101"/>
      <c r="AGE30" s="101"/>
      <c r="AGF30" s="101"/>
      <c r="AGG30" s="101"/>
      <c r="AGH30" s="101"/>
      <c r="AGI30" s="101"/>
      <c r="AGJ30" s="101"/>
      <c r="AGK30" s="101"/>
      <c r="AGL30" s="101"/>
      <c r="AGM30" s="101"/>
      <c r="AGN30" s="101"/>
      <c r="AGO30" s="101"/>
      <c r="AGP30" s="101"/>
      <c r="AGQ30" s="101"/>
      <c r="AGR30" s="101"/>
      <c r="AGS30" s="101"/>
      <c r="AGT30" s="101"/>
      <c r="AGU30" s="101"/>
      <c r="AGV30" s="101"/>
      <c r="AGW30" s="101"/>
      <c r="AGX30" s="101"/>
      <c r="AGY30" s="101"/>
      <c r="AGZ30" s="101"/>
      <c r="AHA30" s="101"/>
      <c r="AHB30" s="101"/>
      <c r="AHC30" s="101"/>
      <c r="AHD30" s="101"/>
      <c r="AHE30" s="101"/>
      <c r="AHF30" s="101"/>
      <c r="AHG30" s="101"/>
      <c r="AHH30" s="101"/>
      <c r="AHI30" s="101"/>
      <c r="AHJ30" s="101"/>
      <c r="AHK30" s="101"/>
      <c r="AHL30" s="101"/>
      <c r="AHM30" s="101"/>
      <c r="AHN30" s="101"/>
      <c r="AHO30" s="101"/>
      <c r="AHP30" s="101"/>
      <c r="AHQ30" s="101"/>
      <c r="AHR30" s="101"/>
      <c r="AHS30" s="101"/>
      <c r="AHT30" s="101"/>
      <c r="AHU30" s="101"/>
      <c r="AHV30" s="101"/>
      <c r="AHW30" s="101"/>
      <c r="AHX30" s="101"/>
      <c r="AHY30" s="101"/>
      <c r="AHZ30" s="101"/>
      <c r="AIA30" s="101"/>
      <c r="AIB30" s="101"/>
      <c r="AIC30" s="101"/>
      <c r="AID30" s="101"/>
      <c r="AIE30" s="101"/>
      <c r="AIF30" s="101"/>
      <c r="AIG30" s="101"/>
      <c r="AIH30" s="101"/>
      <c r="AII30" s="101"/>
      <c r="AIJ30" s="101"/>
      <c r="AIK30" s="101"/>
      <c r="AIL30" s="101"/>
      <c r="AIM30" s="101"/>
      <c r="AIN30" s="101"/>
      <c r="AIO30" s="101"/>
      <c r="AIP30" s="101"/>
      <c r="AIQ30" s="101"/>
      <c r="AIR30" s="101"/>
      <c r="AIS30" s="101"/>
      <c r="AIT30" s="101"/>
      <c r="AIU30" s="101"/>
      <c r="AIV30" s="101"/>
      <c r="AIW30" s="101"/>
      <c r="AIX30" s="101"/>
      <c r="AIY30" s="101"/>
      <c r="AIZ30" s="101"/>
      <c r="AJA30" s="101"/>
      <c r="AJB30" s="101"/>
      <c r="AJC30" s="101"/>
      <c r="AJD30" s="101"/>
      <c r="AJE30" s="101"/>
      <c r="AJF30" s="101"/>
      <c r="AJG30" s="101"/>
      <c r="AJH30" s="101"/>
      <c r="AJI30" s="101"/>
      <c r="AJJ30" s="101"/>
      <c r="AJK30" s="101"/>
      <c r="AJL30" s="101"/>
      <c r="AJM30" s="101"/>
      <c r="AJN30" s="101"/>
      <c r="AJO30" s="101"/>
      <c r="AJP30" s="101"/>
      <c r="AJQ30" s="101"/>
      <c r="AJR30" s="101"/>
      <c r="AJS30" s="101"/>
      <c r="AJT30" s="101"/>
      <c r="AJU30" s="101"/>
      <c r="AJV30" s="101"/>
      <c r="AJW30" s="101"/>
      <c r="AJX30" s="101"/>
      <c r="AJY30" s="101"/>
      <c r="AJZ30" s="101"/>
      <c r="AKA30" s="101"/>
      <c r="AKB30" s="101"/>
      <c r="AKC30" s="101"/>
      <c r="AKD30" s="101"/>
      <c r="AKE30" s="101"/>
      <c r="AKF30" s="101"/>
      <c r="AKG30" s="101"/>
      <c r="AKH30" s="101"/>
      <c r="AKI30" s="101"/>
      <c r="AKJ30" s="101"/>
      <c r="AKK30" s="101"/>
      <c r="AKL30" s="101"/>
      <c r="AKM30" s="101"/>
      <c r="AKN30" s="101"/>
      <c r="AKO30" s="101"/>
      <c r="AKP30" s="101"/>
      <c r="AKQ30" s="101"/>
      <c r="AKR30" s="101"/>
      <c r="AKS30" s="101"/>
      <c r="AKT30" s="101"/>
      <c r="AKU30" s="101"/>
      <c r="AKV30" s="101"/>
      <c r="AKW30" s="101"/>
      <c r="AKX30" s="101"/>
      <c r="AKY30" s="101"/>
      <c r="AKZ30" s="101"/>
      <c r="ALA30" s="101"/>
      <c r="ALB30" s="101"/>
      <c r="ALC30" s="101"/>
      <c r="ALD30" s="101"/>
      <c r="ALE30" s="101"/>
      <c r="ALF30" s="101"/>
      <c r="ALG30" s="101"/>
      <c r="ALH30" s="101"/>
      <c r="ALI30" s="101"/>
      <c r="ALJ30" s="101"/>
      <c r="ALK30" s="101"/>
      <c r="ALL30" s="101"/>
      <c r="ALM30" s="101"/>
      <c r="ALN30" s="101"/>
      <c r="ALO30" s="101"/>
      <c r="ALP30" s="101"/>
      <c r="ALQ30" s="101"/>
      <c r="ALR30" s="101"/>
      <c r="ALS30" s="101"/>
      <c r="ALT30" s="101"/>
      <c r="ALU30" s="101"/>
      <c r="ALV30" s="101"/>
      <c r="ALW30" s="101"/>
      <c r="ALX30" s="101"/>
      <c r="ALY30" s="101"/>
      <c r="ALZ30" s="101"/>
      <c r="AMA30" s="101"/>
      <c r="AMB30" s="101"/>
      <c r="AMC30" s="101"/>
      <c r="AMD30" s="101"/>
      <c r="AME30" s="101"/>
      <c r="AMF30" s="101"/>
      <c r="AMG30" s="101"/>
      <c r="AMH30" s="101"/>
      <c r="AMI30" s="101"/>
      <c r="AMJ30" s="101"/>
      <c r="AMK30" s="101"/>
      <c r="AML30" s="101"/>
      <c r="AMM30" s="101"/>
      <c r="AMN30" s="101"/>
      <c r="AMO30" s="101"/>
      <c r="AMP30" s="101"/>
      <c r="AMQ30" s="101"/>
      <c r="AMR30" s="101"/>
      <c r="AMS30" s="101"/>
      <c r="AMT30" s="101"/>
      <c r="AMU30" s="101"/>
      <c r="AMV30" s="101"/>
      <c r="AMW30" s="101"/>
      <c r="AMX30" s="101"/>
      <c r="AMY30" s="101"/>
      <c r="AMZ30" s="101"/>
      <c r="ANA30" s="101"/>
      <c r="ANB30" s="101"/>
      <c r="ANC30" s="101"/>
      <c r="AND30" s="101"/>
      <c r="ANE30" s="101"/>
      <c r="ANF30" s="101"/>
      <c r="ANG30" s="101"/>
      <c r="ANH30" s="101"/>
      <c r="ANI30" s="101"/>
      <c r="ANJ30" s="101"/>
      <c r="ANK30" s="101"/>
      <c r="ANL30" s="101"/>
      <c r="ANM30" s="101"/>
      <c r="ANN30" s="101"/>
      <c r="ANO30" s="101"/>
      <c r="ANP30" s="101"/>
      <c r="ANQ30" s="101"/>
      <c r="ANR30" s="101"/>
      <c r="ANS30" s="101"/>
      <c r="ANT30" s="101"/>
      <c r="ANU30" s="101"/>
      <c r="ANV30" s="101"/>
      <c r="ANW30" s="101"/>
      <c r="ANX30" s="101"/>
      <c r="ANY30" s="101"/>
      <c r="ANZ30" s="101"/>
      <c r="AOA30" s="101"/>
      <c r="AOB30" s="101"/>
      <c r="AOC30" s="101"/>
      <c r="AOD30" s="101"/>
      <c r="AOE30" s="101"/>
      <c r="AOF30" s="101"/>
      <c r="AOG30" s="101"/>
      <c r="AOH30" s="101"/>
      <c r="AOI30" s="101"/>
      <c r="AOJ30" s="101"/>
      <c r="AOK30" s="101"/>
      <c r="AOL30" s="101"/>
      <c r="AOM30" s="101"/>
      <c r="AON30" s="101"/>
      <c r="AOO30" s="101"/>
      <c r="AOP30" s="101"/>
      <c r="AOQ30" s="101"/>
      <c r="AOR30" s="101"/>
      <c r="AOS30" s="101"/>
      <c r="AOT30" s="101"/>
      <c r="AOU30" s="101"/>
      <c r="AOV30" s="101"/>
      <c r="AOW30" s="101"/>
      <c r="AOX30" s="101"/>
      <c r="AOY30" s="101"/>
      <c r="AOZ30" s="101"/>
      <c r="APA30" s="101"/>
      <c r="APB30" s="101"/>
      <c r="APC30" s="101"/>
      <c r="APD30" s="101"/>
      <c r="APE30" s="101"/>
      <c r="APF30" s="101"/>
      <c r="APG30" s="101"/>
      <c r="APH30" s="101"/>
      <c r="API30" s="101"/>
      <c r="APJ30" s="101"/>
      <c r="APK30" s="101"/>
      <c r="APL30" s="101"/>
      <c r="APM30" s="101"/>
      <c r="APN30" s="101"/>
      <c r="APO30" s="101"/>
      <c r="APP30" s="101"/>
      <c r="APQ30" s="101"/>
      <c r="APR30" s="101"/>
      <c r="APS30" s="101"/>
      <c r="APT30" s="101"/>
      <c r="APU30" s="101"/>
      <c r="APV30" s="101"/>
      <c r="APW30" s="101"/>
      <c r="APX30" s="101"/>
      <c r="APY30" s="101"/>
      <c r="APZ30" s="101"/>
      <c r="AQA30" s="101"/>
      <c r="AQB30" s="101"/>
      <c r="AQC30" s="101"/>
      <c r="AQD30" s="101"/>
      <c r="AQE30" s="101"/>
      <c r="AQF30" s="101"/>
      <c r="AQG30" s="101"/>
      <c r="AQH30" s="101"/>
      <c r="AQI30" s="101"/>
      <c r="AQJ30" s="101"/>
      <c r="AQK30" s="101"/>
      <c r="AQL30" s="101"/>
      <c r="AQM30" s="101"/>
      <c r="AQN30" s="101"/>
      <c r="AQO30" s="101"/>
      <c r="AQP30" s="101"/>
      <c r="AQQ30" s="101"/>
      <c r="AQR30" s="101"/>
      <c r="AQS30" s="101"/>
      <c r="AQT30" s="101"/>
      <c r="AQU30" s="101"/>
      <c r="AQV30" s="101"/>
      <c r="AQW30" s="101"/>
      <c r="AQX30" s="101"/>
      <c r="AQY30" s="101"/>
      <c r="AQZ30" s="101"/>
      <c r="ARA30" s="101"/>
      <c r="ARB30" s="101"/>
      <c r="ARC30" s="101"/>
      <c r="ARD30" s="101"/>
      <c r="ARE30" s="101"/>
      <c r="ARF30" s="101"/>
      <c r="ARG30" s="101"/>
      <c r="ARH30" s="101"/>
      <c r="ARI30" s="101"/>
      <c r="ARJ30" s="101"/>
      <c r="ARK30" s="101"/>
      <c r="ARL30" s="101"/>
      <c r="ARM30" s="101"/>
      <c r="ARN30" s="101"/>
      <c r="ARO30" s="101"/>
      <c r="ARP30" s="101"/>
      <c r="ARQ30" s="101"/>
      <c r="ARR30" s="101"/>
      <c r="ARS30" s="101"/>
      <c r="ART30" s="101"/>
      <c r="ARU30" s="101"/>
      <c r="ARV30" s="101"/>
      <c r="ARW30" s="101"/>
      <c r="ARX30" s="101"/>
      <c r="ARY30" s="101"/>
      <c r="ARZ30" s="101"/>
      <c r="ASA30" s="101"/>
      <c r="ASB30" s="101"/>
      <c r="ASC30" s="101"/>
      <c r="ASD30" s="101"/>
      <c r="ASE30" s="101"/>
      <c r="ASF30" s="101"/>
      <c r="ASG30" s="101"/>
      <c r="ASH30" s="101"/>
      <c r="ASI30" s="101"/>
      <c r="ASJ30" s="101"/>
      <c r="ASK30" s="101"/>
      <c r="ASL30" s="101"/>
      <c r="ASM30" s="101"/>
      <c r="ASN30" s="101"/>
      <c r="ASO30" s="101"/>
      <c r="ASP30" s="101"/>
      <c r="ASQ30" s="101"/>
      <c r="ASR30" s="101"/>
      <c r="ASS30" s="101"/>
      <c r="AST30" s="101"/>
      <c r="ASU30" s="101"/>
      <c r="ASV30" s="101"/>
      <c r="ASW30" s="101"/>
      <c r="ASX30" s="101"/>
      <c r="ASY30" s="101"/>
      <c r="ASZ30" s="101"/>
      <c r="ATA30" s="101"/>
      <c r="ATB30" s="101"/>
      <c r="ATC30" s="101"/>
      <c r="ATD30" s="101"/>
      <c r="ATE30" s="101"/>
      <c r="ATF30" s="101"/>
      <c r="ATG30" s="101"/>
      <c r="ATH30" s="101"/>
      <c r="ATI30" s="101"/>
      <c r="ATJ30" s="101"/>
      <c r="ATK30" s="101"/>
      <c r="ATL30" s="101"/>
      <c r="ATM30" s="101"/>
      <c r="ATN30" s="101"/>
      <c r="ATO30" s="101"/>
      <c r="ATP30" s="101"/>
      <c r="ATQ30" s="101"/>
      <c r="ATR30" s="101"/>
      <c r="ATS30" s="101"/>
      <c r="ATT30" s="101"/>
      <c r="ATU30" s="101"/>
      <c r="ATV30" s="101"/>
      <c r="ATW30" s="101"/>
      <c r="ATX30" s="101"/>
      <c r="ATY30" s="101"/>
      <c r="ATZ30" s="101"/>
      <c r="AUA30" s="101"/>
      <c r="AUB30" s="101"/>
      <c r="AUC30" s="101"/>
      <c r="AUD30" s="101"/>
      <c r="AUE30" s="101"/>
      <c r="AUF30" s="101"/>
      <c r="AUG30" s="101"/>
      <c r="AUH30" s="101"/>
      <c r="AUI30" s="101"/>
      <c r="AUJ30" s="101"/>
      <c r="AUK30" s="101"/>
      <c r="AUL30" s="101"/>
      <c r="AUM30" s="101"/>
      <c r="AUN30" s="101"/>
      <c r="AUO30" s="101"/>
      <c r="AUP30" s="101"/>
      <c r="AUQ30" s="101"/>
      <c r="AUR30" s="101"/>
      <c r="AUS30" s="101"/>
      <c r="AUT30" s="101"/>
      <c r="AUU30" s="101"/>
      <c r="AUV30" s="101"/>
      <c r="AUW30" s="101"/>
      <c r="AUX30" s="101"/>
      <c r="AUY30" s="101"/>
      <c r="AUZ30" s="101"/>
      <c r="AVA30" s="101"/>
      <c r="AVB30" s="101"/>
      <c r="AVC30" s="101"/>
      <c r="AVD30" s="101"/>
      <c r="AVE30" s="101"/>
      <c r="AVF30" s="101"/>
      <c r="AVG30" s="101"/>
      <c r="AVH30" s="101"/>
      <c r="AVI30" s="101"/>
      <c r="AVJ30" s="101"/>
      <c r="AVK30" s="101"/>
      <c r="AVL30" s="101"/>
      <c r="AVM30" s="101"/>
      <c r="AVN30" s="101"/>
      <c r="AVO30" s="101"/>
      <c r="AVP30" s="101"/>
      <c r="AVQ30" s="101"/>
      <c r="AVR30" s="101"/>
      <c r="AVS30" s="101"/>
      <c r="AVT30" s="101"/>
      <c r="AVU30" s="101"/>
      <c r="AVV30" s="101"/>
      <c r="AVW30" s="101"/>
      <c r="AVX30" s="101"/>
      <c r="AVY30" s="101"/>
      <c r="AVZ30" s="101"/>
      <c r="AWA30" s="101"/>
      <c r="AWB30" s="101"/>
      <c r="AWC30" s="101"/>
      <c r="AWD30" s="101"/>
      <c r="AWE30" s="101"/>
      <c r="AWF30" s="101"/>
      <c r="AWG30" s="101"/>
      <c r="AWH30" s="101"/>
      <c r="AWI30" s="101"/>
      <c r="AWJ30" s="101"/>
      <c r="AWK30" s="101"/>
      <c r="AWL30" s="101"/>
      <c r="AWM30" s="101"/>
      <c r="AWN30" s="101"/>
      <c r="AWO30" s="101"/>
      <c r="AWP30" s="101"/>
      <c r="AWQ30" s="101"/>
      <c r="AWR30" s="101"/>
      <c r="AWS30" s="101"/>
      <c r="AWT30" s="101"/>
      <c r="AWU30" s="101"/>
      <c r="AWV30" s="101"/>
      <c r="AWW30" s="101"/>
      <c r="AWX30" s="101"/>
      <c r="AWY30" s="101"/>
      <c r="AWZ30" s="101"/>
      <c r="AXA30" s="101"/>
      <c r="AXB30" s="101"/>
      <c r="AXC30" s="101"/>
      <c r="AXD30" s="101"/>
      <c r="AXE30" s="101"/>
      <c r="AXF30" s="101"/>
      <c r="AXG30" s="101"/>
      <c r="AXH30" s="101"/>
      <c r="AXI30" s="101"/>
      <c r="AXJ30" s="101"/>
      <c r="AXK30" s="101"/>
      <c r="AXL30" s="101"/>
      <c r="AXM30" s="101"/>
      <c r="AXN30" s="101"/>
      <c r="AXO30" s="101"/>
      <c r="AXP30" s="101"/>
      <c r="AXQ30" s="101"/>
      <c r="AXR30" s="101"/>
      <c r="AXS30" s="101"/>
      <c r="AXT30" s="101"/>
      <c r="AXU30" s="101"/>
      <c r="AXV30" s="101"/>
      <c r="AXW30" s="101"/>
      <c r="AXX30" s="101"/>
      <c r="AXY30" s="101"/>
      <c r="AXZ30" s="101"/>
      <c r="AYA30" s="101"/>
      <c r="AYB30" s="101"/>
      <c r="AYC30" s="101"/>
      <c r="AYD30" s="101"/>
      <c r="AYE30" s="101"/>
      <c r="AYF30" s="101"/>
      <c r="AYG30" s="101"/>
      <c r="AYH30" s="101"/>
      <c r="AYI30" s="101"/>
      <c r="AYJ30" s="101"/>
      <c r="AYK30" s="101"/>
      <c r="AYL30" s="101"/>
      <c r="AYM30" s="101"/>
      <c r="AYN30" s="101"/>
      <c r="AYO30" s="101"/>
      <c r="AYP30" s="101"/>
      <c r="AYQ30" s="101"/>
      <c r="AYR30" s="101"/>
      <c r="AYS30" s="101"/>
      <c r="AYT30" s="101"/>
      <c r="AYU30" s="101"/>
      <c r="AYV30" s="101"/>
      <c r="AYW30" s="101"/>
      <c r="AYX30" s="101"/>
      <c r="AYY30" s="101"/>
      <c r="AYZ30" s="101"/>
      <c r="AZA30" s="101"/>
      <c r="AZB30" s="101"/>
      <c r="AZC30" s="101"/>
      <c r="AZD30" s="101"/>
      <c r="AZE30" s="101"/>
      <c r="AZF30" s="101"/>
      <c r="AZG30" s="101"/>
      <c r="AZH30" s="101"/>
      <c r="AZI30" s="101"/>
      <c r="AZJ30" s="101"/>
      <c r="AZK30" s="101"/>
      <c r="AZL30" s="101"/>
      <c r="AZM30" s="101"/>
      <c r="AZN30" s="101"/>
      <c r="AZO30" s="101"/>
      <c r="AZP30" s="101"/>
      <c r="AZQ30" s="101"/>
      <c r="AZR30" s="101"/>
      <c r="AZS30" s="101"/>
      <c r="AZT30" s="101"/>
      <c r="AZU30" s="101"/>
      <c r="AZV30" s="101"/>
      <c r="AZW30" s="101"/>
      <c r="AZX30" s="101"/>
      <c r="AZY30" s="101"/>
      <c r="AZZ30" s="101"/>
      <c r="BAA30" s="101"/>
      <c r="BAB30" s="101"/>
      <c r="BAC30" s="101"/>
      <c r="BAD30" s="101"/>
      <c r="BAE30" s="101"/>
      <c r="BAF30" s="101"/>
      <c r="BAG30" s="101"/>
      <c r="BAH30" s="101"/>
      <c r="BAI30" s="101"/>
      <c r="BAJ30" s="101"/>
      <c r="BAK30" s="101"/>
      <c r="BAL30" s="101"/>
      <c r="BAM30" s="101"/>
      <c r="BAN30" s="101"/>
      <c r="BAO30" s="101"/>
      <c r="BAP30" s="101"/>
      <c r="BAQ30" s="101"/>
      <c r="BAR30" s="101"/>
      <c r="BAS30" s="101"/>
      <c r="BAT30" s="101"/>
      <c r="BAU30" s="101"/>
      <c r="BAV30" s="101"/>
      <c r="BAW30" s="101"/>
      <c r="BAX30" s="101"/>
      <c r="BAY30" s="101"/>
      <c r="BAZ30" s="101"/>
      <c r="BBA30" s="101"/>
      <c r="BBB30" s="101"/>
      <c r="BBC30" s="101"/>
      <c r="BBD30" s="101"/>
      <c r="BBE30" s="101"/>
      <c r="BBF30" s="101"/>
      <c r="BBG30" s="101"/>
      <c r="BBH30" s="101"/>
      <c r="BBI30" s="101"/>
      <c r="BBJ30" s="101"/>
      <c r="BBK30" s="101"/>
      <c r="BBL30" s="101"/>
      <c r="BBM30" s="101"/>
      <c r="BBN30" s="101"/>
      <c r="BBO30" s="101"/>
      <c r="BBP30" s="101"/>
      <c r="BBQ30" s="101"/>
      <c r="BBR30" s="101"/>
      <c r="BBS30" s="101"/>
      <c r="BBT30" s="101"/>
      <c r="BBU30" s="101"/>
      <c r="BBV30" s="101"/>
      <c r="BBW30" s="101"/>
      <c r="BBX30" s="101"/>
      <c r="BBY30" s="101"/>
      <c r="BBZ30" s="101"/>
      <c r="BCA30" s="101"/>
      <c r="BCB30" s="101"/>
      <c r="BCC30" s="101"/>
      <c r="BCD30" s="101"/>
      <c r="BCE30" s="101"/>
      <c r="BCF30" s="101"/>
      <c r="BCG30" s="101"/>
      <c r="BCH30" s="101"/>
      <c r="BCI30" s="101"/>
      <c r="BCJ30" s="101"/>
      <c r="BCK30" s="101"/>
      <c r="BCL30" s="101"/>
      <c r="BCM30" s="101"/>
      <c r="BCN30" s="101"/>
      <c r="BCO30" s="101"/>
      <c r="BCP30" s="101"/>
      <c r="BCQ30" s="101"/>
      <c r="BCR30" s="101"/>
      <c r="BCS30" s="101"/>
      <c r="BCT30" s="101"/>
      <c r="BCU30" s="101"/>
      <c r="BCV30" s="101"/>
      <c r="BCW30" s="101"/>
      <c r="BCX30" s="101"/>
      <c r="BCY30" s="101"/>
      <c r="BCZ30" s="101"/>
      <c r="BDA30" s="101"/>
      <c r="BDB30" s="101"/>
      <c r="BDC30" s="101"/>
      <c r="BDD30" s="101"/>
      <c r="BDE30" s="101"/>
      <c r="BDF30" s="101"/>
      <c r="BDG30" s="101"/>
      <c r="BDH30" s="101"/>
      <c r="BDI30" s="101"/>
      <c r="BDJ30" s="101"/>
      <c r="BDK30" s="101"/>
      <c r="BDL30" s="101"/>
      <c r="BDM30" s="101"/>
      <c r="BDN30" s="101"/>
      <c r="BDO30" s="101"/>
      <c r="BDP30" s="101"/>
      <c r="BDQ30" s="101"/>
      <c r="BDR30" s="101"/>
      <c r="BDS30" s="101"/>
      <c r="BDT30" s="101"/>
      <c r="BDU30" s="101"/>
      <c r="BDV30" s="101"/>
      <c r="BDW30" s="101"/>
      <c r="BDX30" s="101"/>
      <c r="BDY30" s="101"/>
      <c r="BDZ30" s="101"/>
      <c r="BEA30" s="101"/>
      <c r="BEB30" s="101"/>
      <c r="BEC30" s="101"/>
      <c r="BED30" s="101"/>
      <c r="BEE30" s="101"/>
      <c r="BEF30" s="101"/>
      <c r="BEG30" s="101"/>
      <c r="BEH30" s="101"/>
      <c r="BEI30" s="101"/>
      <c r="BEJ30" s="101"/>
      <c r="BEK30" s="101"/>
      <c r="BEL30" s="101"/>
      <c r="BEM30" s="101"/>
      <c r="BEN30" s="101"/>
      <c r="BEO30" s="101"/>
      <c r="BEP30" s="101"/>
      <c r="BEQ30" s="101"/>
      <c r="BER30" s="101"/>
      <c r="BES30" s="101"/>
      <c r="BET30" s="101"/>
      <c r="BEU30" s="101"/>
      <c r="BEV30" s="101"/>
      <c r="BEW30" s="101"/>
      <c r="BEX30" s="101"/>
      <c r="BEY30" s="101"/>
      <c r="BEZ30" s="101"/>
      <c r="BFA30" s="101"/>
      <c r="BFB30" s="101"/>
      <c r="BFC30" s="101"/>
      <c r="BFD30" s="101"/>
      <c r="BFE30" s="101"/>
      <c r="BFF30" s="101"/>
      <c r="BFG30" s="101"/>
      <c r="BFH30" s="101"/>
      <c r="BFI30" s="101"/>
      <c r="BFJ30" s="101"/>
      <c r="BFK30" s="101"/>
      <c r="BFL30" s="101"/>
      <c r="BFM30" s="101"/>
      <c r="BFN30" s="101"/>
      <c r="BFO30" s="101"/>
      <c r="BFP30" s="101"/>
      <c r="BFQ30" s="101"/>
      <c r="BFR30" s="101"/>
      <c r="BFS30" s="101"/>
      <c r="BFT30" s="101"/>
      <c r="BFU30" s="101"/>
      <c r="BFV30" s="101"/>
      <c r="BFW30" s="101"/>
      <c r="BFX30" s="101"/>
      <c r="BFY30" s="101"/>
      <c r="BFZ30" s="101"/>
      <c r="BGA30" s="101"/>
      <c r="BGB30" s="101"/>
      <c r="BGC30" s="101"/>
      <c r="BGD30" s="101"/>
      <c r="BGE30" s="101"/>
      <c r="BGF30" s="101"/>
      <c r="BGG30" s="101"/>
      <c r="BGH30" s="101"/>
      <c r="BGI30" s="101"/>
      <c r="BGJ30" s="101"/>
      <c r="BGK30" s="101"/>
      <c r="BGL30" s="101"/>
      <c r="BGM30" s="101"/>
      <c r="BGN30" s="101"/>
      <c r="BGO30" s="101"/>
      <c r="BGP30" s="101"/>
      <c r="BGQ30" s="101"/>
      <c r="BGR30" s="101"/>
      <c r="BGS30" s="101"/>
      <c r="BGT30" s="101"/>
      <c r="BGU30" s="101"/>
      <c r="BGV30" s="101"/>
      <c r="BGW30" s="101"/>
      <c r="BGX30" s="101"/>
      <c r="BGY30" s="101"/>
      <c r="BGZ30" s="101"/>
      <c r="BHA30" s="101"/>
      <c r="BHB30" s="101"/>
      <c r="BHC30" s="101"/>
      <c r="BHD30" s="101"/>
      <c r="BHE30" s="101"/>
      <c r="BHF30" s="101"/>
      <c r="BHG30" s="101"/>
      <c r="BHH30" s="101"/>
      <c r="BHI30" s="101"/>
      <c r="BHJ30" s="101"/>
      <c r="BHK30" s="101"/>
      <c r="BHL30" s="101"/>
      <c r="BHM30" s="101"/>
      <c r="BHN30" s="101"/>
      <c r="BHO30" s="101"/>
      <c r="BHP30" s="101"/>
      <c r="BHQ30" s="101"/>
      <c r="BHR30" s="101"/>
      <c r="BHS30" s="101"/>
      <c r="BHT30" s="101"/>
      <c r="BHU30" s="101"/>
      <c r="BHV30" s="101"/>
      <c r="BHW30" s="101"/>
      <c r="BHX30" s="101"/>
      <c r="BHY30" s="101"/>
      <c r="BHZ30" s="101"/>
      <c r="BIA30" s="101"/>
      <c r="BIB30" s="101"/>
      <c r="BIC30" s="101"/>
      <c r="BID30" s="101"/>
      <c r="BIE30" s="101"/>
      <c r="BIF30" s="101"/>
      <c r="BIG30" s="101"/>
      <c r="BIH30" s="101"/>
      <c r="BII30" s="101"/>
      <c r="BIJ30" s="101"/>
      <c r="BIK30" s="101"/>
      <c r="BIL30" s="101"/>
      <c r="BIM30" s="101"/>
      <c r="BIN30" s="101"/>
      <c r="BIO30" s="101"/>
      <c r="BIP30" s="101"/>
      <c r="BIQ30" s="101"/>
      <c r="BIR30" s="101"/>
      <c r="BIS30" s="101"/>
      <c r="BIT30" s="101"/>
      <c r="BIU30" s="101"/>
      <c r="BIV30" s="101"/>
      <c r="BIW30" s="101"/>
      <c r="BIX30" s="101"/>
      <c r="BIY30" s="101"/>
      <c r="BIZ30" s="101"/>
      <c r="BJA30" s="101"/>
      <c r="BJB30" s="101"/>
      <c r="BJC30" s="101"/>
      <c r="BJD30" s="101"/>
      <c r="BJE30" s="101"/>
      <c r="BJF30" s="101"/>
      <c r="BJG30" s="101"/>
      <c r="BJH30" s="101"/>
      <c r="BJI30" s="101"/>
      <c r="BJJ30" s="101"/>
      <c r="BJK30" s="101"/>
      <c r="BJL30" s="101"/>
      <c r="BJM30" s="101"/>
      <c r="BJN30" s="101"/>
      <c r="BJO30" s="101"/>
      <c r="BJP30" s="101"/>
      <c r="BJQ30" s="101"/>
      <c r="BJR30" s="101"/>
      <c r="BJS30" s="101"/>
      <c r="BJT30" s="101"/>
      <c r="BJU30" s="101"/>
      <c r="BJV30" s="101"/>
      <c r="BJW30" s="101"/>
      <c r="BJX30" s="101"/>
      <c r="BJY30" s="101"/>
      <c r="BJZ30" s="101"/>
      <c r="BKA30" s="101"/>
      <c r="BKB30" s="101"/>
      <c r="BKC30" s="101"/>
      <c r="BKD30" s="101"/>
      <c r="BKE30" s="101"/>
      <c r="BKF30" s="101"/>
      <c r="BKG30" s="101"/>
      <c r="BKH30" s="101"/>
      <c r="BKI30" s="101"/>
      <c r="BKJ30" s="101"/>
      <c r="BKK30" s="101"/>
      <c r="BKL30" s="101"/>
      <c r="BKM30" s="101"/>
      <c r="BKN30" s="101"/>
      <c r="BKO30" s="101"/>
      <c r="BKP30" s="101"/>
      <c r="BKQ30" s="101"/>
      <c r="BKR30" s="101"/>
      <c r="BKS30" s="101"/>
      <c r="BKT30" s="101"/>
      <c r="BKU30" s="101"/>
      <c r="BKV30" s="101"/>
      <c r="BKW30" s="101"/>
      <c r="BKX30" s="101"/>
      <c r="BKY30" s="101"/>
      <c r="BKZ30" s="101"/>
      <c r="BLA30" s="101"/>
      <c r="BLB30" s="101"/>
      <c r="BLC30" s="101"/>
      <c r="BLD30" s="101"/>
      <c r="BLE30" s="101"/>
      <c r="BLF30" s="101"/>
      <c r="BLG30" s="101"/>
      <c r="BLH30" s="101"/>
      <c r="BLI30" s="101"/>
      <c r="BLJ30" s="101"/>
      <c r="BLK30" s="101"/>
      <c r="BLL30" s="101"/>
      <c r="BLM30" s="101"/>
      <c r="BLN30" s="101"/>
      <c r="BLO30" s="101"/>
      <c r="BLP30" s="101"/>
      <c r="BLQ30" s="101"/>
      <c r="BLR30" s="101"/>
      <c r="BLS30" s="101"/>
      <c r="BLT30" s="101"/>
      <c r="BLU30" s="101"/>
      <c r="BLV30" s="101"/>
      <c r="BLW30" s="101"/>
      <c r="BLX30" s="101"/>
      <c r="BLY30" s="101"/>
      <c r="BLZ30" s="101"/>
      <c r="BMA30" s="101"/>
      <c r="BMB30" s="101"/>
      <c r="BMC30" s="101"/>
      <c r="BMD30" s="101"/>
      <c r="BME30" s="101"/>
      <c r="BMF30" s="101"/>
      <c r="BMG30" s="101"/>
      <c r="BMH30" s="101"/>
      <c r="BMI30" s="101"/>
      <c r="BMJ30" s="101"/>
      <c r="BMK30" s="101"/>
      <c r="BML30" s="101"/>
      <c r="BMM30" s="101"/>
      <c r="BMN30" s="101"/>
      <c r="BMO30" s="101"/>
      <c r="BMP30" s="101"/>
      <c r="BMQ30" s="101"/>
      <c r="BMR30" s="101"/>
      <c r="BMS30" s="101"/>
      <c r="BMT30" s="101"/>
      <c r="BMU30" s="101"/>
      <c r="BMV30" s="101"/>
      <c r="BMW30" s="101"/>
      <c r="BMX30" s="101"/>
      <c r="BMY30" s="101"/>
      <c r="BMZ30" s="101"/>
      <c r="BNA30" s="101"/>
      <c r="BNB30" s="101"/>
      <c r="BNC30" s="101"/>
      <c r="BND30" s="101"/>
      <c r="BNE30" s="101"/>
      <c r="BNF30" s="101"/>
      <c r="BNG30" s="101"/>
      <c r="BNH30" s="101"/>
      <c r="BNI30" s="101"/>
      <c r="BNJ30" s="101"/>
      <c r="BNK30" s="101"/>
      <c r="BNL30" s="101"/>
      <c r="BNM30" s="101"/>
      <c r="BNN30" s="101"/>
      <c r="BNO30" s="101"/>
      <c r="BNP30" s="101"/>
      <c r="BNQ30" s="101"/>
      <c r="BNR30" s="101"/>
      <c r="BNS30" s="101"/>
      <c r="BNT30" s="101"/>
      <c r="BNU30" s="101"/>
      <c r="BNV30" s="101"/>
      <c r="BNW30" s="101"/>
      <c r="BNX30" s="101"/>
      <c r="BNY30" s="101"/>
      <c r="BNZ30" s="101"/>
      <c r="BOA30" s="101"/>
      <c r="BOB30" s="101"/>
      <c r="BOC30" s="101"/>
      <c r="BOD30" s="101"/>
      <c r="BOE30" s="101"/>
      <c r="BOF30" s="101"/>
      <c r="BOG30" s="101"/>
      <c r="BOH30" s="101"/>
      <c r="BOI30" s="101"/>
      <c r="BOJ30" s="101"/>
      <c r="BOK30" s="101"/>
      <c r="BOL30" s="101"/>
      <c r="BOM30" s="101"/>
      <c r="BON30" s="101"/>
      <c r="BOO30" s="101"/>
      <c r="BOP30" s="101"/>
      <c r="BOQ30" s="101"/>
      <c r="BOR30" s="101"/>
      <c r="BOS30" s="101"/>
      <c r="BOT30" s="101"/>
      <c r="BOU30" s="101"/>
      <c r="BOV30" s="101"/>
      <c r="BOW30" s="101"/>
      <c r="BOX30" s="101"/>
      <c r="BOY30" s="101"/>
      <c r="BOZ30" s="101"/>
      <c r="BPA30" s="101"/>
      <c r="BPB30" s="101"/>
      <c r="BPC30" s="167"/>
    </row>
    <row r="31" s="101" customFormat="1" ht="75" customHeight="1" outlineLevel="1" spans="1:1024 1025:1771">
      <c r="A31" s="163" t="s">
        <v>124</v>
      </c>
      <c r="B31" s="151" t="s">
        <v>1082</v>
      </c>
      <c r="C31" s="164" t="s">
        <v>1083</v>
      </c>
      <c r="D31" s="166" t="s">
        <v>1084</v>
      </c>
      <c r="E31" s="171"/>
      <c r="F31" s="171"/>
      <c r="G31" s="172"/>
      <c r="H31" s="155">
        <v>46137</v>
      </c>
      <c r="I31" s="156" t="s">
        <v>7</v>
      </c>
      <c r="J31" s="166"/>
      <c r="K31" s="5"/>
      <c r="L31" s="5" t="s">
        <v>1041</v>
      </c>
    </row>
    <row r="32" s="101" customFormat="1" ht="75" customHeight="1" outlineLevel="1" spans="1:1024 1025:1771">
      <c r="A32" s="150" t="s">
        <v>130</v>
      </c>
      <c r="B32" s="151" t="s">
        <v>1085</v>
      </c>
      <c r="C32" s="158" t="s">
        <v>1086</v>
      </c>
      <c r="D32" s="153" t="s">
        <v>1084</v>
      </c>
      <c r="E32" s="154"/>
      <c r="F32" s="154"/>
      <c r="G32" s="154"/>
      <c r="H32" s="155">
        <v>46137</v>
      </c>
      <c r="I32" s="156" t="s">
        <v>7</v>
      </c>
      <c r="J32" s="162"/>
      <c r="K32" s="5"/>
      <c r="L32" s="5" t="s">
        <v>1041</v>
      </c>
    </row>
    <row r="33" s="101" customFormat="1" ht="75" customHeight="1" outlineLevel="1" spans="1:12">
      <c r="A33" s="163" t="s">
        <v>136</v>
      </c>
      <c r="B33" s="151" t="s">
        <v>1087</v>
      </c>
      <c r="C33" s="164" t="s">
        <v>1088</v>
      </c>
      <c r="D33" s="153" t="s">
        <v>1089</v>
      </c>
      <c r="E33" s="154"/>
      <c r="F33" s="159"/>
      <c r="G33" s="173"/>
      <c r="H33" s="155">
        <v>46137</v>
      </c>
      <c r="I33" s="168" t="s">
        <v>8</v>
      </c>
      <c r="J33" s="169" t="s">
        <v>1069</v>
      </c>
      <c r="K33" s="5" t="s">
        <v>1090</v>
      </c>
      <c r="L33" s="5" t="s">
        <v>1041</v>
      </c>
    </row>
    <row r="34" s="101" customFormat="1" ht="75" customHeight="1" outlineLevel="1" spans="1:12">
      <c r="A34" s="157" t="s">
        <v>142</v>
      </c>
      <c r="B34" s="151" t="s">
        <v>1091</v>
      </c>
      <c r="C34" s="158" t="s">
        <v>1092</v>
      </c>
      <c r="D34" s="153" t="s">
        <v>1093</v>
      </c>
      <c r="E34" s="154"/>
      <c r="F34" s="154"/>
      <c r="G34" s="174"/>
      <c r="H34" s="155">
        <v>46137</v>
      </c>
      <c r="I34" s="156" t="s">
        <v>7</v>
      </c>
      <c r="J34" s="153"/>
      <c r="K34" s="5"/>
      <c r="L34" s="5" t="s">
        <v>1041</v>
      </c>
    </row>
    <row r="35" s="101" customFormat="1" ht="75" customHeight="1" outlineLevel="1" spans="1:12">
      <c r="A35" s="157" t="s">
        <v>148</v>
      </c>
      <c r="B35" s="151" t="s">
        <v>1094</v>
      </c>
      <c r="C35" s="158" t="s">
        <v>1095</v>
      </c>
      <c r="D35" s="153" t="s">
        <v>1089</v>
      </c>
      <c r="E35" s="154"/>
      <c r="F35" s="159"/>
      <c r="G35" s="174"/>
      <c r="H35" s="155">
        <v>46137</v>
      </c>
      <c r="I35" s="156" t="s">
        <v>7</v>
      </c>
      <c r="J35" s="153"/>
      <c r="K35" s="5"/>
      <c r="L35" s="5" t="s">
        <v>1041</v>
      </c>
    </row>
    <row r="36" s="101" customFormat="1" ht="75" customHeight="1" outlineLevel="1" spans="1:12">
      <c r="A36" s="163" t="s">
        <v>153</v>
      </c>
      <c r="B36" s="151" t="s">
        <v>1096</v>
      </c>
      <c r="C36" s="164" t="s">
        <v>1097</v>
      </c>
      <c r="D36" s="153" t="s">
        <v>1040</v>
      </c>
      <c r="E36" s="154"/>
      <c r="F36" s="154"/>
      <c r="G36" s="174"/>
      <c r="H36" s="155">
        <v>46137</v>
      </c>
      <c r="I36" s="156" t="s">
        <v>7</v>
      </c>
      <c r="J36" s="153"/>
      <c r="K36" s="5"/>
      <c r="L36" s="5" t="s">
        <v>1041</v>
      </c>
    </row>
    <row r="37" s="101" customFormat="1" ht="75" customHeight="1" outlineLevel="1" spans="1:12">
      <c r="A37" s="163" t="s">
        <v>159</v>
      </c>
      <c r="B37" s="151" t="s">
        <v>1098</v>
      </c>
      <c r="C37" s="164" t="s">
        <v>1099</v>
      </c>
      <c r="D37" s="153" t="s">
        <v>1040</v>
      </c>
      <c r="E37" s="154"/>
      <c r="F37" s="154"/>
      <c r="G37" s="174"/>
      <c r="H37" s="155">
        <v>46137</v>
      </c>
      <c r="I37" s="168" t="s">
        <v>8</v>
      </c>
      <c r="J37" s="153" t="s">
        <v>1100</v>
      </c>
      <c r="K37" s="5" t="s">
        <v>1101</v>
      </c>
      <c r="L37" s="5" t="s">
        <v>1041</v>
      </c>
    </row>
    <row r="38" s="101" customFormat="1" ht="94.8" customHeight="1" outlineLevel="1" spans="1:12">
      <c r="A38" s="163" t="s">
        <v>165</v>
      </c>
      <c r="B38" s="151" t="s">
        <v>1102</v>
      </c>
      <c r="C38" s="164" t="s">
        <v>1103</v>
      </c>
      <c r="D38" s="175" t="s">
        <v>1104</v>
      </c>
      <c r="E38" s="176"/>
      <c r="F38" s="158"/>
      <c r="G38" s="174"/>
      <c r="H38" s="155">
        <v>46137</v>
      </c>
      <c r="I38" s="168" t="s">
        <v>8</v>
      </c>
      <c r="J38" s="153" t="s">
        <v>1105</v>
      </c>
      <c r="K38" s="5" t="s">
        <v>1106</v>
      </c>
      <c r="L38" s="5" t="s">
        <v>1041</v>
      </c>
    </row>
    <row r="39" s="101" customFormat="1" ht="75" customHeight="1" outlineLevel="1" spans="1:12">
      <c r="A39" s="163" t="s">
        <v>170</v>
      </c>
      <c r="B39" s="151" t="s">
        <v>1107</v>
      </c>
      <c r="C39" s="164" t="s">
        <v>1108</v>
      </c>
      <c r="D39" s="175" t="s">
        <v>1109</v>
      </c>
      <c r="E39" s="176"/>
      <c r="F39" s="158"/>
      <c r="G39" s="174"/>
      <c r="H39" s="155">
        <v>46137</v>
      </c>
      <c r="I39" s="168" t="s">
        <v>8</v>
      </c>
      <c r="J39" s="153" t="s">
        <v>1110</v>
      </c>
      <c r="K39" s="5" t="s">
        <v>1111</v>
      </c>
      <c r="L39" s="5" t="s">
        <v>1041</v>
      </c>
    </row>
    <row r="40" s="101" customFormat="1" ht="75" customHeight="1" outlineLevel="1" spans="1:12">
      <c r="A40" s="163" t="s">
        <v>175</v>
      </c>
      <c r="B40" s="151" t="s">
        <v>1112</v>
      </c>
      <c r="C40" s="164" t="s">
        <v>1113</v>
      </c>
      <c r="D40" s="153" t="s">
        <v>1040</v>
      </c>
      <c r="E40" s="154"/>
      <c r="F40" s="154"/>
      <c r="G40" s="174"/>
      <c r="H40" s="155">
        <v>46137</v>
      </c>
      <c r="I40" s="156" t="s">
        <v>7</v>
      </c>
      <c r="J40" s="153"/>
      <c r="K40" s="5"/>
      <c r="L40" s="5" t="s">
        <v>1041</v>
      </c>
    </row>
    <row r="41" s="101" customFormat="1" ht="128.4" customHeight="1" outlineLevel="1" spans="1:12">
      <c r="A41" s="163" t="s">
        <v>181</v>
      </c>
      <c r="B41" s="151" t="s">
        <v>1114</v>
      </c>
      <c r="C41" s="164" t="s">
        <v>1115</v>
      </c>
      <c r="D41" s="153" t="s">
        <v>1044</v>
      </c>
      <c r="E41" s="154"/>
      <c r="F41" s="159"/>
      <c r="G41" s="174"/>
      <c r="H41" s="155">
        <v>46137</v>
      </c>
      <c r="I41" s="156" t="s">
        <v>7</v>
      </c>
      <c r="J41" s="153"/>
      <c r="K41" s="5"/>
      <c r="L41" s="5" t="s">
        <v>1041</v>
      </c>
    </row>
    <row r="42" s="101" customFormat="1" ht="75" customHeight="1" outlineLevel="1" spans="1:12">
      <c r="A42" s="163" t="s">
        <v>188</v>
      </c>
      <c r="B42" s="151" t="s">
        <v>1116</v>
      </c>
      <c r="C42" s="177" t="s">
        <v>1117</v>
      </c>
      <c r="D42" s="153" t="s">
        <v>1040</v>
      </c>
      <c r="E42" s="154"/>
      <c r="F42" s="154"/>
      <c r="G42" s="174"/>
      <c r="H42" s="155">
        <v>46137</v>
      </c>
      <c r="I42" s="156" t="s">
        <v>7</v>
      </c>
      <c r="J42" s="153"/>
      <c r="K42" s="5"/>
      <c r="L42" s="5" t="s">
        <v>1041</v>
      </c>
    </row>
    <row r="43" s="101" customFormat="1" ht="75" customHeight="1" outlineLevel="1" spans="1:12">
      <c r="A43" s="163" t="s">
        <v>193</v>
      </c>
      <c r="B43" s="151" t="s">
        <v>1118</v>
      </c>
      <c r="C43" s="164" t="s">
        <v>1119</v>
      </c>
      <c r="D43" s="175" t="s">
        <v>1120</v>
      </c>
      <c r="E43" s="176"/>
      <c r="F43" s="158"/>
      <c r="G43" s="174"/>
      <c r="H43" s="155">
        <v>46137</v>
      </c>
      <c r="I43" s="156" t="s">
        <v>7</v>
      </c>
      <c r="J43" s="153"/>
      <c r="K43" s="178"/>
      <c r="L43" s="5" t="s">
        <v>1041</v>
      </c>
    </row>
    <row r="44" s="101" customFormat="1" ht="75" customHeight="1" outlineLevel="1" spans="1:12">
      <c r="A44" s="163" t="s">
        <v>198</v>
      </c>
      <c r="B44" s="151" t="s">
        <v>1121</v>
      </c>
      <c r="C44" s="164" t="s">
        <v>1122</v>
      </c>
      <c r="D44" s="175" t="s">
        <v>1123</v>
      </c>
      <c r="E44" s="176"/>
      <c r="F44" s="158"/>
      <c r="G44" s="174"/>
      <c r="H44" s="155">
        <v>46137</v>
      </c>
      <c r="I44" s="156" t="s">
        <v>7</v>
      </c>
      <c r="J44" s="153"/>
      <c r="K44" s="5"/>
      <c r="L44" s="5" t="s">
        <v>1041</v>
      </c>
    </row>
    <row r="45" s="101" customFormat="1" ht="75" customHeight="1" outlineLevel="1" spans="1:12">
      <c r="A45" s="163" t="s">
        <v>203</v>
      </c>
      <c r="B45" s="151" t="s">
        <v>1124</v>
      </c>
      <c r="C45" s="166" t="s">
        <v>1125</v>
      </c>
      <c r="D45" s="153" t="s">
        <v>1040</v>
      </c>
      <c r="E45" s="154"/>
      <c r="F45" s="154"/>
      <c r="G45" s="174"/>
      <c r="H45" s="155">
        <v>46137</v>
      </c>
      <c r="I45" s="156" t="s">
        <v>7</v>
      </c>
      <c r="J45" s="153"/>
      <c r="K45" s="5"/>
      <c r="L45" s="5" t="s">
        <v>1041</v>
      </c>
    </row>
    <row r="46" s="101" customFormat="1" ht="75" customHeight="1" outlineLevel="1" spans="1:12">
      <c r="A46" s="163" t="s">
        <v>208</v>
      </c>
      <c r="B46" s="151" t="s">
        <v>1126</v>
      </c>
      <c r="C46" s="166" t="s">
        <v>1127</v>
      </c>
      <c r="D46" s="153" t="s">
        <v>1040</v>
      </c>
      <c r="E46" s="154"/>
      <c r="F46" s="154"/>
      <c r="G46" s="174"/>
      <c r="H46" s="155">
        <v>46137</v>
      </c>
      <c r="I46" s="168" t="s">
        <v>8</v>
      </c>
      <c r="J46" s="169" t="s">
        <v>1069</v>
      </c>
      <c r="K46" s="5" t="s">
        <v>1128</v>
      </c>
      <c r="L46" s="5" t="s">
        <v>1041</v>
      </c>
    </row>
    <row r="47" s="101" customFormat="1" ht="75" customHeight="1" outlineLevel="1" spans="1:12">
      <c r="A47" s="163" t="s">
        <v>213</v>
      </c>
      <c r="B47" s="151" t="s">
        <v>1129</v>
      </c>
      <c r="C47" s="166" t="s">
        <v>1130</v>
      </c>
      <c r="D47" s="153" t="s">
        <v>1040</v>
      </c>
      <c r="E47" s="154"/>
      <c r="F47" s="154"/>
      <c r="G47" s="174"/>
      <c r="H47" s="155">
        <v>46137</v>
      </c>
      <c r="I47" s="156" t="s">
        <v>7</v>
      </c>
      <c r="J47" s="153"/>
      <c r="K47" s="5"/>
      <c r="L47" s="5" t="s">
        <v>1041</v>
      </c>
    </row>
    <row r="48" s="101" customFormat="1" ht="75" customHeight="1" outlineLevel="1" spans="1:12">
      <c r="A48" s="163" t="s">
        <v>217</v>
      </c>
      <c r="B48" s="151" t="s">
        <v>1131</v>
      </c>
      <c r="C48" s="166" t="s">
        <v>1132</v>
      </c>
      <c r="D48" s="175" t="s">
        <v>1133</v>
      </c>
      <c r="E48" s="176"/>
      <c r="F48" s="158"/>
      <c r="G48" s="174"/>
      <c r="H48" s="155">
        <v>46137</v>
      </c>
      <c r="I48" s="153" t="s">
        <v>9</v>
      </c>
      <c r="J48" s="153"/>
      <c r="K48" s="5"/>
      <c r="L48" s="5" t="s">
        <v>1041</v>
      </c>
    </row>
    <row r="49" s="101" customFormat="1" ht="75" customHeight="1" outlineLevel="1" spans="1:12">
      <c r="A49" s="163" t="s">
        <v>221</v>
      </c>
      <c r="B49" s="151" t="s">
        <v>1134</v>
      </c>
      <c r="C49" s="166" t="s">
        <v>1135</v>
      </c>
      <c r="D49" s="175" t="s">
        <v>1136</v>
      </c>
      <c r="E49" s="176"/>
      <c r="F49" s="158"/>
      <c r="G49" s="174"/>
      <c r="H49" s="155">
        <v>46137</v>
      </c>
      <c r="I49" s="156" t="s">
        <v>7</v>
      </c>
      <c r="J49" s="153"/>
      <c r="K49" s="5"/>
      <c r="L49" s="5" t="s">
        <v>1041</v>
      </c>
    </row>
    <row r="50" s="101" customFormat="1" ht="75" customHeight="1" outlineLevel="1" spans="1:12">
      <c r="A50" s="163" t="s">
        <v>226</v>
      </c>
      <c r="B50" s="151" t="s">
        <v>1137</v>
      </c>
      <c r="C50" s="166" t="s">
        <v>1138</v>
      </c>
      <c r="D50" s="153" t="s">
        <v>1040</v>
      </c>
      <c r="E50" s="154"/>
      <c r="F50" s="154"/>
      <c r="G50" s="174"/>
      <c r="H50" s="155">
        <v>46137</v>
      </c>
      <c r="I50" s="156" t="s">
        <v>7</v>
      </c>
      <c r="J50" s="153"/>
      <c r="K50" s="5"/>
      <c r="L50" s="5" t="s">
        <v>1041</v>
      </c>
    </row>
    <row r="51" s="101" customFormat="1" ht="75" customHeight="1" outlineLevel="1" spans="1:12">
      <c r="A51" s="163" t="s">
        <v>230</v>
      </c>
      <c r="B51" s="151" t="s">
        <v>1139</v>
      </c>
      <c r="C51" s="166" t="s">
        <v>1140</v>
      </c>
      <c r="D51" s="175" t="s">
        <v>1141</v>
      </c>
      <c r="E51" s="176"/>
      <c r="F51" s="158"/>
      <c r="G51" s="174"/>
      <c r="H51" s="155">
        <v>46137</v>
      </c>
      <c r="I51" s="156" t="s">
        <v>7</v>
      </c>
      <c r="J51" s="153"/>
      <c r="K51" s="5"/>
      <c r="L51" s="5" t="s">
        <v>1041</v>
      </c>
    </row>
    <row r="52" s="101" customFormat="1" ht="75" customHeight="1" outlineLevel="1" spans="1:12">
      <c r="A52" s="163" t="s">
        <v>235</v>
      </c>
      <c r="B52" s="151" t="s">
        <v>1142</v>
      </c>
      <c r="C52" s="166" t="s">
        <v>1143</v>
      </c>
      <c r="D52" s="175" t="s">
        <v>1144</v>
      </c>
      <c r="E52" s="176"/>
      <c r="F52" s="158"/>
      <c r="G52" s="174"/>
      <c r="H52" s="155">
        <v>46137</v>
      </c>
      <c r="I52" s="156" t="s">
        <v>7</v>
      </c>
      <c r="J52" s="153"/>
      <c r="K52" s="5"/>
      <c r="L52" s="5" t="s">
        <v>1041</v>
      </c>
    </row>
    <row r="53" s="101" customFormat="1" ht="75" customHeight="1" outlineLevel="1" spans="1:12">
      <c r="A53" s="163" t="s">
        <v>239</v>
      </c>
      <c r="B53" s="151" t="s">
        <v>1145</v>
      </c>
      <c r="C53" s="166" t="s">
        <v>1146</v>
      </c>
      <c r="D53" s="153" t="s">
        <v>1040</v>
      </c>
      <c r="E53" s="154"/>
      <c r="F53" s="154"/>
      <c r="G53" s="173"/>
      <c r="H53" s="155">
        <v>46137</v>
      </c>
      <c r="I53" s="156" t="s">
        <v>7</v>
      </c>
      <c r="J53" s="166"/>
      <c r="K53" s="5"/>
      <c r="L53" s="5" t="s">
        <v>1041</v>
      </c>
    </row>
    <row r="54" s="101" customFormat="1" ht="15" customHeight="1" outlineLevel="1" spans="1:12">
      <c r="A54" s="179" t="s">
        <v>1147</v>
      </c>
      <c r="B54" s="180"/>
      <c r="C54" s="180"/>
      <c r="D54" s="180"/>
      <c r="E54" s="180"/>
      <c r="F54" s="180"/>
      <c r="G54" s="180"/>
      <c r="H54" s="180"/>
      <c r="I54" s="180"/>
      <c r="J54" s="180"/>
      <c r="K54" s="180"/>
      <c r="L54" s="181"/>
    </row>
    <row r="55" s="101" customFormat="1" ht="75" customHeight="1" outlineLevel="1" spans="1:12">
      <c r="A55" s="182" t="s">
        <v>243</v>
      </c>
      <c r="B55" s="183" t="s">
        <v>1148</v>
      </c>
      <c r="C55" s="184" t="s">
        <v>1149</v>
      </c>
      <c r="D55" s="184" t="s">
        <v>1150</v>
      </c>
      <c r="E55" s="185"/>
      <c r="F55" s="186"/>
      <c r="G55" s="187"/>
      <c r="H55" s="188">
        <v>46137</v>
      </c>
      <c r="I55" s="189" t="s">
        <v>7</v>
      </c>
      <c r="J55" s="184"/>
      <c r="K55" s="5"/>
      <c r="L55" s="5" t="s">
        <v>1041</v>
      </c>
    </row>
    <row r="56" s="101" customFormat="1" ht="75" customHeight="1" outlineLevel="1" spans="1:12">
      <c r="A56" s="190" t="s">
        <v>248</v>
      </c>
      <c r="B56" s="183" t="s">
        <v>1151</v>
      </c>
      <c r="C56" s="184" t="s">
        <v>1152</v>
      </c>
      <c r="D56" s="184" t="s">
        <v>1150</v>
      </c>
      <c r="E56" s="185"/>
      <c r="F56" s="185"/>
      <c r="G56" s="185"/>
      <c r="H56" s="188">
        <v>46137</v>
      </c>
      <c r="I56" s="189" t="s">
        <v>7</v>
      </c>
      <c r="J56" s="184"/>
      <c r="K56" s="5"/>
      <c r="L56" s="5" t="s">
        <v>1041</v>
      </c>
    </row>
    <row r="57" s="101" customFormat="1" ht="75" customHeight="1" spans="1:12">
      <c r="A57" s="182" t="s">
        <v>253</v>
      </c>
      <c r="B57" s="191" t="s">
        <v>1153</v>
      </c>
      <c r="C57" s="192" t="s">
        <v>1154</v>
      </c>
      <c r="D57" s="184" t="s">
        <v>1150</v>
      </c>
      <c r="E57" s="185"/>
      <c r="F57" s="186"/>
      <c r="G57" s="193"/>
      <c r="H57" s="188">
        <v>46137</v>
      </c>
      <c r="I57" s="194" t="s">
        <v>8</v>
      </c>
      <c r="J57" s="184" t="s">
        <v>1155</v>
      </c>
      <c r="K57" s="5" t="s">
        <v>1156</v>
      </c>
      <c r="L57" s="5" t="s">
        <v>1041</v>
      </c>
    </row>
    <row r="58" s="101" customFormat="1" ht="75" customHeight="1" spans="1:12">
      <c r="A58" s="190" t="s">
        <v>258</v>
      </c>
      <c r="B58" s="191" t="s">
        <v>1157</v>
      </c>
      <c r="C58" s="192" t="s">
        <v>1158</v>
      </c>
      <c r="D58" s="184" t="s">
        <v>1159</v>
      </c>
      <c r="E58" s="185"/>
      <c r="F58" s="185"/>
      <c r="G58" s="193"/>
      <c r="H58" s="188">
        <v>46137</v>
      </c>
      <c r="I58" s="189" t="s">
        <v>7</v>
      </c>
      <c r="J58" s="184"/>
      <c r="K58" s="5"/>
      <c r="L58" s="5" t="s">
        <v>1041</v>
      </c>
    </row>
    <row r="59" s="101" customFormat="1" ht="75" customHeight="1" spans="1:12">
      <c r="A59" s="182" t="s">
        <v>262</v>
      </c>
      <c r="B59" s="191" t="s">
        <v>1160</v>
      </c>
      <c r="C59" s="192" t="s">
        <v>1161</v>
      </c>
      <c r="D59" s="184" t="s">
        <v>1162</v>
      </c>
      <c r="E59" s="185"/>
      <c r="F59" s="185"/>
      <c r="G59" s="193"/>
      <c r="H59" s="188">
        <v>46137</v>
      </c>
      <c r="I59" s="189" t="s">
        <v>7</v>
      </c>
      <c r="J59" s="184"/>
      <c r="K59" s="170"/>
      <c r="L59" s="5" t="s">
        <v>1041</v>
      </c>
    </row>
    <row r="60" s="101" customFormat="1" ht="75" customHeight="1" spans="1:12">
      <c r="A60" s="190" t="s">
        <v>266</v>
      </c>
      <c r="B60" s="191" t="s">
        <v>1163</v>
      </c>
      <c r="C60" s="192" t="s">
        <v>1164</v>
      </c>
      <c r="D60" s="184" t="s">
        <v>1165</v>
      </c>
      <c r="E60" s="185"/>
      <c r="F60" s="185"/>
      <c r="G60" s="195"/>
      <c r="H60" s="188">
        <v>46137</v>
      </c>
      <c r="I60" s="194" t="s">
        <v>8</v>
      </c>
      <c r="J60" s="196" t="s">
        <v>1166</v>
      </c>
      <c r="K60" s="197" t="s">
        <v>1167</v>
      </c>
      <c r="L60" s="5" t="s">
        <v>1041</v>
      </c>
    </row>
    <row r="61" s="101" customFormat="1" ht="75" customHeight="1" spans="1:12">
      <c r="A61" s="182" t="s">
        <v>270</v>
      </c>
      <c r="B61" s="191" t="s">
        <v>1168</v>
      </c>
      <c r="C61" s="192" t="s">
        <v>1169</v>
      </c>
      <c r="D61" s="184" t="s">
        <v>1170</v>
      </c>
      <c r="E61" s="185"/>
      <c r="F61" s="185"/>
      <c r="G61" s="195"/>
      <c r="H61" s="188">
        <v>46137</v>
      </c>
      <c r="I61" s="194" t="s">
        <v>8</v>
      </c>
      <c r="J61" s="196" t="s">
        <v>1171</v>
      </c>
      <c r="K61" s="197" t="s">
        <v>1172</v>
      </c>
      <c r="L61" s="5" t="s">
        <v>1041</v>
      </c>
    </row>
    <row r="62" s="101" customFormat="1" ht="75" customHeight="1" spans="1:12">
      <c r="A62" s="190" t="s">
        <v>274</v>
      </c>
      <c r="B62" s="191" t="s">
        <v>1173</v>
      </c>
      <c r="C62" s="192" t="s">
        <v>1174</v>
      </c>
      <c r="D62" s="184" t="s">
        <v>1170</v>
      </c>
      <c r="E62" s="185"/>
      <c r="F62" s="185"/>
      <c r="G62" s="195"/>
      <c r="H62" s="188">
        <v>46137</v>
      </c>
      <c r="I62" s="194" t="s">
        <v>8</v>
      </c>
      <c r="J62" s="196" t="s">
        <v>1175</v>
      </c>
      <c r="K62" s="197" t="s">
        <v>1176</v>
      </c>
      <c r="L62" s="5" t="s">
        <v>1041</v>
      </c>
    </row>
    <row r="63" s="101" customFormat="1" ht="75" customHeight="1" spans="1:12">
      <c r="A63" s="182" t="s">
        <v>278</v>
      </c>
      <c r="B63" s="191" t="s">
        <v>1177</v>
      </c>
      <c r="C63" s="192" t="s">
        <v>1178</v>
      </c>
      <c r="D63" s="184" t="s">
        <v>1170</v>
      </c>
      <c r="E63" s="185"/>
      <c r="F63" s="185"/>
      <c r="G63" s="195"/>
      <c r="H63" s="188">
        <v>46137</v>
      </c>
      <c r="I63" s="194" t="s">
        <v>8</v>
      </c>
      <c r="J63" s="169" t="s">
        <v>1069</v>
      </c>
      <c r="K63" s="197" t="s">
        <v>1179</v>
      </c>
      <c r="L63" s="5" t="s">
        <v>1041</v>
      </c>
    </row>
    <row r="64" s="101" customFormat="1" ht="75" customHeight="1" spans="1:12">
      <c r="A64" s="190" t="s">
        <v>283</v>
      </c>
      <c r="B64" s="191" t="s">
        <v>1180</v>
      </c>
      <c r="C64" s="192" t="s">
        <v>1181</v>
      </c>
      <c r="D64" s="184" t="s">
        <v>1170</v>
      </c>
      <c r="E64" s="185"/>
      <c r="F64" s="185"/>
      <c r="G64" s="195"/>
      <c r="H64" s="188">
        <v>46137</v>
      </c>
      <c r="I64" s="194" t="s">
        <v>8</v>
      </c>
      <c r="J64" s="169" t="s">
        <v>1069</v>
      </c>
      <c r="K64" s="197" t="s">
        <v>1182</v>
      </c>
      <c r="L64" s="5" t="s">
        <v>1041</v>
      </c>
    </row>
    <row r="65" s="101" customFormat="1" ht="75" customHeight="1" spans="1:14">
      <c r="A65" s="182" t="s">
        <v>288</v>
      </c>
      <c r="B65" s="191" t="s">
        <v>1183</v>
      </c>
      <c r="C65" s="192" t="s">
        <v>1184</v>
      </c>
      <c r="D65" s="184" t="s">
        <v>1150</v>
      </c>
      <c r="E65" s="185"/>
      <c r="F65" s="185"/>
      <c r="G65" s="195"/>
      <c r="H65" s="188">
        <v>46137</v>
      </c>
      <c r="I65" s="189" t="s">
        <v>7</v>
      </c>
      <c r="J65" s="196"/>
      <c r="K65" s="5"/>
      <c r="L65" s="5" t="s">
        <v>1041</v>
      </c>
    </row>
    <row r="66" s="101" customFormat="1" ht="75" customHeight="1" spans="1:14">
      <c r="A66" s="190" t="s">
        <v>293</v>
      </c>
      <c r="B66" s="191" t="s">
        <v>1185</v>
      </c>
      <c r="C66" s="191" t="s">
        <v>1186</v>
      </c>
      <c r="D66" s="183" t="s">
        <v>1187</v>
      </c>
      <c r="E66" s="198"/>
      <c r="F66" s="198"/>
      <c r="G66" s="199"/>
      <c r="H66" s="188">
        <v>46137</v>
      </c>
      <c r="I66" s="189" t="s">
        <v>7</v>
      </c>
      <c r="J66" s="200"/>
      <c r="K66" s="5"/>
      <c r="L66" s="5" t="s">
        <v>1041</v>
      </c>
    </row>
    <row r="67" s="101" customFormat="1" ht="75" customHeight="1" spans="1:14">
      <c r="A67" s="182" t="s">
        <v>298</v>
      </c>
      <c r="B67" s="191" t="s">
        <v>1188</v>
      </c>
      <c r="C67" s="192" t="s">
        <v>1189</v>
      </c>
      <c r="D67" s="184" t="s">
        <v>1190</v>
      </c>
      <c r="E67" s="185"/>
      <c r="F67" s="185"/>
      <c r="G67" s="195"/>
      <c r="H67" s="188">
        <v>46137</v>
      </c>
      <c r="I67" s="189" t="s">
        <v>7</v>
      </c>
      <c r="J67" s="196"/>
      <c r="K67" s="5"/>
      <c r="L67" s="5" t="s">
        <v>1041</v>
      </c>
    </row>
    <row r="68" s="101" customFormat="1" ht="75" customHeight="1" spans="1:14">
      <c r="A68" s="190" t="s">
        <v>304</v>
      </c>
      <c r="B68" s="191" t="s">
        <v>1191</v>
      </c>
      <c r="C68" s="192" t="s">
        <v>1192</v>
      </c>
      <c r="D68" s="184" t="s">
        <v>1150</v>
      </c>
      <c r="E68" s="185"/>
      <c r="F68" s="185"/>
      <c r="G68" s="195"/>
      <c r="H68" s="188">
        <v>46137</v>
      </c>
      <c r="I68" s="189" t="s">
        <v>7</v>
      </c>
      <c r="J68" s="196"/>
      <c r="K68" s="5"/>
      <c r="L68" s="5" t="s">
        <v>1041</v>
      </c>
    </row>
    <row r="69" s="104" customFormat="1" ht="75" customHeight="1" outlineLevel="1" spans="1:14">
      <c r="A69" s="182" t="s">
        <v>309</v>
      </c>
      <c r="B69" s="191" t="s">
        <v>1193</v>
      </c>
      <c r="C69" s="192" t="s">
        <v>1194</v>
      </c>
      <c r="D69" s="184" t="s">
        <v>1150</v>
      </c>
      <c r="E69" s="185"/>
      <c r="F69" s="185"/>
      <c r="G69" s="195"/>
      <c r="H69" s="188">
        <v>46137</v>
      </c>
      <c r="I69" s="194" t="s">
        <v>8</v>
      </c>
      <c r="J69" s="196" t="s">
        <v>1110</v>
      </c>
      <c r="K69" s="5" t="s">
        <v>1195</v>
      </c>
      <c r="L69" s="5" t="s">
        <v>1041</v>
      </c>
    </row>
    <row r="70" s="104" customFormat="1" ht="75" customHeight="1" outlineLevel="1" spans="1:14">
      <c r="A70" s="190" t="s">
        <v>314</v>
      </c>
      <c r="B70" s="191" t="s">
        <v>1196</v>
      </c>
      <c r="C70" s="192" t="s">
        <v>1197</v>
      </c>
      <c r="D70" s="184" t="s">
        <v>1170</v>
      </c>
      <c r="E70" s="185"/>
      <c r="F70" s="185"/>
      <c r="G70" s="195"/>
      <c r="H70" s="188">
        <v>46137</v>
      </c>
      <c r="I70" s="194" t="s">
        <v>8</v>
      </c>
      <c r="J70" s="169" t="s">
        <v>1069</v>
      </c>
      <c r="K70" s="5" t="s">
        <v>1198</v>
      </c>
      <c r="L70" s="5" t="s">
        <v>1041</v>
      </c>
    </row>
    <row r="71" s="104" customFormat="1" ht="75" customHeight="1" outlineLevel="1" spans="1:14">
      <c r="A71" s="182" t="s">
        <v>318</v>
      </c>
      <c r="B71" s="191" t="s">
        <v>1199</v>
      </c>
      <c r="C71" s="192" t="s">
        <v>1200</v>
      </c>
      <c r="D71" s="184" t="s">
        <v>1170</v>
      </c>
      <c r="E71" s="185"/>
      <c r="F71" s="185"/>
      <c r="G71" s="201"/>
      <c r="H71" s="188">
        <v>46137</v>
      </c>
      <c r="I71" s="189" t="s">
        <v>7</v>
      </c>
      <c r="J71" s="196"/>
      <c r="K71" s="5"/>
      <c r="L71" s="5" t="s">
        <v>1041</v>
      </c>
      <c r="M71" s="202"/>
      <c r="N71" s="202"/>
    </row>
    <row r="72" s="104" customFormat="1" ht="75" customHeight="1" outlineLevel="1" spans="1:14">
      <c r="A72" s="190" t="s">
        <v>322</v>
      </c>
      <c r="B72" s="183" t="s">
        <v>1201</v>
      </c>
      <c r="C72" s="184" t="s">
        <v>1202</v>
      </c>
      <c r="D72" s="184" t="s">
        <v>1170</v>
      </c>
      <c r="E72" s="185"/>
      <c r="F72" s="185"/>
      <c r="G72" s="203"/>
      <c r="H72" s="188">
        <v>46137</v>
      </c>
      <c r="I72" s="189" t="s">
        <v>7</v>
      </c>
      <c r="J72" s="184"/>
      <c r="K72" s="5"/>
      <c r="L72" s="5" t="s">
        <v>1041</v>
      </c>
    </row>
    <row r="73" s="101" customFormat="1" ht="75" customHeight="1" spans="1:14">
      <c r="A73" s="182" t="s">
        <v>327</v>
      </c>
      <c r="B73" s="191" t="s">
        <v>1203</v>
      </c>
      <c r="C73" s="192" t="s">
        <v>1204</v>
      </c>
      <c r="D73" s="184" t="s">
        <v>1205</v>
      </c>
      <c r="E73" s="204"/>
      <c r="F73" s="204"/>
      <c r="G73" s="203"/>
      <c r="H73" s="188">
        <v>46137</v>
      </c>
      <c r="I73" s="194" t="s">
        <v>8</v>
      </c>
      <c r="J73" s="205" t="s">
        <v>1206</v>
      </c>
      <c r="K73" s="197" t="s">
        <v>1207</v>
      </c>
      <c r="L73" s="5" t="s">
        <v>1041</v>
      </c>
    </row>
    <row r="74" s="101" customFormat="1" ht="75" customHeight="1" outlineLevel="1" spans="1:14">
      <c r="A74" s="190" t="s">
        <v>332</v>
      </c>
      <c r="B74" s="191" t="s">
        <v>1208</v>
      </c>
      <c r="C74" s="192" t="s">
        <v>1209</v>
      </c>
      <c r="D74" s="184" t="s">
        <v>1170</v>
      </c>
      <c r="E74" s="185"/>
      <c r="F74" s="185"/>
      <c r="G74" s="203"/>
      <c r="H74" s="188">
        <v>46137</v>
      </c>
      <c r="I74" s="194" t="s">
        <v>8</v>
      </c>
      <c r="J74" s="169" t="s">
        <v>1069</v>
      </c>
      <c r="K74" s="197" t="s">
        <v>1210</v>
      </c>
      <c r="L74" s="5" t="s">
        <v>1041</v>
      </c>
    </row>
    <row r="75" s="104" customFormat="1" ht="15" customHeight="1" outlineLevel="1" spans="1:14">
      <c r="A75" s="179" t="s">
        <v>1211</v>
      </c>
      <c r="B75" s="180"/>
      <c r="C75" s="180"/>
      <c r="D75" s="180"/>
      <c r="E75" s="180"/>
      <c r="F75" s="180"/>
      <c r="G75" s="180"/>
      <c r="H75" s="180"/>
      <c r="I75" s="180"/>
      <c r="J75" s="180"/>
      <c r="K75" s="180"/>
      <c r="L75" s="181"/>
    </row>
    <row r="76" s="104" customFormat="1" ht="75" customHeight="1" outlineLevel="1" spans="1:14">
      <c r="A76" s="182" t="s">
        <v>337</v>
      </c>
      <c r="B76" s="191" t="s">
        <v>1212</v>
      </c>
      <c r="C76" s="192" t="s">
        <v>1213</v>
      </c>
      <c r="D76" s="184" t="s">
        <v>1214</v>
      </c>
      <c r="E76" s="185"/>
      <c r="F76" s="185"/>
      <c r="G76" s="206"/>
      <c r="H76" s="188">
        <v>46137</v>
      </c>
      <c r="I76" s="207" t="s">
        <v>8</v>
      </c>
      <c r="J76" s="196" t="s">
        <v>1215</v>
      </c>
      <c r="K76" s="5" t="s">
        <v>1216</v>
      </c>
      <c r="L76" s="5" t="s">
        <v>1041</v>
      </c>
    </row>
    <row r="77" s="104" customFormat="1" ht="75" customHeight="1" outlineLevel="1" spans="1:14">
      <c r="A77" s="182" t="s">
        <v>342</v>
      </c>
      <c r="B77" s="191" t="s">
        <v>1217</v>
      </c>
      <c r="C77" s="192" t="s">
        <v>1218</v>
      </c>
      <c r="D77" s="184" t="s">
        <v>1219</v>
      </c>
      <c r="E77" s="185"/>
      <c r="F77" s="185"/>
      <c r="G77" s="203"/>
      <c r="H77" s="188">
        <v>46137</v>
      </c>
      <c r="I77" s="207" t="s">
        <v>8</v>
      </c>
      <c r="J77" s="184" t="s">
        <v>1220</v>
      </c>
      <c r="K77" s="5" t="s">
        <v>1221</v>
      </c>
      <c r="L77" s="5" t="s">
        <v>1041</v>
      </c>
    </row>
    <row r="78" s="104" customFormat="1" ht="75" customHeight="1" outlineLevel="1" spans="1:14">
      <c r="A78" s="182" t="s">
        <v>346</v>
      </c>
      <c r="B78" s="191" t="s">
        <v>1222</v>
      </c>
      <c r="C78" s="192" t="s">
        <v>1223</v>
      </c>
      <c r="D78" s="184" t="s">
        <v>1224</v>
      </c>
      <c r="E78" s="185"/>
      <c r="F78" s="185"/>
      <c r="G78" s="203"/>
      <c r="H78" s="188">
        <v>46137</v>
      </c>
      <c r="I78" s="207" t="s">
        <v>8</v>
      </c>
      <c r="J78" s="184" t="s">
        <v>1225</v>
      </c>
      <c r="K78" s="5" t="s">
        <v>1226</v>
      </c>
      <c r="L78" s="5" t="s">
        <v>1041</v>
      </c>
    </row>
    <row r="79" s="104" customFormat="1" ht="75" customHeight="1" outlineLevel="1" spans="1:14">
      <c r="A79" s="182" t="s">
        <v>350</v>
      </c>
      <c r="B79" s="191" t="s">
        <v>1227</v>
      </c>
      <c r="C79" s="192" t="s">
        <v>1228</v>
      </c>
      <c r="D79" s="184" t="s">
        <v>1229</v>
      </c>
      <c r="E79" s="185"/>
      <c r="F79" s="185"/>
      <c r="G79" s="203"/>
      <c r="H79" s="188">
        <v>46137</v>
      </c>
      <c r="I79" s="207" t="s">
        <v>8</v>
      </c>
      <c r="J79" s="184" t="s">
        <v>1230</v>
      </c>
      <c r="K79" s="5" t="s">
        <v>1231</v>
      </c>
      <c r="L79" s="5" t="s">
        <v>1041</v>
      </c>
    </row>
    <row r="80" s="104" customFormat="1" ht="75" customHeight="1" outlineLevel="1" spans="1:14">
      <c r="A80" s="208" t="s">
        <v>355</v>
      </c>
      <c r="B80" s="209" t="s">
        <v>1232</v>
      </c>
      <c r="C80" s="210" t="s">
        <v>1233</v>
      </c>
      <c r="D80" s="211" t="s">
        <v>1234</v>
      </c>
      <c r="E80" s="212"/>
      <c r="F80" s="212"/>
      <c r="G80" s="203"/>
      <c r="H80" s="213">
        <v>46137</v>
      </c>
      <c r="I80" s="214" t="s">
        <v>8</v>
      </c>
      <c r="J80" s="211" t="s">
        <v>1235</v>
      </c>
      <c r="K80" s="5" t="s">
        <v>1236</v>
      </c>
      <c r="L80" s="5" t="s">
        <v>1041</v>
      </c>
    </row>
    <row r="81" s="101" customFormat="1" ht="15" customHeight="1" outlineLevel="1" spans="1:12">
      <c r="A81" s="215" t="s">
        <v>1237</v>
      </c>
      <c r="B81" s="216"/>
      <c r="C81" s="216"/>
      <c r="D81" s="216"/>
      <c r="E81" s="216"/>
      <c r="F81" s="216"/>
      <c r="G81" s="216"/>
      <c r="H81" s="216"/>
      <c r="I81" s="216"/>
      <c r="J81" s="216"/>
      <c r="K81" s="216"/>
      <c r="L81" s="217"/>
    </row>
    <row r="82" s="104" customFormat="1" ht="99" customHeight="1" outlineLevel="1" spans="1:12">
      <c r="A82" s="218" t="s">
        <v>360</v>
      </c>
      <c r="B82" s="183" t="s">
        <v>1238</v>
      </c>
      <c r="C82" s="184" t="s">
        <v>1239</v>
      </c>
      <c r="D82" s="184" t="s">
        <v>1240</v>
      </c>
      <c r="E82" s="219"/>
      <c r="F82" s="219"/>
      <c r="G82" s="203"/>
      <c r="H82" s="188">
        <v>46137</v>
      </c>
      <c r="I82" s="194" t="s">
        <v>8</v>
      </c>
      <c r="J82" s="220" t="s">
        <v>1206</v>
      </c>
      <c r="K82" s="6" t="s">
        <v>1241</v>
      </c>
      <c r="L82" s="6" t="s">
        <v>1041</v>
      </c>
    </row>
    <row r="83" s="104" customFormat="1" ht="75" customHeight="1" outlineLevel="1" spans="1:12">
      <c r="A83" s="218" t="s">
        <v>365</v>
      </c>
      <c r="B83" s="184" t="s">
        <v>1242</v>
      </c>
      <c r="C83" s="184" t="s">
        <v>1243</v>
      </c>
      <c r="D83" s="184" t="s">
        <v>1244</v>
      </c>
      <c r="E83" s="219"/>
      <c r="F83" s="219"/>
      <c r="G83" s="203"/>
      <c r="H83" s="188">
        <v>46137</v>
      </c>
      <c r="I83" s="184" t="s">
        <v>9</v>
      </c>
      <c r="J83" s="221"/>
      <c r="K83" s="222"/>
      <c r="L83" s="5" t="s">
        <v>1041</v>
      </c>
    </row>
    <row r="84" s="101" customFormat="1" ht="75" customHeight="1" outlineLevel="1" spans="1:12">
      <c r="A84" s="218" t="s">
        <v>371</v>
      </c>
      <c r="B84" s="184" t="s">
        <v>1245</v>
      </c>
      <c r="C84" s="184" t="s">
        <v>1246</v>
      </c>
      <c r="D84" s="184" t="s">
        <v>1247</v>
      </c>
      <c r="E84" s="223"/>
      <c r="F84" s="223"/>
      <c r="G84" s="203"/>
      <c r="H84" s="188">
        <v>46137</v>
      </c>
      <c r="I84" s="184" t="s">
        <v>9</v>
      </c>
      <c r="J84" s="221"/>
      <c r="K84" s="197"/>
      <c r="L84" s="5" t="s">
        <v>1041</v>
      </c>
    </row>
    <row r="85" s="101" customFormat="1" ht="65.4" customHeight="1" outlineLevel="1" spans="1:12">
      <c r="A85" s="224"/>
      <c r="B85" s="224"/>
      <c r="C85" s="224"/>
      <c r="D85" s="224"/>
      <c r="E85" s="224"/>
      <c r="F85" s="224"/>
      <c r="G85" s="224"/>
      <c r="H85" s="224"/>
      <c r="I85" s="225"/>
      <c r="K85" s="226"/>
      <c r="L85" s="93"/>
    </row>
    <row r="86" s="104" customFormat="1" ht="87.75" customHeight="1" outlineLevel="1" spans="1:12">
      <c r="A86" s="224"/>
      <c r="B86" s="224"/>
      <c r="C86" s="224"/>
      <c r="D86" s="224"/>
      <c r="E86" s="224"/>
      <c r="F86" s="224"/>
      <c r="G86" s="224"/>
      <c r="H86" s="224"/>
      <c r="I86" s="225"/>
      <c r="K86" s="226"/>
      <c r="L86" s="93"/>
    </row>
    <row r="87" s="104" customFormat="1" ht="87.75" customHeight="1" outlineLevel="1" spans="1:12">
      <c r="A87" s="224"/>
      <c r="B87" s="224"/>
      <c r="C87" s="224"/>
      <c r="D87" s="224"/>
      <c r="E87" s="224"/>
      <c r="F87" s="224"/>
      <c r="G87" s="224"/>
      <c r="H87" s="224"/>
      <c r="I87" s="225"/>
      <c r="K87" s="92"/>
      <c r="L87" s="92"/>
    </row>
    <row r="88" s="104" customFormat="1" ht="87.75" customHeight="1" outlineLevel="1" spans="1:12">
      <c r="A88" s="224"/>
      <c r="B88" s="224"/>
      <c r="C88" s="224"/>
      <c r="D88" s="224"/>
      <c r="E88" s="224"/>
      <c r="F88" s="224"/>
      <c r="G88" s="224"/>
      <c r="H88" s="224"/>
      <c r="I88" s="225"/>
      <c r="K88" s="226"/>
      <c r="L88" s="93"/>
    </row>
    <row r="89" s="104" customFormat="1" ht="87.75" customHeight="1" outlineLevel="1" spans="1:12">
      <c r="I89" s="225"/>
      <c r="K89" s="226"/>
      <c r="L89" s="93"/>
    </row>
    <row r="90" s="105" customFormat="1" ht="12" customHeight="1" spans="1:12">
      <c r="I90" s="225"/>
      <c r="K90" s="94"/>
      <c r="L90" s="93"/>
    </row>
    <row r="91" s="105" customFormat="1" ht="12" customHeight="1" spans="1:12">
      <c r="I91" s="225"/>
      <c r="K91" s="94"/>
      <c r="L91" s="93"/>
    </row>
    <row r="92" s="105" customFormat="1" ht="12" customHeight="1" spans="1:12">
      <c r="I92" s="225"/>
      <c r="K92" s="94"/>
      <c r="L92" s="93"/>
    </row>
    <row r="93" s="105" customFormat="1" ht="12" customHeight="1" spans="1:12">
      <c r="I93" s="225"/>
      <c r="K93" s="94"/>
      <c r="L93" s="93"/>
    </row>
    <row r="94" s="105" customFormat="1" ht="12" customHeight="1" spans="1:12">
      <c r="I94" s="225"/>
      <c r="K94" s="94"/>
      <c r="L94" s="93"/>
    </row>
    <row r="95" s="105" customFormat="1" ht="12" customHeight="1" spans="1:12">
      <c r="I95" s="225"/>
      <c r="K95" s="94"/>
      <c r="L95" s="93"/>
    </row>
    <row r="96" s="105" customFormat="1" ht="12" customHeight="1" spans="1:12">
      <c r="I96" s="225"/>
      <c r="K96" s="94"/>
      <c r="L96" s="93"/>
    </row>
    <row r="97" s="105" customFormat="1" ht="12" customHeight="1" spans="9:12">
      <c r="I97" s="225"/>
      <c r="K97" s="94"/>
      <c r="L97" s="93"/>
    </row>
    <row r="98" s="105" customFormat="1" ht="12" customHeight="1" spans="9:12">
      <c r="I98" s="225"/>
      <c r="K98" s="94"/>
      <c r="L98" s="93"/>
    </row>
    <row r="99" s="105" customFormat="1" ht="12" customHeight="1" spans="9:12">
      <c r="I99" s="225"/>
      <c r="K99" s="94"/>
      <c r="L99" s="94"/>
    </row>
    <row r="100" s="105" customFormat="1" ht="12" customHeight="1" spans="9:12">
      <c r="I100" s="225"/>
      <c r="K100" s="9"/>
      <c r="L100" s="9"/>
    </row>
    <row r="101" s="105" customFormat="1" ht="12" customHeight="1" spans="9:12">
      <c r="I101" s="225"/>
      <c r="K101" s="9"/>
      <c r="L101" s="9"/>
    </row>
    <row r="102" s="105" customFormat="1" ht="12" customHeight="1" spans="9:12">
      <c r="I102" s="225"/>
      <c r="K102" s="9"/>
      <c r="L102" s="9"/>
    </row>
    <row r="103" s="105" customFormat="1" ht="12" customHeight="1" spans="9:12">
      <c r="I103" s="225"/>
      <c r="K103" s="9"/>
      <c r="L103" s="9"/>
    </row>
    <row r="104" s="105" customFormat="1" ht="12" customHeight="1" spans="9:12">
      <c r="I104" s="225"/>
      <c r="K104" s="9"/>
      <c r="L104" s="9"/>
    </row>
    <row r="105" s="105" customFormat="1" ht="12" customHeight="1" spans="9:12">
      <c r="I105" s="225"/>
      <c r="K105" s="9"/>
      <c r="L105" s="9"/>
    </row>
    <row r="106" s="105" customFormat="1" ht="12" customHeight="1" spans="9:12">
      <c r="I106" s="225"/>
      <c r="K106" s="9"/>
      <c r="L106" s="9"/>
    </row>
    <row r="107" s="105" customFormat="1" ht="12" customHeight="1" spans="9:12">
      <c r="I107" s="225"/>
      <c r="K107" s="9"/>
      <c r="L107" s="9"/>
    </row>
    <row r="108" s="105" customFormat="1" ht="12" customHeight="1" spans="9:12">
      <c r="I108" s="225"/>
      <c r="K108" s="9"/>
      <c r="L108" s="9"/>
    </row>
    <row r="109" s="105" customFormat="1" ht="12" customHeight="1" spans="9:12">
      <c r="I109" s="225"/>
      <c r="K109" s="9"/>
      <c r="L109" s="9"/>
    </row>
    <row r="110" s="105" customFormat="1" ht="12" customHeight="1" spans="9:12">
      <c r="I110" s="225"/>
      <c r="K110" s="9"/>
      <c r="L110" s="9"/>
    </row>
    <row r="111" s="105" customFormat="1" ht="12" customHeight="1" spans="9:12">
      <c r="I111" s="225"/>
      <c r="K111" s="9"/>
      <c r="L111" s="9"/>
    </row>
    <row r="112" s="105" customFormat="1" ht="12" customHeight="1" spans="9:12">
      <c r="I112" s="225"/>
      <c r="K112" s="9"/>
      <c r="L112" s="9"/>
    </row>
    <row r="113" s="105" customFormat="1" ht="12" customHeight="1" spans="9:12">
      <c r="I113" s="225"/>
      <c r="K113" s="9"/>
      <c r="L113" s="9"/>
    </row>
    <row r="114" s="105" customFormat="1" ht="12" customHeight="1" spans="9:12">
      <c r="I114" s="225"/>
      <c r="K114" s="9"/>
      <c r="L114" s="9"/>
    </row>
    <row r="115" s="105" customFormat="1" ht="12" customHeight="1" spans="9:12">
      <c r="I115" s="225"/>
      <c r="K115" s="9"/>
      <c r="L115" s="9"/>
    </row>
    <row r="116" s="105" customFormat="1" ht="12" customHeight="1" spans="9:12">
      <c r="I116" s="225"/>
      <c r="K116" s="9"/>
      <c r="L116" s="9"/>
    </row>
    <row r="117" s="105" customFormat="1" ht="12" customHeight="1" spans="9:12">
      <c r="I117" s="225"/>
      <c r="K117" s="9"/>
      <c r="L117" s="9"/>
    </row>
    <row r="118" s="105" customFormat="1" ht="12" customHeight="1" spans="9:12">
      <c r="I118" s="225"/>
      <c r="K118" s="9"/>
      <c r="L118" s="9"/>
    </row>
    <row r="119" s="105" customFormat="1" ht="12" customHeight="1" spans="9:12">
      <c r="I119" s="225"/>
      <c r="K119" s="9"/>
      <c r="L119" s="9"/>
    </row>
    <row r="120" s="105" customFormat="1" ht="12" customHeight="1" spans="9:12">
      <c r="I120" s="225"/>
      <c r="K120" s="9"/>
      <c r="L120" s="9"/>
    </row>
    <row r="121" s="105" customFormat="1" ht="12" customHeight="1" spans="9:12">
      <c r="I121" s="225"/>
      <c r="K121" s="9"/>
      <c r="L121" s="9"/>
    </row>
    <row r="122" s="105" customFormat="1" ht="12" customHeight="1" spans="9:12">
      <c r="I122" s="225"/>
      <c r="K122" s="9"/>
      <c r="L122" s="9"/>
    </row>
    <row r="123" s="105" customFormat="1" ht="12" customHeight="1" spans="9:12">
      <c r="I123" s="225"/>
      <c r="K123" s="9"/>
      <c r="L123" s="9"/>
    </row>
    <row r="124" s="105" customFormat="1" ht="12" customHeight="1" spans="9:12">
      <c r="I124" s="225"/>
      <c r="K124" s="9"/>
      <c r="L124" s="9"/>
    </row>
    <row r="125" s="105" customFormat="1" ht="12" customHeight="1" spans="9:12">
      <c r="I125" s="225"/>
      <c r="K125" s="9"/>
      <c r="L125" s="9"/>
    </row>
    <row r="126" s="105" customFormat="1" ht="12" customHeight="1" spans="9:12">
      <c r="I126" s="225"/>
      <c r="K126" s="9"/>
      <c r="L126" s="9"/>
    </row>
    <row r="127" s="105" customFormat="1" ht="12" customHeight="1" spans="9:12">
      <c r="I127" s="225"/>
      <c r="K127" s="9"/>
      <c r="L127" s="9"/>
    </row>
    <row r="128" s="105" customFormat="1" spans="9:12">
      <c r="I128" s="225"/>
      <c r="K128" s="9"/>
      <c r="L128" s="9"/>
    </row>
    <row r="129" s="105" customFormat="1" spans="9:12">
      <c r="I129" s="225"/>
      <c r="K129" s="9"/>
      <c r="L129" s="9"/>
    </row>
    <row r="130" s="105" customFormat="1" spans="9:12">
      <c r="I130" s="225"/>
      <c r="K130" s="9"/>
      <c r="L130" s="9"/>
    </row>
    <row r="131" s="105" customFormat="1" spans="9:12">
      <c r="I131" s="225"/>
      <c r="K131" s="9"/>
      <c r="L131" s="9"/>
    </row>
    <row r="132" s="105" customFormat="1" spans="9:12">
      <c r="I132" s="225"/>
      <c r="K132" s="9"/>
      <c r="L132" s="9"/>
    </row>
    <row r="133" s="105" customFormat="1" spans="9:12">
      <c r="I133" s="225"/>
      <c r="K133" s="9"/>
      <c r="L133" s="9"/>
    </row>
    <row r="134" s="105" customFormat="1" spans="9:12">
      <c r="I134" s="225"/>
      <c r="K134" s="9"/>
      <c r="L134" s="9"/>
    </row>
    <row r="135" s="105" customFormat="1" spans="9:12">
      <c r="I135" s="225"/>
      <c r="K135" s="9"/>
      <c r="L135" s="9"/>
    </row>
    <row r="136" s="105" customFormat="1" spans="9:12">
      <c r="I136" s="225"/>
      <c r="K136" s="9"/>
      <c r="L136" s="9"/>
    </row>
    <row r="137" s="105" customFormat="1" spans="9:12">
      <c r="I137" s="225"/>
      <c r="K137" s="9"/>
      <c r="L137" s="9"/>
    </row>
    <row r="138" s="105" customFormat="1" spans="9:12">
      <c r="I138" s="225"/>
      <c r="K138" s="9"/>
      <c r="L138" s="9"/>
    </row>
    <row r="139" s="105" customFormat="1" spans="9:12">
      <c r="I139" s="225"/>
      <c r="K139" s="9"/>
      <c r="L139" s="9"/>
    </row>
    <row r="140" s="105" customFormat="1" spans="9:12">
      <c r="I140" s="225"/>
      <c r="K140" s="9"/>
      <c r="L140" s="9"/>
    </row>
    <row r="141" s="105" customFormat="1" spans="9:12">
      <c r="I141" s="225"/>
      <c r="K141" s="9"/>
      <c r="L141" s="9"/>
    </row>
    <row r="142" s="105" customFormat="1" spans="9:12">
      <c r="I142" s="225"/>
      <c r="K142" s="9"/>
      <c r="L142" s="9"/>
    </row>
    <row r="143" s="105" customFormat="1" spans="9:12">
      <c r="I143" s="225"/>
      <c r="K143" s="9"/>
      <c r="L143" s="9"/>
    </row>
    <row r="144" s="105" customFormat="1" spans="9:12">
      <c r="I144" s="225"/>
      <c r="K144" s="9"/>
      <c r="L144" s="9"/>
    </row>
    <row r="145" s="105" customFormat="1" spans="9:12">
      <c r="I145" s="225"/>
      <c r="K145" s="9"/>
      <c r="L145" s="9"/>
    </row>
    <row r="146" s="105" customFormat="1" spans="9:12">
      <c r="I146" s="225"/>
      <c r="K146" s="9"/>
      <c r="L146" s="9"/>
    </row>
    <row r="147" s="105" customFormat="1" spans="9:12">
      <c r="I147" s="225"/>
      <c r="K147" s="9"/>
      <c r="L147" s="9"/>
    </row>
    <row r="148" s="105" customFormat="1" spans="9:12">
      <c r="I148" s="225"/>
      <c r="K148" s="9"/>
      <c r="L148" s="9"/>
    </row>
    <row r="149" s="105" customFormat="1" spans="9:12">
      <c r="I149" s="225"/>
      <c r="K149" s="9"/>
      <c r="L149" s="9"/>
    </row>
    <row r="150" s="105" customFormat="1" spans="9:12">
      <c r="I150" s="225"/>
      <c r="K150" s="9"/>
      <c r="L150" s="9"/>
    </row>
    <row r="151" s="105" customFormat="1" spans="9:12">
      <c r="I151" s="225"/>
      <c r="K151" s="9"/>
      <c r="L151" s="9"/>
    </row>
    <row r="152" s="105" customFormat="1" spans="9:12">
      <c r="I152" s="225"/>
      <c r="K152" s="9"/>
      <c r="L152" s="9"/>
    </row>
    <row r="153" s="105" customFormat="1" spans="9:12">
      <c r="I153" s="225"/>
      <c r="K153" s="9"/>
      <c r="L153" s="9"/>
    </row>
    <row r="154" s="105" customFormat="1" spans="9:12">
      <c r="I154" s="225"/>
      <c r="K154" s="9"/>
      <c r="L154" s="9"/>
    </row>
    <row r="155" s="105" customFormat="1" spans="9:12">
      <c r="I155" s="225"/>
      <c r="K155" s="9"/>
      <c r="L155" s="9"/>
    </row>
    <row r="156" s="105" customFormat="1" spans="9:12">
      <c r="I156" s="225"/>
      <c r="K156" s="9"/>
      <c r="L156" s="9"/>
    </row>
    <row r="157" s="105" customFormat="1" spans="9:12">
      <c r="I157" s="225"/>
      <c r="K157" s="9"/>
      <c r="L157" s="9"/>
    </row>
    <row r="158" s="105" customFormat="1" spans="9:12">
      <c r="I158" s="225"/>
      <c r="K158" s="9"/>
      <c r="L158" s="9"/>
    </row>
    <row r="159" s="105" customFormat="1" spans="9:12">
      <c r="I159" s="225"/>
      <c r="K159" s="9"/>
      <c r="L159" s="9"/>
    </row>
    <row r="160" s="105" customFormat="1" spans="9:12">
      <c r="I160" s="225"/>
      <c r="K160" s="9"/>
      <c r="L160" s="9"/>
    </row>
    <row r="161" s="105" customFormat="1" spans="9:12">
      <c r="I161" s="225"/>
      <c r="K161" s="9"/>
      <c r="L161" s="9"/>
    </row>
    <row r="162" s="105" customFormat="1" spans="9:12">
      <c r="I162" s="225"/>
      <c r="K162" s="9"/>
      <c r="L162" s="9"/>
    </row>
    <row r="163" s="105" customFormat="1" spans="9:12">
      <c r="I163" s="225"/>
      <c r="K163" s="9"/>
      <c r="L163" s="9"/>
    </row>
    <row r="164" s="105" customFormat="1" spans="9:12">
      <c r="I164" s="225"/>
      <c r="K164" s="9"/>
      <c r="L164" s="9"/>
    </row>
    <row r="165" s="105" customFormat="1" spans="9:12">
      <c r="I165" s="225"/>
      <c r="K165" s="9"/>
      <c r="L165" s="9"/>
    </row>
    <row r="166" s="105" customFormat="1" spans="9:12">
      <c r="I166" s="225"/>
      <c r="K166" s="9"/>
      <c r="L166" s="9"/>
    </row>
    <row r="167" s="105" customFormat="1" spans="9:12">
      <c r="I167" s="225"/>
      <c r="K167" s="9"/>
      <c r="L167" s="9"/>
    </row>
    <row r="168" s="105" customFormat="1" spans="9:12">
      <c r="I168" s="225"/>
      <c r="K168" s="9"/>
      <c r="L168" s="9"/>
    </row>
    <row r="169" s="105" customFormat="1" spans="9:12">
      <c r="I169" s="225"/>
      <c r="K169" s="9"/>
      <c r="L169" s="9"/>
    </row>
    <row r="170" s="105" customFormat="1" spans="9:12">
      <c r="I170" s="225"/>
      <c r="K170" s="9"/>
      <c r="L170" s="9"/>
    </row>
    <row r="171" s="105" customFormat="1" spans="9:12">
      <c r="I171" s="225"/>
      <c r="K171" s="9"/>
      <c r="L171" s="9"/>
    </row>
    <row r="172" s="105" customFormat="1" spans="9:12">
      <c r="I172" s="225"/>
      <c r="K172" s="9"/>
      <c r="L172" s="9"/>
    </row>
    <row r="173" s="105" customFormat="1" spans="9:12">
      <c r="I173" s="225"/>
      <c r="K173" s="9"/>
      <c r="L173" s="9"/>
    </row>
    <row r="174" s="105" customFormat="1" spans="9:12">
      <c r="I174" s="225"/>
      <c r="K174" s="9"/>
      <c r="L174" s="9"/>
    </row>
    <row r="175" s="105" customFormat="1" spans="9:12">
      <c r="I175" s="225"/>
      <c r="K175" s="9"/>
      <c r="L175" s="9"/>
    </row>
    <row r="176" s="105" customFormat="1" spans="9:12">
      <c r="I176" s="225"/>
      <c r="K176" s="9"/>
      <c r="L176" s="9"/>
    </row>
    <row r="177" s="105" customFormat="1" spans="9:12">
      <c r="I177" s="225"/>
      <c r="K177" s="9"/>
      <c r="L177" s="9"/>
    </row>
    <row r="178" s="105" customFormat="1" spans="9:12">
      <c r="I178" s="225"/>
      <c r="K178" s="9"/>
      <c r="L178" s="9"/>
    </row>
    <row r="179" s="105" customFormat="1" spans="9:12">
      <c r="I179" s="225"/>
      <c r="K179" s="9"/>
      <c r="L179" s="9"/>
    </row>
    <row r="180" s="105" customFormat="1" spans="9:12">
      <c r="I180" s="225"/>
      <c r="K180" s="9"/>
      <c r="L180" s="9"/>
    </row>
    <row r="181" s="105" customFormat="1" spans="9:12">
      <c r="I181" s="225"/>
      <c r="K181" s="9"/>
      <c r="L181" s="9"/>
    </row>
    <row r="182" s="105" customFormat="1" spans="9:12">
      <c r="I182" s="225"/>
      <c r="K182" s="9"/>
      <c r="L182" s="9"/>
    </row>
    <row r="183" s="105" customFormat="1" spans="9:12">
      <c r="I183" s="225"/>
      <c r="K183" s="9"/>
      <c r="L183" s="9"/>
    </row>
    <row r="184" s="105" customFormat="1" spans="9:12">
      <c r="I184" s="225"/>
      <c r="K184" s="9"/>
      <c r="L184" s="9"/>
    </row>
    <row r="185" s="105" customFormat="1" spans="9:12">
      <c r="I185" s="225"/>
      <c r="K185" s="9"/>
      <c r="L185" s="9"/>
    </row>
    <row r="186" s="105" customFormat="1" spans="9:12">
      <c r="I186" s="225"/>
      <c r="K186" s="9"/>
      <c r="L186" s="9"/>
    </row>
    <row r="187" s="105" customFormat="1" spans="9:12">
      <c r="I187" s="225"/>
      <c r="K187" s="9"/>
      <c r="L187" s="9"/>
    </row>
    <row r="188" s="105" customFormat="1" spans="9:12">
      <c r="I188" s="225"/>
      <c r="K188" s="9"/>
      <c r="L188" s="9"/>
    </row>
    <row r="189" s="105" customFormat="1" spans="9:12">
      <c r="I189" s="225"/>
      <c r="K189" s="9"/>
      <c r="L189" s="9"/>
    </row>
    <row r="190" s="105" customFormat="1" spans="9:12">
      <c r="I190" s="225"/>
      <c r="K190" s="9"/>
      <c r="L190" s="9"/>
    </row>
    <row r="191" s="105" customFormat="1" spans="9:12">
      <c r="I191" s="225"/>
      <c r="K191" s="9"/>
      <c r="L191" s="9"/>
    </row>
    <row r="192" s="105" customFormat="1" spans="9:12">
      <c r="I192" s="225"/>
      <c r="K192" s="9"/>
      <c r="L192" s="9"/>
    </row>
    <row r="193" s="105" customFormat="1" spans="9:12">
      <c r="I193" s="225"/>
      <c r="K193" s="9"/>
      <c r="L193" s="9"/>
    </row>
    <row r="194" s="105" customFormat="1" spans="9:12">
      <c r="I194" s="225"/>
      <c r="K194" s="9"/>
      <c r="L194" s="9"/>
    </row>
    <row r="195" s="105" customFormat="1" spans="9:12">
      <c r="I195" s="225"/>
      <c r="K195" s="9"/>
      <c r="L195" s="9"/>
    </row>
    <row r="196" s="105" customFormat="1" spans="9:12">
      <c r="I196" s="225"/>
      <c r="K196" s="9"/>
      <c r="L196" s="9"/>
    </row>
    <row r="197" s="105" customFormat="1" spans="9:12">
      <c r="I197" s="225"/>
      <c r="K197" s="9"/>
      <c r="L197" s="9"/>
    </row>
    <row r="198" s="105" customFormat="1" spans="9:12">
      <c r="I198" s="225"/>
      <c r="K198" s="9"/>
      <c r="L198" s="9"/>
    </row>
    <row r="199" s="105" customFormat="1" spans="9:12">
      <c r="I199" s="225"/>
      <c r="K199" s="9"/>
      <c r="L199" s="9"/>
    </row>
    <row r="200" s="105" customFormat="1" spans="9:12">
      <c r="I200" s="225"/>
      <c r="K200" s="9"/>
      <c r="L200" s="9"/>
    </row>
    <row r="201" s="105" customFormat="1" spans="9:12">
      <c r="I201" s="225"/>
      <c r="K201" s="9"/>
      <c r="L201" s="9"/>
    </row>
    <row r="202" s="105" customFormat="1" spans="9:12">
      <c r="I202" s="225"/>
      <c r="K202" s="9"/>
      <c r="L202" s="9"/>
    </row>
    <row r="203" s="105" customFormat="1" spans="9:12">
      <c r="I203" s="225"/>
      <c r="K203" s="9"/>
      <c r="L203" s="9"/>
    </row>
    <row r="204" s="105" customFormat="1" spans="9:12">
      <c r="I204" s="225"/>
      <c r="K204" s="9"/>
      <c r="L204" s="9"/>
    </row>
    <row r="205" s="105" customFormat="1" spans="9:12">
      <c r="I205" s="225"/>
      <c r="K205" s="9"/>
      <c r="L205" s="9"/>
    </row>
    <row r="206" s="105" customFormat="1" spans="9:12">
      <c r="I206" s="225"/>
      <c r="K206" s="9"/>
      <c r="L206" s="9"/>
    </row>
    <row r="207" s="105" customFormat="1" spans="9:12">
      <c r="I207" s="225"/>
      <c r="K207" s="9"/>
      <c r="L207" s="9"/>
    </row>
    <row r="208" s="105" customFormat="1" spans="9:12">
      <c r="I208" s="225"/>
      <c r="K208" s="9"/>
      <c r="L208" s="9"/>
    </row>
    <row r="209" s="105" customFormat="1" spans="9:12">
      <c r="I209" s="225"/>
      <c r="K209" s="9"/>
      <c r="L209" s="9"/>
    </row>
    <row r="210" s="105" customFormat="1" spans="9:12">
      <c r="I210" s="225"/>
      <c r="K210" s="9"/>
      <c r="L210" s="9"/>
    </row>
    <row r="211" s="105" customFormat="1" spans="9:12">
      <c r="I211" s="225"/>
      <c r="K211" s="9"/>
      <c r="L211" s="9"/>
    </row>
    <row r="212" s="105" customFormat="1" spans="9:12">
      <c r="I212" s="225"/>
      <c r="K212" s="9"/>
      <c r="L212" s="9"/>
    </row>
    <row r="213" s="105" customFormat="1" spans="9:12">
      <c r="I213" s="225"/>
      <c r="K213" s="9"/>
      <c r="L213" s="9"/>
    </row>
    <row r="214" s="105" customFormat="1" spans="9:12">
      <c r="I214" s="225"/>
      <c r="K214" s="9"/>
      <c r="L214" s="9"/>
    </row>
    <row r="215" s="105" customFormat="1" spans="9:12">
      <c r="I215" s="225"/>
      <c r="K215" s="9"/>
      <c r="L215" s="9"/>
    </row>
    <row r="216" s="105" customFormat="1" spans="9:12">
      <c r="I216" s="225"/>
      <c r="K216" s="9"/>
      <c r="L216" s="9"/>
    </row>
    <row r="217" s="105" customFormat="1" spans="9:12">
      <c r="I217" s="225"/>
      <c r="K217" s="9"/>
      <c r="L217" s="9"/>
    </row>
    <row r="218" s="105" customFormat="1" spans="9:12">
      <c r="I218" s="225"/>
      <c r="K218" s="9"/>
      <c r="L218" s="9"/>
    </row>
    <row r="219" s="105" customFormat="1" spans="9:12">
      <c r="I219" s="225"/>
      <c r="K219" s="9"/>
      <c r="L219" s="9"/>
    </row>
    <row r="220" s="105" customFormat="1" spans="9:12">
      <c r="I220" s="225"/>
      <c r="K220" s="9"/>
      <c r="L220" s="9"/>
    </row>
    <row r="221" s="105" customFormat="1" spans="9:12">
      <c r="I221" s="225"/>
      <c r="K221" s="9"/>
      <c r="L221" s="9"/>
    </row>
    <row r="222" s="105" customFormat="1" spans="9:12">
      <c r="I222" s="225"/>
      <c r="K222" s="9"/>
      <c r="L222" s="9"/>
    </row>
    <row r="223" s="105" customFormat="1" spans="9:12">
      <c r="I223" s="225"/>
      <c r="K223" s="9"/>
      <c r="L223" s="9"/>
    </row>
    <row r="224" s="105" customFormat="1" spans="9:12">
      <c r="I224" s="225"/>
      <c r="K224" s="9"/>
      <c r="L224" s="9"/>
    </row>
    <row r="225" s="105" customFormat="1" spans="9:12">
      <c r="I225" s="225"/>
      <c r="K225" s="9"/>
      <c r="L225" s="9"/>
    </row>
    <row r="226" s="105" customFormat="1" spans="9:12">
      <c r="I226" s="225"/>
      <c r="K226" s="9"/>
      <c r="L226" s="9"/>
    </row>
    <row r="227" s="105" customFormat="1" spans="9:12">
      <c r="I227" s="225"/>
      <c r="K227" s="9"/>
      <c r="L227" s="9"/>
    </row>
    <row r="228" s="105" customFormat="1" spans="9:12">
      <c r="I228" s="225"/>
      <c r="K228" s="9"/>
      <c r="L228" s="9"/>
    </row>
    <row r="229" s="105" customFormat="1" spans="9:12">
      <c r="I229" s="225"/>
      <c r="K229" s="9"/>
      <c r="L229" s="9"/>
    </row>
    <row r="230" s="105" customFormat="1" spans="9:12">
      <c r="I230" s="225"/>
      <c r="K230" s="9"/>
      <c r="L230" s="9"/>
    </row>
    <row r="231" s="105" customFormat="1" spans="9:12">
      <c r="I231" s="225"/>
      <c r="K231" s="9"/>
      <c r="L231" s="9"/>
    </row>
    <row r="232" s="105" customFormat="1" spans="9:12">
      <c r="I232" s="225"/>
      <c r="K232" s="9"/>
      <c r="L232" s="9"/>
    </row>
    <row r="233" s="105" customFormat="1" spans="9:12">
      <c r="I233" s="225"/>
      <c r="K233" s="9"/>
      <c r="L233" s="9"/>
    </row>
    <row r="234" s="105" customFormat="1" spans="9:12">
      <c r="I234" s="225"/>
      <c r="K234" s="9"/>
      <c r="L234" s="9"/>
    </row>
    <row r="235" s="105" customFormat="1" spans="9:12">
      <c r="I235" s="225"/>
      <c r="K235" s="9"/>
      <c r="L235" s="9"/>
    </row>
    <row r="236" s="105" customFormat="1" spans="9:12">
      <c r="I236" s="225"/>
      <c r="K236" s="9"/>
      <c r="L236" s="9"/>
    </row>
    <row r="237" s="105" customFormat="1" spans="9:12">
      <c r="I237" s="225"/>
      <c r="K237" s="9"/>
      <c r="L237" s="9"/>
    </row>
    <row r="238" s="105" customFormat="1" spans="9:12">
      <c r="I238" s="225"/>
      <c r="K238" s="9"/>
      <c r="L238" s="9"/>
    </row>
    <row r="239" s="105" customFormat="1" spans="9:12">
      <c r="I239" s="225"/>
      <c r="K239" s="9"/>
      <c r="L239" s="9"/>
    </row>
    <row r="240" s="105" customFormat="1" spans="9:12">
      <c r="I240" s="225"/>
      <c r="K240" s="9"/>
      <c r="L240" s="9"/>
    </row>
    <row r="241" s="105" customFormat="1" spans="9:12">
      <c r="I241" s="225"/>
      <c r="K241" s="9"/>
      <c r="L241" s="9"/>
    </row>
    <row r="242" s="105" customFormat="1" spans="9:12">
      <c r="I242" s="225"/>
      <c r="K242" s="9"/>
      <c r="L242" s="9"/>
    </row>
    <row r="243" s="105" customFormat="1" spans="9:12">
      <c r="I243" s="225"/>
      <c r="K243" s="9"/>
      <c r="L243" s="9"/>
    </row>
    <row r="244" s="105" customFormat="1" spans="9:12">
      <c r="I244" s="225"/>
      <c r="K244" s="9"/>
      <c r="L244" s="9"/>
    </row>
    <row r="245" s="105" customFormat="1" spans="9:12">
      <c r="I245" s="225"/>
      <c r="K245" s="9"/>
      <c r="L245" s="9"/>
    </row>
    <row r="246" s="105" customFormat="1" spans="9:12">
      <c r="I246" s="225"/>
      <c r="K246" s="9"/>
      <c r="L246" s="9"/>
    </row>
    <row r="247" s="105" customFormat="1" spans="9:12">
      <c r="I247" s="225"/>
      <c r="K247" s="9"/>
      <c r="L247" s="9"/>
    </row>
    <row r="248" s="105" customFormat="1" spans="9:12">
      <c r="I248" s="225"/>
      <c r="K248" s="9"/>
      <c r="L248" s="9"/>
    </row>
    <row r="249" s="105" customFormat="1" spans="9:12">
      <c r="I249" s="225"/>
      <c r="K249" s="9"/>
      <c r="L249" s="9"/>
    </row>
    <row r="250" s="105" customFormat="1" spans="9:12">
      <c r="I250" s="225"/>
      <c r="K250" s="9"/>
      <c r="L250" s="9"/>
    </row>
    <row r="251" s="105" customFormat="1" spans="9:12">
      <c r="I251" s="225"/>
      <c r="K251" s="9"/>
      <c r="L251" s="9"/>
    </row>
    <row r="252" s="105" customFormat="1" spans="9:12">
      <c r="I252" s="225"/>
      <c r="K252" s="9"/>
      <c r="L252" s="9"/>
    </row>
    <row r="253" s="105" customFormat="1" spans="9:12">
      <c r="I253" s="225"/>
      <c r="K253" s="9"/>
      <c r="L253" s="9"/>
    </row>
    <row r="254" s="105" customFormat="1" spans="9:12">
      <c r="I254" s="225"/>
      <c r="K254" s="9"/>
      <c r="L254" s="9"/>
    </row>
    <row r="255" s="105" customFormat="1" spans="9:12">
      <c r="I255" s="225"/>
      <c r="K255" s="9"/>
      <c r="L255" s="9"/>
    </row>
    <row r="256" s="105" customFormat="1" spans="9:12">
      <c r="I256" s="225"/>
      <c r="K256" s="9"/>
      <c r="L256" s="9"/>
    </row>
    <row r="257" s="105" customFormat="1" spans="9:12">
      <c r="I257" s="225"/>
      <c r="K257" s="9"/>
      <c r="L257" s="9"/>
    </row>
    <row r="258" s="105" customFormat="1" spans="9:12">
      <c r="I258" s="225"/>
      <c r="K258" s="9"/>
      <c r="L258" s="9"/>
    </row>
    <row r="259" s="105" customFormat="1" spans="9:12">
      <c r="I259" s="225"/>
      <c r="K259" s="9"/>
      <c r="L259" s="9"/>
    </row>
    <row r="260" s="105" customFormat="1" spans="9:12">
      <c r="I260" s="225"/>
      <c r="K260" s="9"/>
      <c r="L260" s="9"/>
    </row>
    <row r="261" s="105" customFormat="1" spans="9:12">
      <c r="I261" s="225"/>
      <c r="K261" s="9"/>
      <c r="L261" s="9"/>
    </row>
    <row r="262" s="105" customFormat="1" spans="9:12">
      <c r="I262" s="225"/>
      <c r="K262" s="9"/>
      <c r="L262" s="9"/>
    </row>
    <row r="263" s="105" customFormat="1" spans="9:12">
      <c r="I263" s="225"/>
      <c r="K263" s="9"/>
      <c r="L263" s="9"/>
    </row>
    <row r="264" s="105" customFormat="1" spans="9:12">
      <c r="I264" s="225"/>
      <c r="K264" s="9"/>
      <c r="L264" s="9"/>
    </row>
    <row r="265" s="105" customFormat="1" spans="9:12">
      <c r="I265" s="225"/>
      <c r="K265" s="9"/>
      <c r="L265" s="9"/>
    </row>
    <row r="266" s="105" customFormat="1" spans="9:12">
      <c r="I266" s="225"/>
      <c r="K266" s="9"/>
      <c r="L266" s="9"/>
    </row>
    <row r="267" s="105" customFormat="1" spans="9:12">
      <c r="I267" s="225"/>
      <c r="K267" s="9"/>
      <c r="L267" s="9"/>
    </row>
    <row r="268" s="105" customFormat="1" spans="9:12">
      <c r="I268" s="225"/>
      <c r="K268" s="9"/>
      <c r="L268" s="9"/>
    </row>
    <row r="269" s="105" customFormat="1" spans="9:12">
      <c r="I269" s="225"/>
      <c r="K269" s="9"/>
      <c r="L269" s="9"/>
    </row>
    <row r="270" s="105" customFormat="1" spans="9:12">
      <c r="I270" s="225"/>
      <c r="K270" s="9"/>
      <c r="L270" s="9"/>
    </row>
    <row r="271" s="105" customFormat="1" spans="9:12">
      <c r="I271" s="225"/>
      <c r="K271" s="9"/>
      <c r="L271" s="9"/>
    </row>
    <row r="272" s="105" customFormat="1" spans="9:12">
      <c r="I272" s="225"/>
      <c r="K272" s="9"/>
      <c r="L272" s="9"/>
    </row>
    <row r="273" s="105" customFormat="1" spans="9:12">
      <c r="I273" s="225"/>
      <c r="K273" s="9"/>
      <c r="L273" s="9"/>
    </row>
    <row r="274" s="105" customFormat="1" spans="9:12">
      <c r="I274" s="225"/>
      <c r="K274" s="9"/>
      <c r="L274" s="9"/>
    </row>
    <row r="275" s="105" customFormat="1" spans="9:12">
      <c r="I275" s="225"/>
      <c r="K275" s="9"/>
      <c r="L275" s="9"/>
    </row>
    <row r="276" s="105" customFormat="1" spans="9:12">
      <c r="I276" s="225"/>
      <c r="K276" s="9"/>
      <c r="L276" s="9"/>
    </row>
    <row r="277" s="105" customFormat="1" spans="9:12">
      <c r="I277" s="225"/>
      <c r="K277" s="9"/>
      <c r="L277" s="9"/>
    </row>
    <row r="278" s="105" customFormat="1" spans="9:12">
      <c r="I278" s="225"/>
      <c r="K278" s="9"/>
      <c r="L278" s="9"/>
    </row>
    <row r="279" s="105" customFormat="1" spans="9:12">
      <c r="I279" s="225"/>
      <c r="K279" s="9"/>
      <c r="L279" s="9"/>
    </row>
    <row r="280" s="105" customFormat="1" spans="9:12">
      <c r="I280" s="225"/>
      <c r="K280" s="9"/>
      <c r="L280" s="9"/>
    </row>
    <row r="281" s="105" customFormat="1" spans="9:12">
      <c r="I281" s="225"/>
      <c r="K281" s="9"/>
      <c r="L281" s="9"/>
    </row>
    <row r="282" s="105" customFormat="1" spans="9:12">
      <c r="I282" s="225"/>
      <c r="K282" s="9"/>
      <c r="L282" s="9"/>
    </row>
    <row r="283" s="105" customFormat="1" spans="9:12">
      <c r="I283" s="225"/>
      <c r="K283" s="9"/>
      <c r="L283" s="9"/>
    </row>
    <row r="284" s="105" customFormat="1" spans="9:12">
      <c r="I284" s="225"/>
      <c r="K284" s="9"/>
      <c r="L284" s="9"/>
    </row>
    <row r="285" s="105" customFormat="1" spans="9:12">
      <c r="I285" s="225"/>
      <c r="K285" s="9"/>
      <c r="L285" s="9"/>
    </row>
    <row r="286" s="105" customFormat="1" spans="9:12">
      <c r="I286" s="225"/>
      <c r="K286" s="9"/>
      <c r="L286" s="9"/>
    </row>
    <row r="287" s="105" customFormat="1" spans="9:12">
      <c r="I287" s="225"/>
      <c r="K287" s="9"/>
      <c r="L287" s="9"/>
    </row>
    <row r="288" s="105" customFormat="1" spans="9:12">
      <c r="I288" s="225"/>
      <c r="K288" s="9"/>
      <c r="L288" s="9"/>
    </row>
    <row r="289" s="105" customFormat="1" spans="9:12">
      <c r="I289" s="225"/>
      <c r="K289" s="9"/>
      <c r="L289" s="9"/>
    </row>
    <row r="290" s="105" customFormat="1" spans="9:12">
      <c r="I290" s="225"/>
      <c r="K290" s="9"/>
      <c r="L290" s="9"/>
    </row>
    <row r="291" s="105" customFormat="1" spans="9:12">
      <c r="I291" s="225"/>
      <c r="K291" s="9"/>
      <c r="L291" s="9"/>
    </row>
    <row r="292" s="105" customFormat="1" spans="9:12">
      <c r="I292" s="225"/>
      <c r="K292" s="9"/>
      <c r="L292" s="9"/>
    </row>
    <row r="293" s="105" customFormat="1" spans="9:12">
      <c r="I293" s="225"/>
      <c r="K293" s="9"/>
      <c r="L293" s="9"/>
    </row>
    <row r="294" s="105" customFormat="1" spans="9:12">
      <c r="I294" s="225"/>
      <c r="K294" s="9"/>
      <c r="L294" s="9"/>
    </row>
    <row r="295" s="105" customFormat="1" spans="9:12">
      <c r="I295" s="225"/>
      <c r="K295" s="9"/>
      <c r="L295" s="9"/>
    </row>
    <row r="296" s="105" customFormat="1" spans="9:12">
      <c r="I296" s="225"/>
      <c r="K296" s="9"/>
      <c r="L296" s="9"/>
    </row>
    <row r="297" s="105" customFormat="1" spans="9:12">
      <c r="I297" s="225"/>
      <c r="K297" s="9"/>
      <c r="L297" s="9"/>
    </row>
    <row r="298" s="105" customFormat="1" spans="9:12">
      <c r="I298" s="225"/>
      <c r="K298" s="9"/>
      <c r="L298" s="9"/>
    </row>
    <row r="299" s="105" customFormat="1" spans="9:12">
      <c r="I299" s="225"/>
      <c r="K299" s="9"/>
      <c r="L299" s="9"/>
    </row>
    <row r="300" s="105" customFormat="1" spans="9:12">
      <c r="I300" s="225"/>
      <c r="K300" s="9"/>
      <c r="L300" s="9"/>
    </row>
    <row r="301" s="105" customFormat="1" spans="9:12">
      <c r="I301" s="225"/>
      <c r="K301" s="9"/>
      <c r="L301" s="9"/>
    </row>
    <row r="302" s="105" customFormat="1" spans="9:12">
      <c r="I302" s="225"/>
      <c r="K302" s="9"/>
      <c r="L302" s="9"/>
    </row>
    <row r="303" s="105" customFormat="1" spans="9:12">
      <c r="I303" s="225"/>
      <c r="K303" s="9"/>
      <c r="L303" s="9"/>
    </row>
    <row r="304" s="105" customFormat="1" spans="9:12">
      <c r="I304" s="225"/>
      <c r="K304" s="9"/>
      <c r="L304" s="9"/>
    </row>
    <row r="305" s="105" customFormat="1" spans="9:12">
      <c r="I305" s="225"/>
      <c r="K305" s="9"/>
      <c r="L305" s="9"/>
    </row>
    <row r="306" s="105" customFormat="1" spans="9:12">
      <c r="I306" s="225"/>
      <c r="K306" s="9"/>
      <c r="L306" s="9"/>
    </row>
    <row r="307" s="105" customFormat="1" spans="9:12">
      <c r="I307" s="225"/>
      <c r="K307" s="9"/>
      <c r="L307" s="9"/>
    </row>
    <row r="308" s="105" customFormat="1" spans="9:12">
      <c r="I308" s="225"/>
      <c r="K308" s="9"/>
      <c r="L308" s="9"/>
    </row>
    <row r="309" s="105" customFormat="1" spans="9:12">
      <c r="I309" s="225"/>
      <c r="K309" s="9"/>
      <c r="L309" s="9"/>
    </row>
    <row r="310" s="105" customFormat="1" spans="9:12">
      <c r="I310" s="225"/>
      <c r="K310" s="9"/>
      <c r="L310" s="9"/>
    </row>
    <row r="311" s="105" customFormat="1" spans="9:12">
      <c r="I311" s="225"/>
      <c r="K311" s="9"/>
      <c r="L311" s="9"/>
    </row>
    <row r="312" s="105" customFormat="1" spans="9:12">
      <c r="I312" s="225"/>
      <c r="K312" s="9"/>
      <c r="L312" s="9"/>
    </row>
    <row r="313" s="105" customFormat="1" spans="9:12">
      <c r="I313" s="225"/>
      <c r="K313" s="9"/>
      <c r="L313" s="9"/>
    </row>
    <row r="314" s="105" customFormat="1" spans="9:12">
      <c r="I314" s="225"/>
      <c r="K314" s="9"/>
      <c r="L314" s="9"/>
    </row>
    <row r="315" s="105" customFormat="1" spans="9:12">
      <c r="I315" s="225"/>
      <c r="K315" s="9"/>
      <c r="L315" s="9"/>
    </row>
    <row r="316" s="105" customFormat="1" spans="9:12">
      <c r="I316" s="225"/>
      <c r="K316" s="9"/>
      <c r="L316" s="9"/>
    </row>
    <row r="317" s="105" customFormat="1" spans="9:12">
      <c r="I317" s="225"/>
      <c r="K317" s="9"/>
      <c r="L317" s="9"/>
    </row>
    <row r="318" s="105" customFormat="1" spans="9:12">
      <c r="I318" s="225"/>
      <c r="K318" s="9"/>
      <c r="L318" s="9"/>
    </row>
    <row r="319" s="105" customFormat="1" spans="9:12">
      <c r="I319" s="225"/>
      <c r="K319" s="9"/>
      <c r="L319" s="9"/>
    </row>
    <row r="320" s="105" customFormat="1" spans="9:12">
      <c r="I320" s="225"/>
      <c r="K320" s="9"/>
      <c r="L320" s="9"/>
    </row>
    <row r="321" s="105" customFormat="1" spans="9:12">
      <c r="I321" s="225"/>
      <c r="K321" s="9"/>
      <c r="L321" s="9"/>
    </row>
    <row r="322" s="105" customFormat="1" spans="9:12">
      <c r="I322" s="225"/>
      <c r="K322" s="9"/>
      <c r="L322" s="9"/>
    </row>
    <row r="323" s="105" customFormat="1" spans="9:12">
      <c r="I323" s="225"/>
      <c r="K323" s="9"/>
      <c r="L323" s="9"/>
    </row>
    <row r="324" s="105" customFormat="1" spans="9:12">
      <c r="I324" s="225"/>
      <c r="K324" s="9"/>
      <c r="L324" s="9"/>
    </row>
    <row r="325" s="105" customFormat="1" spans="9:12">
      <c r="I325" s="225"/>
      <c r="K325" s="9"/>
      <c r="L325" s="9"/>
    </row>
    <row r="326" s="105" customFormat="1" spans="9:12">
      <c r="I326" s="225"/>
      <c r="K326" s="9"/>
      <c r="L326" s="9"/>
    </row>
    <row r="327" s="105" customFormat="1" spans="9:12">
      <c r="I327" s="225"/>
      <c r="K327" s="9"/>
      <c r="L327" s="9"/>
    </row>
    <row r="328" s="105" customFormat="1" spans="9:12">
      <c r="I328" s="225"/>
      <c r="K328" s="9"/>
      <c r="L328" s="9"/>
    </row>
    <row r="329" s="105" customFormat="1" spans="9:12">
      <c r="I329" s="225"/>
      <c r="K329" s="9"/>
      <c r="L329" s="9"/>
    </row>
    <row r="330" s="105" customFormat="1" spans="9:12">
      <c r="I330" s="225"/>
      <c r="K330" s="9"/>
      <c r="L330" s="9"/>
    </row>
    <row r="331" s="105" customFormat="1" spans="9:12">
      <c r="I331" s="225"/>
      <c r="K331" s="9"/>
      <c r="L331" s="9"/>
    </row>
    <row r="332" s="105" customFormat="1" spans="9:12">
      <c r="I332" s="225"/>
      <c r="K332" s="9"/>
      <c r="L332" s="9"/>
    </row>
    <row r="333" s="105" customFormat="1" spans="9:12">
      <c r="I333" s="225"/>
      <c r="K333" s="9"/>
      <c r="L333" s="9"/>
    </row>
    <row r="334" s="105" customFormat="1" spans="9:12">
      <c r="I334" s="225"/>
      <c r="K334" s="9"/>
      <c r="L334" s="9"/>
    </row>
    <row r="335" s="105" customFormat="1" spans="9:12">
      <c r="I335" s="225"/>
      <c r="K335" s="9"/>
      <c r="L335" s="9"/>
    </row>
    <row r="336" s="105" customFormat="1" spans="9:12">
      <c r="I336" s="225"/>
      <c r="K336" s="9"/>
      <c r="L336" s="9"/>
    </row>
    <row r="337" s="105" customFormat="1" spans="9:12">
      <c r="I337" s="225"/>
      <c r="K337" s="9"/>
      <c r="L337" s="9"/>
    </row>
    <row r="338" s="105" customFormat="1" spans="9:12">
      <c r="I338" s="225"/>
      <c r="K338" s="9"/>
      <c r="L338" s="9"/>
    </row>
    <row r="339" s="105" customFormat="1" spans="9:12">
      <c r="I339" s="225"/>
      <c r="K339" s="9"/>
      <c r="L339" s="9"/>
    </row>
    <row r="340" s="105" customFormat="1" spans="9:12">
      <c r="I340" s="225"/>
      <c r="K340" s="9"/>
      <c r="L340" s="9"/>
    </row>
    <row r="341" s="105" customFormat="1" spans="9:12">
      <c r="I341" s="225"/>
      <c r="K341" s="9"/>
      <c r="L341" s="9"/>
    </row>
    <row r="342" s="105" customFormat="1" spans="9:12">
      <c r="I342" s="225"/>
      <c r="K342" s="9"/>
      <c r="L342" s="9"/>
    </row>
    <row r="343" s="105" customFormat="1" spans="9:12">
      <c r="I343" s="225"/>
      <c r="K343" s="9"/>
      <c r="L343" s="9"/>
    </row>
    <row r="344" s="105" customFormat="1" spans="9:12">
      <c r="I344" s="225"/>
      <c r="K344" s="9"/>
      <c r="L344" s="9"/>
    </row>
    <row r="345" s="105" customFormat="1" spans="9:12">
      <c r="I345" s="225"/>
      <c r="K345" s="9"/>
      <c r="L345" s="9"/>
    </row>
    <row r="346" s="105" customFormat="1" spans="9:12">
      <c r="I346" s="225"/>
      <c r="K346" s="9"/>
      <c r="L346" s="9"/>
    </row>
    <row r="347" s="105" customFormat="1" spans="9:12">
      <c r="I347" s="225"/>
      <c r="K347" s="9"/>
      <c r="L347" s="9"/>
    </row>
    <row r="348" s="105" customFormat="1" spans="9:12">
      <c r="I348" s="225"/>
      <c r="K348" s="9"/>
      <c r="L348" s="9"/>
    </row>
    <row r="349" s="105" customFormat="1" spans="9:12">
      <c r="I349" s="225"/>
      <c r="K349" s="9"/>
      <c r="L349" s="9"/>
    </row>
    <row r="350" s="105" customFormat="1" spans="9:12">
      <c r="I350" s="225"/>
      <c r="K350" s="9"/>
      <c r="L350" s="9"/>
    </row>
    <row r="351" s="105" customFormat="1" spans="9:12">
      <c r="I351" s="225"/>
      <c r="K351" s="9"/>
      <c r="L351" s="9"/>
    </row>
    <row r="352" s="105" customFormat="1" spans="9:12">
      <c r="I352" s="225"/>
      <c r="K352" s="9"/>
      <c r="L352" s="9"/>
    </row>
    <row r="353" s="105" customFormat="1" spans="9:12">
      <c r="I353" s="225"/>
      <c r="K353" s="9"/>
      <c r="L353" s="9"/>
    </row>
    <row r="354" s="105" customFormat="1" spans="9:12">
      <c r="I354" s="225"/>
      <c r="K354" s="9"/>
      <c r="L354" s="9"/>
    </row>
    <row r="355" s="105" customFormat="1" spans="9:12">
      <c r="I355" s="225"/>
      <c r="K355" s="9"/>
      <c r="L355" s="9"/>
    </row>
    <row r="356" s="105" customFormat="1" spans="9:12">
      <c r="I356" s="225"/>
      <c r="K356" s="9"/>
      <c r="L356" s="9"/>
    </row>
    <row r="357" s="105" customFormat="1" spans="9:12">
      <c r="I357" s="225"/>
      <c r="K357" s="9"/>
      <c r="L357" s="9"/>
    </row>
    <row r="358" s="105" customFormat="1" spans="9:12">
      <c r="I358" s="225"/>
      <c r="K358" s="9"/>
      <c r="L358" s="9"/>
    </row>
    <row r="359" s="105" customFormat="1" spans="9:12">
      <c r="I359" s="225"/>
      <c r="K359" s="9"/>
      <c r="L359" s="9"/>
    </row>
    <row r="360" s="105" customFormat="1" spans="9:12">
      <c r="I360" s="225"/>
      <c r="K360" s="9"/>
      <c r="L360" s="9"/>
    </row>
    <row r="361" s="105" customFormat="1" spans="9:12">
      <c r="I361" s="225"/>
      <c r="K361" s="9"/>
      <c r="L361" s="9"/>
    </row>
    <row r="362" s="105" customFormat="1" spans="9:12">
      <c r="I362" s="225"/>
      <c r="K362" s="9"/>
      <c r="L362" s="9"/>
    </row>
    <row r="363" s="105" customFormat="1" spans="9:12">
      <c r="I363" s="225"/>
      <c r="K363" s="9"/>
      <c r="L363" s="9"/>
    </row>
    <row r="364" s="105" customFormat="1" spans="9:12">
      <c r="I364" s="225"/>
      <c r="K364" s="9"/>
      <c r="L364" s="9"/>
    </row>
    <row r="365" s="105" customFormat="1" spans="9:12">
      <c r="I365" s="225"/>
      <c r="K365" s="9"/>
      <c r="L365" s="9"/>
    </row>
    <row r="366" s="105" customFormat="1" spans="9:12">
      <c r="I366" s="225"/>
      <c r="K366" s="9"/>
      <c r="L366" s="9"/>
    </row>
    <row r="367" s="105" customFormat="1" spans="9:12">
      <c r="I367" s="225"/>
      <c r="K367" s="9"/>
      <c r="L367" s="9"/>
    </row>
    <row r="368" s="105" customFormat="1" spans="9:12">
      <c r="I368" s="225"/>
      <c r="K368" s="9"/>
      <c r="L368" s="9"/>
    </row>
    <row r="369" s="105" customFormat="1" spans="9:12">
      <c r="I369" s="225"/>
      <c r="K369" s="9"/>
      <c r="L369" s="9"/>
    </row>
    <row r="370" s="105" customFormat="1" spans="9:12">
      <c r="I370" s="225"/>
      <c r="K370" s="9"/>
      <c r="L370" s="9"/>
    </row>
    <row r="371" s="105" customFormat="1" spans="9:12">
      <c r="I371" s="225"/>
      <c r="K371" s="9"/>
      <c r="L371" s="9"/>
    </row>
    <row r="372" s="105" customFormat="1" spans="9:12">
      <c r="I372" s="225"/>
      <c r="K372" s="9"/>
      <c r="L372" s="9"/>
    </row>
    <row r="373" s="105" customFormat="1" spans="9:12">
      <c r="I373" s="225"/>
      <c r="K373" s="9"/>
      <c r="L373" s="9"/>
    </row>
    <row r="374" s="105" customFormat="1" spans="9:12">
      <c r="I374" s="225"/>
      <c r="K374" s="9"/>
      <c r="L374" s="9"/>
    </row>
    <row r="375" s="105" customFormat="1" spans="9:12">
      <c r="I375" s="225"/>
      <c r="K375" s="9"/>
      <c r="L375" s="9"/>
    </row>
    <row r="376" s="105" customFormat="1" spans="9:12">
      <c r="I376" s="225"/>
      <c r="K376" s="9"/>
      <c r="L376" s="9"/>
    </row>
    <row r="377" s="105" customFormat="1" spans="9:12">
      <c r="I377" s="225"/>
      <c r="K377" s="9"/>
      <c r="L377" s="9"/>
    </row>
    <row r="378" s="105" customFormat="1" spans="9:12">
      <c r="I378" s="225"/>
      <c r="K378" s="9"/>
      <c r="L378" s="9"/>
    </row>
    <row r="379" s="105" customFormat="1" spans="9:12">
      <c r="I379" s="225"/>
      <c r="K379" s="9"/>
      <c r="L379" s="9"/>
    </row>
    <row r="380" s="105" customFormat="1" spans="9:12">
      <c r="I380" s="225"/>
      <c r="K380" s="9"/>
      <c r="L380" s="9"/>
    </row>
    <row r="381" s="105" customFormat="1" spans="9:12">
      <c r="I381" s="225"/>
      <c r="K381" s="9"/>
      <c r="L381" s="9"/>
    </row>
    <row r="382" s="105" customFormat="1" spans="9:12">
      <c r="I382" s="225"/>
      <c r="K382" s="9"/>
      <c r="L382" s="9"/>
    </row>
    <row r="383" s="105" customFormat="1" spans="9:12">
      <c r="I383" s="225"/>
      <c r="K383" s="9"/>
      <c r="L383" s="9"/>
    </row>
    <row r="384" s="105" customFormat="1" spans="9:12">
      <c r="I384" s="225"/>
      <c r="K384" s="9"/>
      <c r="L384" s="9"/>
    </row>
    <row r="385" s="105" customFormat="1" spans="9:12">
      <c r="I385" s="225"/>
      <c r="K385" s="9"/>
      <c r="L385" s="9"/>
    </row>
    <row r="386" s="105" customFormat="1" spans="9:12">
      <c r="I386" s="225"/>
      <c r="K386" s="9"/>
      <c r="L386" s="9"/>
    </row>
    <row r="387" s="105" customFormat="1" spans="9:12">
      <c r="I387" s="225"/>
      <c r="K387" s="9"/>
      <c r="L387" s="9"/>
    </row>
    <row r="388" s="105" customFormat="1" spans="9:12">
      <c r="I388" s="225"/>
      <c r="K388" s="9"/>
      <c r="L388" s="9"/>
    </row>
    <row r="389" s="105" customFormat="1" spans="9:12">
      <c r="I389" s="225"/>
      <c r="K389" s="9"/>
      <c r="L389" s="9"/>
    </row>
    <row r="390" s="105" customFormat="1" spans="9:12">
      <c r="I390" s="225"/>
      <c r="K390" s="9"/>
      <c r="L390" s="9"/>
    </row>
    <row r="391" s="105" customFormat="1" spans="9:12">
      <c r="I391" s="225"/>
      <c r="K391" s="9"/>
      <c r="L391" s="9"/>
    </row>
    <row r="392" s="105" customFormat="1" spans="9:12">
      <c r="I392" s="225"/>
      <c r="K392" s="9"/>
      <c r="L392" s="9"/>
    </row>
    <row r="393" s="105" customFormat="1" spans="9:12">
      <c r="I393" s="225"/>
      <c r="K393" s="9"/>
      <c r="L393" s="9"/>
    </row>
    <row r="394" s="105" customFormat="1" spans="9:12">
      <c r="I394" s="225"/>
      <c r="K394" s="9"/>
      <c r="L394" s="9"/>
    </row>
    <row r="395" s="105" customFormat="1" spans="9:12">
      <c r="I395" s="225"/>
      <c r="K395" s="9"/>
      <c r="L395" s="9"/>
    </row>
    <row r="396" s="105" customFormat="1" spans="9:12">
      <c r="I396" s="225"/>
      <c r="K396" s="9"/>
      <c r="L396" s="9"/>
    </row>
    <row r="397" s="105" customFormat="1" spans="9:12">
      <c r="I397" s="225"/>
      <c r="K397" s="9"/>
      <c r="L397" s="9"/>
    </row>
    <row r="398" s="105" customFormat="1" spans="9:12">
      <c r="I398" s="225"/>
      <c r="K398" s="9"/>
      <c r="L398" s="9"/>
    </row>
    <row r="399" s="105" customFormat="1" spans="9:12">
      <c r="I399" s="225"/>
      <c r="K399" s="9"/>
      <c r="L399" s="9"/>
    </row>
    <row r="400" s="105" customFormat="1" spans="9:12">
      <c r="I400" s="225"/>
      <c r="K400" s="9"/>
      <c r="L400" s="9"/>
    </row>
    <row r="401" s="105" customFormat="1" spans="9:12">
      <c r="I401" s="225"/>
      <c r="K401" s="9"/>
      <c r="L401" s="9"/>
    </row>
    <row r="402" s="105" customFormat="1" spans="9:12">
      <c r="I402" s="225"/>
      <c r="K402" s="9"/>
      <c r="L402" s="9"/>
    </row>
    <row r="403" s="105" customFormat="1" spans="9:12">
      <c r="I403" s="225"/>
      <c r="K403" s="9"/>
      <c r="L403" s="9"/>
    </row>
    <row r="404" s="105" customFormat="1" spans="9:12">
      <c r="I404" s="225"/>
      <c r="K404" s="9"/>
      <c r="L404" s="9"/>
    </row>
    <row r="405" s="105" customFormat="1" spans="9:12">
      <c r="I405" s="225"/>
      <c r="K405" s="9"/>
      <c r="L405" s="9"/>
    </row>
    <row r="406" s="105" customFormat="1" spans="9:12">
      <c r="I406" s="225"/>
      <c r="K406" s="9"/>
      <c r="L406" s="9"/>
    </row>
    <row r="407" s="105" customFormat="1" spans="9:12">
      <c r="I407" s="225"/>
      <c r="K407" s="9"/>
      <c r="L407" s="9"/>
    </row>
    <row r="408" s="105" customFormat="1" spans="9:12">
      <c r="I408" s="225"/>
      <c r="K408" s="9"/>
      <c r="L408" s="9"/>
    </row>
    <row r="409" s="105" customFormat="1" spans="9:12">
      <c r="I409" s="225"/>
      <c r="K409" s="9"/>
      <c r="L409" s="9"/>
    </row>
    <row r="410" s="105" customFormat="1" spans="9:12">
      <c r="I410" s="225"/>
      <c r="K410" s="9"/>
      <c r="L410" s="9"/>
    </row>
    <row r="411" s="105" customFormat="1" spans="9:12">
      <c r="I411" s="225"/>
      <c r="K411" s="9"/>
      <c r="L411" s="9"/>
    </row>
    <row r="412" s="105" customFormat="1" spans="9:12">
      <c r="I412" s="225"/>
      <c r="K412" s="9"/>
      <c r="L412" s="9"/>
    </row>
    <row r="413" s="105" customFormat="1" spans="9:12">
      <c r="I413" s="225"/>
      <c r="K413" s="9"/>
      <c r="L413" s="9"/>
    </row>
    <row r="414" s="105" customFormat="1" spans="9:12">
      <c r="I414" s="225"/>
      <c r="K414" s="9"/>
      <c r="L414" s="9"/>
    </row>
    <row r="415" s="105" customFormat="1" spans="9:12">
      <c r="I415" s="225"/>
      <c r="K415" s="9"/>
      <c r="L415" s="9"/>
    </row>
    <row r="416" s="105" customFormat="1" spans="9:12">
      <c r="I416" s="225"/>
      <c r="K416" s="9"/>
      <c r="L416" s="9"/>
    </row>
    <row r="417" s="105" customFormat="1" spans="9:12">
      <c r="I417" s="225"/>
      <c r="K417" s="9"/>
      <c r="L417" s="9"/>
    </row>
    <row r="418" s="105" customFormat="1" spans="9:12">
      <c r="I418" s="225"/>
      <c r="K418" s="9"/>
      <c r="L418" s="9"/>
    </row>
    <row r="419" s="105" customFormat="1" spans="9:12">
      <c r="I419" s="225"/>
      <c r="K419" s="9"/>
      <c r="L419" s="9"/>
    </row>
    <row r="420" s="105" customFormat="1" spans="9:12">
      <c r="I420" s="225"/>
      <c r="K420" s="9"/>
      <c r="L420" s="9"/>
    </row>
    <row r="421" s="105" customFormat="1" spans="9:12">
      <c r="I421" s="225"/>
      <c r="K421" s="9"/>
      <c r="L421" s="9"/>
    </row>
    <row r="422" s="105" customFormat="1" spans="9:12">
      <c r="I422" s="225"/>
      <c r="K422" s="9"/>
      <c r="L422" s="9"/>
    </row>
    <row r="423" s="105" customFormat="1" spans="9:12">
      <c r="I423" s="225"/>
      <c r="K423" s="9"/>
      <c r="L423" s="9"/>
    </row>
    <row r="424" s="105" customFormat="1" spans="9:12">
      <c r="I424" s="225"/>
      <c r="K424" s="9"/>
      <c r="L424" s="9"/>
    </row>
    <row r="425" s="105" customFormat="1" spans="9:12">
      <c r="I425" s="225"/>
      <c r="K425" s="9"/>
      <c r="L425" s="9"/>
    </row>
    <row r="426" s="105" customFormat="1" spans="9:12">
      <c r="I426" s="225"/>
      <c r="K426" s="9"/>
      <c r="L426" s="9"/>
    </row>
    <row r="427" s="105" customFormat="1" spans="9:12">
      <c r="I427" s="225"/>
      <c r="K427" s="9"/>
      <c r="L427" s="9"/>
    </row>
    <row r="428" s="105" customFormat="1" spans="9:12">
      <c r="I428" s="225"/>
      <c r="K428" s="9"/>
      <c r="L428" s="9"/>
    </row>
    <row r="429" s="105" customFormat="1" spans="9:12">
      <c r="I429" s="225"/>
      <c r="K429" s="9"/>
      <c r="L429" s="9"/>
    </row>
    <row r="430" s="105" customFormat="1" spans="9:12">
      <c r="I430" s="225"/>
      <c r="K430" s="9"/>
      <c r="L430" s="9"/>
    </row>
    <row r="431" s="105" customFormat="1" spans="9:12">
      <c r="I431" s="225"/>
      <c r="K431" s="9"/>
      <c r="L431" s="9"/>
    </row>
    <row r="432" s="105" customFormat="1" spans="9:12">
      <c r="I432" s="225"/>
      <c r="K432" s="9"/>
      <c r="L432" s="9"/>
    </row>
    <row r="433" s="105" customFormat="1" spans="9:12">
      <c r="I433" s="225"/>
      <c r="K433" s="9"/>
      <c r="L433" s="9"/>
    </row>
    <row r="434" s="105" customFormat="1" spans="9:12">
      <c r="I434" s="225"/>
      <c r="K434" s="9"/>
      <c r="L434" s="9"/>
    </row>
    <row r="435" s="105" customFormat="1" spans="9:12">
      <c r="I435" s="225"/>
      <c r="K435" s="9"/>
      <c r="L435" s="9"/>
    </row>
    <row r="436" s="105" customFormat="1" spans="9:12">
      <c r="I436" s="225"/>
      <c r="K436" s="9"/>
      <c r="L436" s="9"/>
    </row>
    <row r="437" s="105" customFormat="1" spans="9:12">
      <c r="I437" s="225"/>
      <c r="K437" s="9"/>
      <c r="L437" s="9"/>
    </row>
    <row r="438" s="105" customFormat="1" spans="9:12">
      <c r="I438" s="225"/>
      <c r="K438" s="9"/>
      <c r="L438" s="9"/>
    </row>
    <row r="439" s="105" customFormat="1" spans="9:12">
      <c r="I439" s="225"/>
      <c r="K439" s="9"/>
      <c r="L439" s="9"/>
    </row>
    <row r="440" s="105" customFormat="1" spans="9:12">
      <c r="I440" s="225"/>
      <c r="K440" s="9"/>
      <c r="L440" s="9"/>
    </row>
    <row r="441" s="105" customFormat="1" spans="9:12">
      <c r="I441" s="225"/>
      <c r="K441" s="9"/>
      <c r="L441" s="9"/>
    </row>
    <row r="442" s="105" customFormat="1" spans="9:12">
      <c r="I442" s="225"/>
      <c r="K442" s="9"/>
      <c r="L442" s="9"/>
    </row>
    <row r="443" s="105" customFormat="1" spans="9:12">
      <c r="I443" s="225"/>
      <c r="K443" s="9"/>
      <c r="L443" s="9"/>
    </row>
    <row r="444" s="105" customFormat="1" spans="9:12">
      <c r="I444" s="225"/>
      <c r="K444" s="9"/>
      <c r="L444" s="9"/>
    </row>
    <row r="445" s="105" customFormat="1" spans="9:12">
      <c r="I445" s="225"/>
      <c r="K445" s="9"/>
      <c r="L445" s="9"/>
    </row>
    <row r="446" s="105" customFormat="1" spans="9:12">
      <c r="I446" s="225"/>
      <c r="K446" s="9"/>
      <c r="L446" s="9"/>
    </row>
    <row r="447" s="105" customFormat="1" spans="9:12">
      <c r="I447" s="225"/>
      <c r="K447" s="9"/>
      <c r="L447" s="9"/>
    </row>
    <row r="448" s="105" customFormat="1" spans="9:12">
      <c r="I448" s="225"/>
      <c r="K448" s="9"/>
      <c r="L448" s="9"/>
    </row>
    <row r="449" s="105" customFormat="1" spans="9:12">
      <c r="I449" s="225"/>
      <c r="K449" s="9"/>
      <c r="L449" s="9"/>
    </row>
    <row r="450" s="105" customFormat="1" spans="9:12">
      <c r="I450" s="225"/>
      <c r="K450" s="9"/>
      <c r="L450" s="9"/>
    </row>
    <row r="451" s="105" customFormat="1" spans="9:12">
      <c r="I451" s="225"/>
      <c r="K451" s="9"/>
      <c r="L451" s="9"/>
    </row>
    <row r="452" s="105" customFormat="1" spans="9:12">
      <c r="I452" s="225"/>
      <c r="K452" s="9"/>
      <c r="L452" s="9"/>
    </row>
    <row r="453" s="105" customFormat="1" spans="9:12">
      <c r="I453" s="225"/>
      <c r="K453" s="9"/>
      <c r="L453" s="9"/>
    </row>
    <row r="454" s="105" customFormat="1" spans="9:12">
      <c r="I454" s="225"/>
      <c r="K454" s="9"/>
      <c r="L454" s="9"/>
    </row>
    <row r="455" s="105" customFormat="1" spans="9:12">
      <c r="I455" s="225"/>
      <c r="K455" s="9"/>
      <c r="L455" s="9"/>
    </row>
    <row r="456" s="105" customFormat="1" spans="9:12">
      <c r="I456" s="225"/>
      <c r="K456" s="9"/>
      <c r="L456" s="9"/>
    </row>
    <row r="457" s="105" customFormat="1" spans="9:12">
      <c r="I457" s="225"/>
      <c r="K457" s="9"/>
      <c r="L457" s="9"/>
    </row>
    <row r="458" s="105" customFormat="1" spans="9:12">
      <c r="I458" s="225"/>
      <c r="K458" s="9"/>
      <c r="L458" s="9"/>
    </row>
    <row r="459" s="105" customFormat="1" spans="9:12">
      <c r="I459" s="225"/>
      <c r="K459" s="9"/>
      <c r="L459" s="9"/>
    </row>
    <row r="460" s="105" customFormat="1" spans="9:12">
      <c r="I460" s="225"/>
      <c r="K460" s="9"/>
      <c r="L460" s="9"/>
    </row>
    <row r="461" s="105" customFormat="1" spans="9:12">
      <c r="I461" s="225"/>
      <c r="K461" s="9"/>
      <c r="L461" s="9"/>
    </row>
    <row r="462" s="105" customFormat="1" spans="9:12">
      <c r="I462" s="225"/>
      <c r="K462" s="9"/>
      <c r="L462" s="9"/>
    </row>
    <row r="463" s="105" customFormat="1" spans="9:12">
      <c r="I463" s="225"/>
      <c r="K463" s="9"/>
      <c r="L463" s="9"/>
    </row>
    <row r="464" s="105" customFormat="1" spans="9:12">
      <c r="I464" s="225"/>
      <c r="K464" s="9"/>
      <c r="L464" s="9"/>
    </row>
    <row r="465" s="105" customFormat="1" spans="9:12">
      <c r="I465" s="225"/>
      <c r="K465" s="9"/>
      <c r="L465" s="9"/>
    </row>
    <row r="466" s="105" customFormat="1" spans="9:12">
      <c r="I466" s="225"/>
      <c r="K466" s="9"/>
      <c r="L466" s="9"/>
    </row>
    <row r="467" s="105" customFormat="1" spans="9:12">
      <c r="I467" s="225"/>
      <c r="K467" s="9"/>
      <c r="L467" s="9"/>
    </row>
    <row r="468" s="105" customFormat="1" spans="9:12">
      <c r="I468" s="225"/>
      <c r="K468" s="9"/>
      <c r="L468" s="9"/>
    </row>
    <row r="469" s="105" customFormat="1" spans="9:12">
      <c r="I469" s="225"/>
      <c r="K469" s="9"/>
      <c r="L469" s="9"/>
    </row>
    <row r="470" s="105" customFormat="1" spans="9:12">
      <c r="I470" s="225"/>
      <c r="K470" s="9"/>
      <c r="L470" s="9"/>
    </row>
    <row r="471" s="105" customFormat="1" spans="9:12">
      <c r="I471" s="225"/>
      <c r="K471" s="9"/>
      <c r="L471" s="9"/>
    </row>
    <row r="472" s="105" customFormat="1" spans="9:12">
      <c r="I472" s="225"/>
      <c r="K472" s="9"/>
      <c r="L472" s="9"/>
    </row>
    <row r="473" s="105" customFormat="1" spans="9:12">
      <c r="I473" s="225"/>
      <c r="K473" s="9"/>
      <c r="L473" s="9"/>
    </row>
    <row r="474" s="105" customFormat="1" spans="9:12">
      <c r="I474" s="225"/>
      <c r="K474" s="9"/>
      <c r="L474" s="9"/>
    </row>
    <row r="475" s="105" customFormat="1" spans="9:12">
      <c r="I475" s="225"/>
      <c r="K475" s="9"/>
      <c r="L475" s="9"/>
    </row>
    <row r="476" s="105" customFormat="1" spans="9:12">
      <c r="I476" s="225"/>
      <c r="K476" s="9"/>
      <c r="L476" s="9"/>
    </row>
    <row r="477" s="105" customFormat="1" spans="9:12">
      <c r="I477" s="225"/>
      <c r="K477" s="9"/>
      <c r="L477" s="9"/>
    </row>
    <row r="478" s="105" customFormat="1" spans="9:12">
      <c r="I478" s="225"/>
      <c r="K478" s="9"/>
      <c r="L478" s="9"/>
    </row>
    <row r="479" s="105" customFormat="1" spans="9:12">
      <c r="I479" s="225"/>
      <c r="K479" s="9"/>
      <c r="L479" s="9"/>
    </row>
    <row r="480" s="105" customFormat="1" spans="9:12">
      <c r="I480" s="225"/>
      <c r="K480" s="9"/>
      <c r="L480" s="9"/>
    </row>
    <row r="481" s="105" customFormat="1" spans="9:12">
      <c r="I481" s="225"/>
      <c r="K481" s="9"/>
      <c r="L481" s="9"/>
    </row>
    <row r="482" s="105" customFormat="1" spans="9:12">
      <c r="I482" s="225"/>
      <c r="K482" s="9"/>
      <c r="L482" s="9"/>
    </row>
    <row r="483" s="105" customFormat="1" spans="9:12">
      <c r="I483" s="225"/>
      <c r="K483" s="9"/>
      <c r="L483" s="9"/>
    </row>
    <row r="484" s="105" customFormat="1" spans="9:12">
      <c r="I484" s="225"/>
      <c r="K484" s="9"/>
      <c r="L484" s="9"/>
    </row>
    <row r="485" s="105" customFormat="1" spans="9:12">
      <c r="I485" s="225"/>
      <c r="K485" s="9"/>
      <c r="L485" s="9"/>
    </row>
    <row r="486" s="105" customFormat="1" spans="9:12">
      <c r="I486" s="225"/>
      <c r="K486" s="9"/>
      <c r="L486" s="9"/>
    </row>
    <row r="487" s="105" customFormat="1" spans="9:12">
      <c r="I487" s="225"/>
      <c r="K487" s="9"/>
      <c r="L487" s="9"/>
    </row>
    <row r="488" s="105" customFormat="1" spans="9:12">
      <c r="I488" s="225"/>
      <c r="K488" s="9"/>
      <c r="L488" s="9"/>
    </row>
    <row r="489" s="105" customFormat="1" spans="9:12">
      <c r="I489" s="225"/>
      <c r="K489" s="9"/>
      <c r="L489" s="9"/>
    </row>
    <row r="490" s="105" customFormat="1" spans="9:12">
      <c r="I490" s="225"/>
      <c r="K490" s="9"/>
      <c r="L490" s="9"/>
    </row>
    <row r="491" s="105" customFormat="1" spans="9:12">
      <c r="I491" s="225"/>
      <c r="K491" s="9"/>
      <c r="L491" s="9"/>
    </row>
    <row r="492" s="105" customFormat="1" spans="9:12">
      <c r="I492" s="225"/>
      <c r="K492" s="9"/>
      <c r="L492" s="9"/>
    </row>
    <row r="493" s="105" customFormat="1" spans="9:12">
      <c r="I493" s="225"/>
      <c r="K493" s="9"/>
      <c r="L493" s="9"/>
    </row>
    <row r="494" s="105" customFormat="1" spans="9:12">
      <c r="I494" s="225"/>
      <c r="K494" s="9"/>
      <c r="L494" s="9"/>
    </row>
    <row r="495" s="105" customFormat="1" spans="9:12">
      <c r="I495" s="225"/>
      <c r="K495" s="9"/>
      <c r="L495" s="9"/>
    </row>
    <row r="496" s="105" customFormat="1" spans="9:12">
      <c r="I496" s="225"/>
      <c r="K496" s="9"/>
      <c r="L496" s="9"/>
    </row>
    <row r="497" s="105" customFormat="1" spans="9:12">
      <c r="I497" s="225"/>
      <c r="K497" s="9"/>
      <c r="L497" s="9"/>
    </row>
    <row r="498" s="105" customFormat="1" spans="9:12">
      <c r="I498" s="225"/>
      <c r="K498" s="9"/>
      <c r="L498" s="9"/>
    </row>
    <row r="499" s="105" customFormat="1" spans="9:12">
      <c r="I499" s="225"/>
      <c r="K499" s="9"/>
      <c r="L499" s="9"/>
    </row>
    <row r="500" s="105" customFormat="1" spans="9:12">
      <c r="I500" s="225"/>
      <c r="K500" s="9"/>
      <c r="L500" s="9"/>
    </row>
    <row r="501" s="105" customFormat="1" spans="9:12">
      <c r="I501" s="225"/>
      <c r="K501" s="9"/>
      <c r="L501" s="9"/>
    </row>
    <row r="502" s="105" customFormat="1" spans="9:12">
      <c r="I502" s="225"/>
      <c r="K502" s="9"/>
      <c r="L502" s="9"/>
    </row>
    <row r="503" s="105" customFormat="1" spans="9:12">
      <c r="I503" s="225"/>
      <c r="K503" s="9"/>
      <c r="L503" s="9"/>
    </row>
    <row r="504" s="105" customFormat="1" spans="9:12">
      <c r="I504" s="225"/>
      <c r="K504" s="9"/>
      <c r="L504" s="9"/>
    </row>
    <row r="505" s="105" customFormat="1" spans="9:12">
      <c r="I505" s="225"/>
      <c r="K505" s="9"/>
      <c r="L505" s="9"/>
    </row>
    <row r="506" s="105" customFormat="1" spans="9:12">
      <c r="I506" s="225"/>
      <c r="K506" s="9"/>
      <c r="L506" s="9"/>
    </row>
    <row r="507" s="105" customFormat="1" spans="9:12">
      <c r="I507" s="225"/>
      <c r="K507" s="9"/>
      <c r="L507" s="9"/>
    </row>
    <row r="508" s="105" customFormat="1" spans="9:12">
      <c r="I508" s="225"/>
      <c r="K508" s="9"/>
      <c r="L508" s="9"/>
    </row>
    <row r="509" s="105" customFormat="1" spans="9:12">
      <c r="I509" s="225"/>
      <c r="K509" s="9"/>
      <c r="L509" s="9"/>
    </row>
    <row r="510" s="105" customFormat="1" spans="9:12">
      <c r="I510" s="225"/>
      <c r="K510" s="9"/>
      <c r="L510" s="9"/>
    </row>
    <row r="511" s="105" customFormat="1" spans="9:12">
      <c r="I511" s="225"/>
      <c r="K511" s="9"/>
      <c r="L511" s="9"/>
    </row>
    <row r="512" s="105" customFormat="1" spans="9:12">
      <c r="I512" s="225"/>
      <c r="K512" s="9"/>
      <c r="L512" s="9"/>
    </row>
    <row r="513" s="105" customFormat="1" spans="9:12">
      <c r="I513" s="225"/>
      <c r="K513" s="9"/>
      <c r="L513" s="9"/>
    </row>
    <row r="514" s="105" customFormat="1" spans="9:12">
      <c r="I514" s="225"/>
      <c r="K514" s="9"/>
      <c r="L514" s="9"/>
    </row>
    <row r="515" s="105" customFormat="1" spans="9:12">
      <c r="I515" s="225"/>
      <c r="K515" s="9"/>
      <c r="L515" s="9"/>
    </row>
    <row r="516" s="105" customFormat="1" spans="9:12">
      <c r="I516" s="225"/>
      <c r="K516" s="9"/>
      <c r="L516" s="9"/>
    </row>
    <row r="517" s="105" customFormat="1" spans="9:12">
      <c r="I517" s="225"/>
      <c r="K517" s="9"/>
      <c r="L517" s="9"/>
    </row>
    <row r="518" s="105" customFormat="1" spans="9:12">
      <c r="I518" s="225"/>
      <c r="K518" s="9"/>
      <c r="L518" s="9"/>
    </row>
    <row r="519" s="105" customFormat="1" spans="9:12">
      <c r="I519" s="225"/>
      <c r="K519" s="9"/>
      <c r="L519" s="9"/>
    </row>
    <row r="520" s="105" customFormat="1" spans="9:12">
      <c r="I520" s="225"/>
      <c r="K520" s="9"/>
      <c r="L520" s="9"/>
    </row>
    <row r="521" s="105" customFormat="1" spans="9:12">
      <c r="I521" s="225"/>
      <c r="K521" s="9"/>
      <c r="L521" s="9"/>
    </row>
    <row r="522" s="105" customFormat="1" spans="9:12">
      <c r="I522" s="225"/>
      <c r="K522" s="9"/>
      <c r="L522" s="9"/>
    </row>
    <row r="523" s="105" customFormat="1" spans="9:12">
      <c r="I523" s="225"/>
      <c r="K523" s="9"/>
      <c r="L523" s="9"/>
    </row>
    <row r="524" s="105" customFormat="1" spans="9:12">
      <c r="I524" s="225"/>
      <c r="K524" s="9"/>
      <c r="L524" s="9"/>
    </row>
    <row r="525" s="105" customFormat="1" spans="9:12">
      <c r="I525" s="225"/>
      <c r="K525" s="9"/>
      <c r="L525" s="9"/>
    </row>
    <row r="526" s="105" customFormat="1" spans="9:12">
      <c r="I526" s="225"/>
      <c r="K526" s="9"/>
      <c r="L526" s="9"/>
    </row>
    <row r="527" s="105" customFormat="1" spans="9:12">
      <c r="I527" s="225"/>
      <c r="K527" s="9"/>
      <c r="L527" s="9"/>
    </row>
    <row r="528" s="105" customFormat="1" spans="9:12">
      <c r="I528" s="225"/>
      <c r="K528" s="9"/>
      <c r="L528" s="9"/>
    </row>
    <row r="529" s="105" customFormat="1" spans="9:12">
      <c r="I529" s="225"/>
      <c r="K529" s="9"/>
      <c r="L529" s="9"/>
    </row>
    <row r="530" s="105" customFormat="1" spans="9:12">
      <c r="I530" s="225"/>
      <c r="K530" s="9"/>
      <c r="L530" s="9"/>
    </row>
    <row r="531" s="105" customFormat="1" spans="9:12">
      <c r="I531" s="225"/>
      <c r="K531" s="9"/>
      <c r="L531" s="9"/>
    </row>
    <row r="532" s="105" customFormat="1" spans="9:12">
      <c r="I532" s="225"/>
      <c r="K532" s="9"/>
      <c r="L532" s="9"/>
    </row>
    <row r="533" s="105" customFormat="1" spans="9:12">
      <c r="I533" s="225"/>
      <c r="K533" s="9"/>
      <c r="L533" s="9"/>
    </row>
    <row r="534" s="105" customFormat="1" spans="9:12">
      <c r="I534" s="225"/>
      <c r="K534" s="9"/>
      <c r="L534" s="9"/>
    </row>
    <row r="535" s="105" customFormat="1" spans="9:12">
      <c r="I535" s="225"/>
      <c r="K535" s="9"/>
      <c r="L535" s="9"/>
    </row>
    <row r="536" s="105" customFormat="1" spans="9:12">
      <c r="I536" s="225"/>
      <c r="K536" s="9"/>
      <c r="L536" s="9"/>
    </row>
    <row r="537" s="105" customFormat="1" spans="9:12">
      <c r="I537" s="225"/>
      <c r="K537" s="9"/>
      <c r="L537" s="9"/>
    </row>
    <row r="538" s="105" customFormat="1" spans="9:12">
      <c r="I538" s="225"/>
      <c r="K538" s="9"/>
      <c r="L538" s="9"/>
    </row>
    <row r="539" s="105" customFormat="1" spans="9:12">
      <c r="I539" s="225"/>
      <c r="K539" s="9"/>
      <c r="L539" s="9"/>
    </row>
    <row r="540" s="105" customFormat="1" spans="9:12">
      <c r="I540" s="225"/>
      <c r="K540" s="9"/>
      <c r="L540" s="9"/>
    </row>
    <row r="541" s="105" customFormat="1" spans="9:12">
      <c r="I541" s="225"/>
      <c r="K541" s="9"/>
      <c r="L541" s="9"/>
    </row>
    <row r="542" s="105" customFormat="1" spans="9:12">
      <c r="I542" s="225"/>
      <c r="K542" s="9"/>
      <c r="L542" s="9"/>
    </row>
    <row r="543" s="105" customFormat="1" spans="9:12">
      <c r="I543" s="225"/>
      <c r="K543" s="9"/>
      <c r="L543" s="9"/>
    </row>
    <row r="544" s="105" customFormat="1" spans="9:12">
      <c r="I544" s="225"/>
      <c r="K544" s="9"/>
      <c r="L544" s="9"/>
    </row>
    <row r="545" s="105" customFormat="1" spans="9:12">
      <c r="I545" s="225"/>
      <c r="K545" s="9"/>
      <c r="L545" s="9"/>
    </row>
    <row r="546" s="105" customFormat="1" spans="9:12">
      <c r="I546" s="225"/>
      <c r="K546" s="9"/>
      <c r="L546" s="9"/>
    </row>
    <row r="547" s="105" customFormat="1" spans="9:12">
      <c r="I547" s="225"/>
      <c r="K547" s="9"/>
      <c r="L547" s="9"/>
    </row>
    <row r="548" s="105" customFormat="1" spans="9:12">
      <c r="I548" s="225"/>
      <c r="K548" s="9"/>
      <c r="L548" s="9"/>
    </row>
    <row r="549" s="105" customFormat="1" spans="9:12">
      <c r="I549" s="225"/>
      <c r="K549" s="9"/>
      <c r="L549" s="9"/>
    </row>
    <row r="550" s="105" customFormat="1" spans="9:12">
      <c r="I550" s="225"/>
      <c r="K550" s="9"/>
      <c r="L550" s="9"/>
    </row>
    <row r="551" s="105" customFormat="1" spans="9:12">
      <c r="I551" s="225"/>
      <c r="K551" s="9"/>
      <c r="L551" s="9"/>
    </row>
    <row r="552" s="105" customFormat="1" spans="9:12">
      <c r="I552" s="225"/>
      <c r="K552" s="9"/>
      <c r="L552" s="9"/>
    </row>
    <row r="553" s="105" customFormat="1" spans="9:12">
      <c r="I553" s="225"/>
      <c r="K553" s="9"/>
      <c r="L553" s="9"/>
    </row>
    <row r="554" s="105" customFormat="1" spans="9:12">
      <c r="I554" s="225"/>
      <c r="K554" s="9"/>
      <c r="L554" s="9"/>
    </row>
    <row r="555" s="105" customFormat="1" spans="9:12">
      <c r="I555" s="225"/>
      <c r="K555" s="9"/>
      <c r="L555" s="9"/>
    </row>
    <row r="556" s="105" customFormat="1" spans="9:12">
      <c r="I556" s="225"/>
      <c r="K556" s="9"/>
      <c r="L556" s="9"/>
    </row>
    <row r="557" s="105" customFormat="1" spans="9:12">
      <c r="I557" s="225"/>
      <c r="K557" s="9"/>
      <c r="L557" s="9"/>
    </row>
    <row r="558" s="105" customFormat="1" spans="9:12">
      <c r="I558" s="225"/>
      <c r="K558" s="9"/>
      <c r="L558" s="9"/>
    </row>
    <row r="559" s="105" customFormat="1" spans="9:12">
      <c r="I559" s="225"/>
      <c r="K559" s="9"/>
      <c r="L559" s="9"/>
    </row>
    <row r="560" s="105" customFormat="1" spans="9:12">
      <c r="I560" s="225"/>
      <c r="K560" s="9"/>
      <c r="L560" s="9"/>
    </row>
    <row r="561" s="105" customFormat="1" spans="9:12">
      <c r="I561" s="225"/>
      <c r="K561" s="9"/>
      <c r="L561" s="9"/>
    </row>
    <row r="562" s="105" customFormat="1" spans="9:12">
      <c r="I562" s="225"/>
      <c r="K562" s="9"/>
      <c r="L562" s="9"/>
    </row>
    <row r="563" s="105" customFormat="1" spans="9:12">
      <c r="I563" s="225"/>
      <c r="K563" s="9"/>
      <c r="L563" s="9"/>
    </row>
    <row r="564" s="105" customFormat="1" spans="9:12">
      <c r="I564" s="225"/>
      <c r="K564" s="9"/>
      <c r="L564" s="9"/>
    </row>
    <row r="565" s="105" customFormat="1" spans="9:12">
      <c r="I565" s="225"/>
      <c r="K565" s="9"/>
      <c r="L565" s="9"/>
    </row>
    <row r="566" s="105" customFormat="1" spans="9:12">
      <c r="I566" s="225"/>
      <c r="K566" s="9"/>
      <c r="L566" s="9"/>
    </row>
    <row r="567" s="105" customFormat="1" spans="9:12">
      <c r="I567" s="225"/>
      <c r="K567" s="9"/>
      <c r="L567" s="9"/>
    </row>
    <row r="568" s="105" customFormat="1" spans="9:12">
      <c r="I568" s="225"/>
      <c r="K568" s="9"/>
      <c r="L568" s="9"/>
    </row>
    <row r="569" s="105" customFormat="1" spans="9:12">
      <c r="I569" s="225"/>
      <c r="K569" s="9"/>
      <c r="L569" s="9"/>
    </row>
    <row r="570" s="105" customFormat="1" spans="9:12">
      <c r="I570" s="225"/>
      <c r="K570" s="9"/>
      <c r="L570" s="9"/>
    </row>
    <row r="571" s="105" customFormat="1" spans="9:12">
      <c r="I571" s="225"/>
      <c r="K571" s="9"/>
      <c r="L571" s="9"/>
    </row>
    <row r="572" s="105" customFormat="1" spans="9:12">
      <c r="I572" s="225"/>
      <c r="K572" s="9"/>
      <c r="L572" s="9"/>
    </row>
    <row r="573" s="105" customFormat="1" spans="9:12">
      <c r="I573" s="225"/>
      <c r="K573" s="9"/>
      <c r="L573" s="9"/>
    </row>
    <row r="574" s="105" customFormat="1" spans="9:12">
      <c r="I574" s="225"/>
      <c r="K574" s="9"/>
      <c r="L574" s="9"/>
    </row>
    <row r="575" s="105" customFormat="1" spans="9:12">
      <c r="I575" s="225"/>
      <c r="K575" s="9"/>
      <c r="L575" s="9"/>
    </row>
    <row r="576" s="105" customFormat="1" spans="9:12">
      <c r="I576" s="225"/>
      <c r="K576" s="9"/>
      <c r="L576" s="9"/>
    </row>
    <row r="577" s="105" customFormat="1" spans="9:12">
      <c r="I577" s="225"/>
      <c r="K577" s="9"/>
      <c r="L577" s="9"/>
    </row>
    <row r="578" s="105" customFormat="1" spans="9:12">
      <c r="I578" s="225"/>
      <c r="K578" s="9"/>
      <c r="L578" s="9"/>
    </row>
    <row r="579" s="105" customFormat="1" spans="9:12">
      <c r="I579" s="225"/>
      <c r="K579" s="9"/>
      <c r="L579" s="9"/>
    </row>
    <row r="580" s="105" customFormat="1" spans="9:12">
      <c r="I580" s="225"/>
      <c r="K580" s="9"/>
      <c r="L580" s="9"/>
    </row>
    <row r="581" s="105" customFormat="1" spans="9:12">
      <c r="I581" s="225"/>
      <c r="K581" s="9"/>
      <c r="L581" s="9"/>
    </row>
    <row r="582" s="105" customFormat="1" spans="9:12">
      <c r="I582" s="225"/>
      <c r="K582" s="9"/>
      <c r="L582" s="9"/>
    </row>
    <row r="583" s="105" customFormat="1" spans="9:12">
      <c r="I583" s="225"/>
      <c r="K583" s="9"/>
      <c r="L583" s="9"/>
    </row>
    <row r="584" s="105" customFormat="1" spans="9:12">
      <c r="I584" s="225"/>
      <c r="K584" s="9"/>
      <c r="L584" s="9"/>
    </row>
    <row r="585" s="105" customFormat="1" spans="9:12">
      <c r="I585" s="225"/>
      <c r="K585" s="9"/>
      <c r="L585" s="9"/>
    </row>
    <row r="586" s="105" customFormat="1" spans="9:12">
      <c r="I586" s="225"/>
      <c r="K586" s="9"/>
      <c r="L586" s="9"/>
    </row>
    <row r="587" s="105" customFormat="1" spans="9:12">
      <c r="I587" s="225"/>
      <c r="K587" s="9"/>
      <c r="L587" s="9"/>
    </row>
    <row r="588" s="105" customFormat="1" spans="9:12">
      <c r="I588" s="225"/>
      <c r="K588" s="9"/>
      <c r="L588" s="9"/>
    </row>
    <row r="589" s="105" customFormat="1" spans="9:12">
      <c r="I589" s="225"/>
      <c r="K589" s="9"/>
      <c r="L589" s="9"/>
    </row>
    <row r="590" s="105" customFormat="1" spans="9:12">
      <c r="I590" s="225"/>
      <c r="K590" s="9"/>
      <c r="L590" s="9"/>
    </row>
    <row r="591" s="105" customFormat="1" spans="9:12">
      <c r="I591" s="225"/>
      <c r="K591" s="9"/>
      <c r="L591" s="9"/>
    </row>
    <row r="592" s="105" customFormat="1" spans="9:12">
      <c r="I592" s="225"/>
      <c r="K592" s="9"/>
      <c r="L592" s="9"/>
    </row>
    <row r="593" s="105" customFormat="1" spans="9:12">
      <c r="I593" s="225"/>
      <c r="K593" s="9"/>
      <c r="L593" s="9"/>
    </row>
    <row r="594" s="105" customFormat="1" spans="9:12">
      <c r="I594" s="225"/>
      <c r="K594" s="9"/>
      <c r="L594" s="9"/>
    </row>
    <row r="595" s="105" customFormat="1" spans="9:12">
      <c r="I595" s="225"/>
      <c r="K595" s="9"/>
      <c r="L595" s="9"/>
    </row>
    <row r="596" s="105" customFormat="1" spans="9:12">
      <c r="I596" s="225"/>
      <c r="K596" s="9"/>
      <c r="L596" s="9"/>
    </row>
    <row r="597" s="105" customFormat="1" spans="9:12">
      <c r="I597" s="225"/>
      <c r="K597" s="9"/>
      <c r="L597" s="9"/>
    </row>
    <row r="598" s="105" customFormat="1" spans="9:12">
      <c r="I598" s="225"/>
      <c r="K598" s="9"/>
      <c r="L598" s="9"/>
    </row>
    <row r="599" s="105" customFormat="1" spans="9:12">
      <c r="I599" s="225"/>
      <c r="K599" s="9"/>
      <c r="L599" s="9"/>
    </row>
    <row r="600" s="105" customFormat="1" spans="9:12">
      <c r="I600" s="225"/>
      <c r="K600" s="9"/>
      <c r="L600" s="9"/>
    </row>
    <row r="601" s="105" customFormat="1" spans="9:12">
      <c r="I601" s="225"/>
      <c r="K601" s="9"/>
      <c r="L601" s="9"/>
    </row>
    <row r="602" s="105" customFormat="1" spans="9:12">
      <c r="I602" s="225"/>
      <c r="K602" s="9"/>
      <c r="L602" s="9"/>
    </row>
    <row r="603" s="105" customFormat="1" spans="9:12">
      <c r="I603" s="225"/>
      <c r="K603" s="9"/>
      <c r="L603" s="9"/>
    </row>
    <row r="604" s="105" customFormat="1" spans="9:12">
      <c r="I604" s="225"/>
      <c r="K604" s="9"/>
      <c r="L604" s="9"/>
    </row>
    <row r="605" s="105" customFormat="1" spans="9:12">
      <c r="I605" s="225"/>
      <c r="K605" s="9"/>
      <c r="L605" s="9"/>
    </row>
    <row r="606" s="105" customFormat="1" spans="9:12">
      <c r="I606" s="225"/>
      <c r="K606" s="9"/>
      <c r="L606" s="9"/>
    </row>
    <row r="607" s="105" customFormat="1" spans="9:12">
      <c r="I607" s="225"/>
      <c r="K607" s="9"/>
      <c r="L607" s="9"/>
    </row>
    <row r="608" s="105" customFormat="1" spans="9:12">
      <c r="I608" s="225"/>
      <c r="K608" s="9"/>
      <c r="L608" s="9"/>
    </row>
    <row r="609" s="105" customFormat="1" spans="9:12">
      <c r="I609" s="225"/>
      <c r="K609" s="9"/>
      <c r="L609" s="9"/>
    </row>
    <row r="610" s="105" customFormat="1" spans="9:12">
      <c r="I610" s="225"/>
      <c r="K610" s="9"/>
      <c r="L610" s="9"/>
    </row>
    <row r="611" s="105" customFormat="1" spans="9:12">
      <c r="I611" s="225"/>
      <c r="K611" s="9"/>
      <c r="L611" s="9"/>
    </row>
    <row r="612" s="105" customFormat="1" spans="9:12">
      <c r="I612" s="225"/>
      <c r="K612" s="9"/>
      <c r="L612" s="9"/>
    </row>
    <row r="613" s="105" customFormat="1" spans="9:12">
      <c r="I613" s="225"/>
      <c r="K613" s="9"/>
      <c r="L613" s="9"/>
    </row>
    <row r="614" s="105" customFormat="1" spans="9:12">
      <c r="I614" s="225"/>
      <c r="K614" s="9"/>
      <c r="L614" s="9"/>
    </row>
    <row r="615" s="105" customFormat="1" spans="9:12">
      <c r="I615" s="225"/>
      <c r="K615" s="9"/>
      <c r="L615" s="9"/>
    </row>
    <row r="616" s="105" customFormat="1" spans="9:12">
      <c r="I616" s="225"/>
      <c r="K616" s="9"/>
      <c r="L616" s="9"/>
    </row>
    <row r="617" s="105" customFormat="1" spans="9:12">
      <c r="I617" s="225"/>
      <c r="K617" s="9"/>
      <c r="L617" s="9"/>
    </row>
    <row r="618" s="105" customFormat="1" spans="9:12">
      <c r="I618" s="225"/>
      <c r="K618" s="9"/>
      <c r="L618" s="9"/>
    </row>
    <row r="619" s="105" customFormat="1" spans="9:12">
      <c r="I619" s="225"/>
      <c r="K619" s="9"/>
      <c r="L619" s="9"/>
    </row>
    <row r="620" s="105" customFormat="1" spans="9:12">
      <c r="I620" s="225"/>
      <c r="K620" s="9"/>
      <c r="L620" s="9"/>
    </row>
    <row r="621" s="105" customFormat="1" spans="9:12">
      <c r="I621" s="225"/>
      <c r="K621" s="9"/>
      <c r="L621" s="9"/>
    </row>
    <row r="622" s="105" customFormat="1" spans="9:12">
      <c r="I622" s="225"/>
      <c r="K622" s="9"/>
      <c r="L622" s="9"/>
    </row>
    <row r="623" s="105" customFormat="1" spans="9:12">
      <c r="I623" s="225"/>
      <c r="K623" s="9"/>
      <c r="L623" s="9"/>
    </row>
    <row r="624" s="105" customFormat="1" spans="9:12">
      <c r="I624" s="225"/>
      <c r="K624" s="9"/>
      <c r="L624" s="9"/>
    </row>
    <row r="625" s="105" customFormat="1" spans="9:12">
      <c r="I625" s="225"/>
      <c r="K625" s="9"/>
      <c r="L625" s="9"/>
    </row>
    <row r="626" s="105" customFormat="1" spans="9:12">
      <c r="I626" s="225"/>
      <c r="K626" s="9"/>
      <c r="L626" s="9"/>
    </row>
    <row r="627" s="105" customFormat="1" spans="9:12">
      <c r="I627" s="225"/>
      <c r="K627" s="9"/>
      <c r="L627" s="9"/>
    </row>
    <row r="628" s="105" customFormat="1" spans="9:12">
      <c r="I628" s="225"/>
      <c r="K628" s="9"/>
      <c r="L628" s="9"/>
    </row>
    <row r="629" s="105" customFormat="1" spans="9:12">
      <c r="I629" s="225"/>
      <c r="K629" s="9"/>
      <c r="L629" s="9"/>
    </row>
    <row r="630" s="105" customFormat="1" spans="9:12">
      <c r="I630" s="225"/>
      <c r="K630" s="9"/>
      <c r="L630" s="9"/>
    </row>
    <row r="631" s="105" customFormat="1" spans="9:12">
      <c r="I631" s="225"/>
      <c r="K631" s="9"/>
      <c r="L631" s="9"/>
    </row>
    <row r="632" s="105" customFormat="1" spans="9:12">
      <c r="I632" s="225"/>
      <c r="K632" s="9"/>
      <c r="L632" s="9"/>
    </row>
    <row r="633" s="105" customFormat="1" spans="9:12">
      <c r="I633" s="225"/>
      <c r="K633" s="9"/>
      <c r="L633" s="9"/>
    </row>
    <row r="634" s="105" customFormat="1" spans="9:12">
      <c r="I634" s="225"/>
      <c r="K634" s="9"/>
      <c r="L634" s="9"/>
    </row>
    <row r="635" s="105" customFormat="1" spans="9:12">
      <c r="I635" s="225"/>
      <c r="K635" s="9"/>
      <c r="L635" s="9"/>
    </row>
    <row r="636" s="105" customFormat="1" spans="9:12">
      <c r="I636" s="225"/>
      <c r="K636" s="9"/>
      <c r="L636" s="9"/>
    </row>
    <row r="637" s="105" customFormat="1" spans="9:12">
      <c r="I637" s="225"/>
      <c r="K637" s="9"/>
      <c r="L637" s="9"/>
    </row>
    <row r="638" s="105" customFormat="1" spans="9:12">
      <c r="I638" s="225"/>
      <c r="K638" s="9"/>
      <c r="L638" s="9"/>
    </row>
    <row r="639" s="105" customFormat="1" spans="9:12">
      <c r="I639" s="225"/>
      <c r="K639" s="9"/>
      <c r="L639" s="9"/>
    </row>
    <row r="640" s="105" customFormat="1" spans="9:12">
      <c r="I640" s="225"/>
      <c r="K640" s="9"/>
      <c r="L640" s="9"/>
    </row>
    <row r="641" s="105" customFormat="1" spans="9:12">
      <c r="I641" s="225"/>
      <c r="K641" s="9"/>
      <c r="L641" s="9"/>
    </row>
    <row r="642" s="105" customFormat="1" spans="9:12">
      <c r="I642" s="225"/>
      <c r="K642" s="9"/>
      <c r="L642" s="9"/>
    </row>
    <row r="643" s="105" customFormat="1" spans="9:12">
      <c r="I643" s="225"/>
      <c r="K643" s="9"/>
      <c r="L643" s="9"/>
    </row>
    <row r="644" s="105" customFormat="1" spans="9:12">
      <c r="I644" s="225"/>
      <c r="K644" s="9"/>
      <c r="L644" s="9"/>
    </row>
    <row r="645" s="105" customFormat="1" spans="9:12">
      <c r="I645" s="225"/>
      <c r="K645" s="9"/>
      <c r="L645" s="9"/>
    </row>
    <row r="646" s="105" customFormat="1" spans="9:12">
      <c r="I646" s="225"/>
      <c r="K646" s="9"/>
      <c r="L646" s="9"/>
    </row>
    <row r="647" s="105" customFormat="1" spans="9:12">
      <c r="I647" s="225"/>
      <c r="K647" s="9"/>
      <c r="L647" s="9"/>
    </row>
    <row r="648" s="105" customFormat="1" spans="9:12">
      <c r="I648" s="225"/>
      <c r="K648" s="9"/>
      <c r="L648" s="9"/>
    </row>
    <row r="649" s="105" customFormat="1" spans="9:12">
      <c r="I649" s="225"/>
      <c r="K649" s="9"/>
      <c r="L649" s="9"/>
    </row>
    <row r="650" s="105" customFormat="1" spans="9:12">
      <c r="I650" s="225"/>
      <c r="K650" s="9"/>
      <c r="L650" s="9"/>
    </row>
    <row r="651" s="105" customFormat="1" spans="9:12">
      <c r="I651" s="225"/>
      <c r="K651" s="9"/>
      <c r="L651" s="9"/>
    </row>
    <row r="652" s="105" customFormat="1" spans="9:12">
      <c r="I652" s="225"/>
      <c r="K652" s="9"/>
      <c r="L652" s="9"/>
    </row>
    <row r="653" s="105" customFormat="1" spans="9:12">
      <c r="I653" s="225"/>
      <c r="K653" s="9"/>
      <c r="L653" s="9"/>
    </row>
    <row r="654" s="105" customFormat="1" spans="9:12">
      <c r="I654" s="225"/>
      <c r="K654" s="9"/>
      <c r="L654" s="9"/>
    </row>
    <row r="655" s="105" customFormat="1" spans="9:12">
      <c r="I655" s="225"/>
      <c r="K655" s="9"/>
      <c r="L655" s="9"/>
    </row>
    <row r="656" s="105" customFormat="1" spans="9:12">
      <c r="I656" s="225"/>
      <c r="K656" s="9"/>
      <c r="L656" s="9"/>
    </row>
    <row r="657" s="105" customFormat="1" spans="9:12">
      <c r="I657" s="225"/>
      <c r="K657" s="9"/>
      <c r="L657" s="9"/>
    </row>
    <row r="658" s="105" customFormat="1" spans="9:12">
      <c r="I658" s="225"/>
      <c r="K658" s="9"/>
      <c r="L658" s="9"/>
    </row>
    <row r="659" s="105" customFormat="1" spans="9:12">
      <c r="I659" s="225"/>
      <c r="K659" s="9"/>
      <c r="L659" s="9"/>
    </row>
    <row r="660" s="105" customFormat="1" spans="9:12">
      <c r="I660" s="225"/>
      <c r="K660" s="9"/>
      <c r="L660" s="9"/>
    </row>
    <row r="661" s="105" customFormat="1" spans="9:12">
      <c r="I661" s="225"/>
      <c r="K661" s="9"/>
      <c r="L661" s="9"/>
    </row>
    <row r="662" s="105" customFormat="1" spans="9:12">
      <c r="I662" s="225"/>
      <c r="K662" s="9"/>
      <c r="L662" s="9"/>
    </row>
    <row r="663" s="105" customFormat="1" spans="9:12">
      <c r="I663" s="225"/>
      <c r="K663" s="9"/>
      <c r="L663" s="9"/>
    </row>
    <row r="664" s="105" customFormat="1" spans="9:12">
      <c r="I664" s="225"/>
      <c r="K664" s="9"/>
      <c r="L664" s="9"/>
    </row>
    <row r="665" s="105" customFormat="1" spans="9:12">
      <c r="I665" s="225"/>
      <c r="K665" s="9"/>
      <c r="L665" s="9"/>
    </row>
    <row r="666" s="105" customFormat="1" spans="9:12">
      <c r="I666" s="225"/>
      <c r="K666" s="9"/>
      <c r="L666" s="9"/>
    </row>
    <row r="667" s="105" customFormat="1" spans="9:12">
      <c r="I667" s="225"/>
      <c r="K667" s="9"/>
      <c r="L667" s="9"/>
    </row>
    <row r="668" s="105" customFormat="1" spans="9:12">
      <c r="I668" s="225"/>
      <c r="K668" s="9"/>
      <c r="L668" s="9"/>
    </row>
    <row r="669" s="105" customFormat="1" spans="9:12">
      <c r="I669" s="225"/>
      <c r="K669" s="9"/>
      <c r="L669" s="9"/>
    </row>
    <row r="670" s="105" customFormat="1" spans="9:12">
      <c r="I670" s="225"/>
      <c r="K670" s="9"/>
      <c r="L670" s="9"/>
    </row>
    <row r="671" s="105" customFormat="1" spans="9:12">
      <c r="I671" s="225"/>
      <c r="K671" s="9"/>
      <c r="L671" s="9"/>
    </row>
    <row r="672" s="105" customFormat="1" spans="9:12">
      <c r="I672" s="225"/>
      <c r="K672" s="9"/>
      <c r="L672" s="9"/>
    </row>
    <row r="673" s="105" customFormat="1" spans="9:12">
      <c r="I673" s="225"/>
      <c r="K673" s="9"/>
      <c r="L673" s="9"/>
    </row>
    <row r="674" s="105" customFormat="1" spans="9:12">
      <c r="I674" s="225"/>
      <c r="K674" s="9"/>
      <c r="L674" s="9"/>
    </row>
    <row r="675" s="105" customFormat="1" spans="9:12">
      <c r="I675" s="225"/>
      <c r="K675" s="9"/>
      <c r="L675" s="9"/>
    </row>
    <row r="676" s="105" customFormat="1" spans="9:12">
      <c r="I676" s="225"/>
      <c r="K676" s="9"/>
      <c r="L676" s="9"/>
    </row>
    <row r="677" s="105" customFormat="1" spans="9:12">
      <c r="I677" s="225"/>
      <c r="K677" s="9"/>
      <c r="L677" s="9"/>
    </row>
    <row r="678" s="105" customFormat="1" spans="9:12">
      <c r="I678" s="225"/>
      <c r="K678" s="9"/>
      <c r="L678" s="9"/>
    </row>
    <row r="679" s="105" customFormat="1" spans="9:12">
      <c r="I679" s="225"/>
      <c r="K679" s="9"/>
      <c r="L679" s="9"/>
    </row>
    <row r="680" s="105" customFormat="1" spans="9:12">
      <c r="I680" s="225"/>
      <c r="K680" s="9"/>
      <c r="L680" s="9"/>
    </row>
    <row r="681" s="105" customFormat="1" spans="9:12">
      <c r="I681" s="225"/>
      <c r="K681" s="9"/>
      <c r="L681" s="9"/>
    </row>
    <row r="682" s="105" customFormat="1" spans="9:12">
      <c r="I682" s="225"/>
      <c r="K682" s="9"/>
      <c r="L682" s="9"/>
    </row>
    <row r="683" s="105" customFormat="1" spans="9:12">
      <c r="I683" s="225"/>
      <c r="K683" s="9"/>
      <c r="L683" s="9"/>
    </row>
    <row r="684" s="105" customFormat="1" spans="9:12">
      <c r="I684" s="225"/>
      <c r="K684" s="9"/>
      <c r="L684" s="9"/>
    </row>
    <row r="685" s="105" customFormat="1" spans="9:12">
      <c r="I685" s="225"/>
      <c r="K685" s="9"/>
      <c r="L685" s="9"/>
    </row>
    <row r="686" s="105" customFormat="1" spans="9:12">
      <c r="I686" s="225"/>
      <c r="K686" s="9"/>
      <c r="L686" s="9"/>
    </row>
    <row r="687" s="105" customFormat="1" spans="9:12">
      <c r="I687" s="225"/>
      <c r="K687" s="9"/>
      <c r="L687" s="9"/>
    </row>
    <row r="688" s="105" customFormat="1" spans="9:12">
      <c r="I688" s="225"/>
      <c r="K688" s="9"/>
      <c r="L688" s="9"/>
    </row>
    <row r="689" s="105" customFormat="1" spans="9:12">
      <c r="I689" s="225"/>
      <c r="K689" s="9"/>
      <c r="L689" s="9"/>
    </row>
    <row r="690" s="105" customFormat="1" spans="9:12">
      <c r="I690" s="225"/>
      <c r="K690" s="9"/>
      <c r="L690" s="9"/>
    </row>
    <row r="691" s="105" customFormat="1" spans="9:12">
      <c r="I691" s="225"/>
      <c r="K691" s="9"/>
      <c r="L691" s="9"/>
    </row>
    <row r="692" s="105" customFormat="1" spans="9:12">
      <c r="I692" s="225"/>
      <c r="K692" s="9"/>
      <c r="L692" s="9"/>
    </row>
    <row r="693" s="105" customFormat="1" spans="9:12">
      <c r="I693" s="225"/>
      <c r="K693" s="9"/>
      <c r="L693" s="9"/>
    </row>
    <row r="694" s="105" customFormat="1" spans="9:12">
      <c r="I694" s="225"/>
      <c r="K694" s="9"/>
      <c r="L694" s="9"/>
    </row>
    <row r="695" s="105" customFormat="1" spans="9:12">
      <c r="I695" s="225"/>
      <c r="K695" s="9"/>
      <c r="L695" s="9"/>
    </row>
    <row r="696" s="105" customFormat="1" spans="9:12">
      <c r="I696" s="225"/>
      <c r="K696" s="9"/>
      <c r="L696" s="9"/>
    </row>
    <row r="697" s="105" customFormat="1" spans="9:12">
      <c r="I697" s="225"/>
      <c r="K697" s="9"/>
      <c r="L697" s="9"/>
    </row>
    <row r="698" s="105" customFormat="1" spans="9:12">
      <c r="I698" s="225"/>
      <c r="K698" s="9"/>
      <c r="L698" s="9"/>
    </row>
    <row r="699" s="105" customFormat="1" spans="9:12">
      <c r="I699" s="225"/>
      <c r="K699" s="9"/>
      <c r="L699" s="9"/>
    </row>
    <row r="700" s="105" customFormat="1" spans="9:12">
      <c r="I700" s="225"/>
      <c r="K700" s="9"/>
      <c r="L700" s="9"/>
    </row>
    <row r="701" s="105" customFormat="1" spans="9:12">
      <c r="I701" s="225"/>
      <c r="K701" s="9"/>
      <c r="L701" s="9"/>
    </row>
    <row r="702" s="105" customFormat="1" spans="9:12">
      <c r="I702" s="225"/>
      <c r="K702" s="9"/>
      <c r="L702" s="9"/>
    </row>
    <row r="703" s="105" customFormat="1" spans="9:12">
      <c r="I703" s="225"/>
      <c r="K703" s="9"/>
      <c r="L703" s="9"/>
    </row>
    <row r="704" s="105" customFormat="1" spans="9:12">
      <c r="I704" s="225"/>
      <c r="K704" s="9"/>
      <c r="L704" s="9"/>
    </row>
    <row r="705" s="105" customFormat="1" spans="9:12">
      <c r="I705" s="225"/>
      <c r="K705" s="9"/>
      <c r="L705" s="9"/>
    </row>
    <row r="706" s="105" customFormat="1" spans="9:12">
      <c r="I706" s="225"/>
      <c r="K706" s="9"/>
      <c r="L706" s="9"/>
    </row>
    <row r="707" s="105" customFormat="1" spans="9:12">
      <c r="I707" s="225"/>
      <c r="K707" s="9"/>
      <c r="L707" s="9"/>
    </row>
    <row r="708" s="105" customFormat="1" spans="9:12">
      <c r="I708" s="225"/>
      <c r="K708" s="9"/>
      <c r="L708" s="9"/>
    </row>
    <row r="709" s="105" customFormat="1" spans="9:12">
      <c r="I709" s="225"/>
      <c r="K709" s="9"/>
      <c r="L709" s="9"/>
    </row>
    <row r="710" s="105" customFormat="1" spans="9:12">
      <c r="I710" s="225"/>
      <c r="K710" s="9"/>
      <c r="L710" s="9"/>
    </row>
    <row r="711" s="105" customFormat="1" spans="9:12">
      <c r="I711" s="225"/>
      <c r="K711" s="9"/>
      <c r="L711" s="9"/>
    </row>
    <row r="712" s="105" customFormat="1" spans="9:12">
      <c r="I712" s="225"/>
      <c r="K712" s="9"/>
      <c r="L712" s="9"/>
    </row>
    <row r="713" s="105" customFormat="1" spans="9:12">
      <c r="I713" s="225"/>
      <c r="K713" s="9"/>
      <c r="L713" s="9"/>
    </row>
    <row r="714" s="105" customFormat="1" spans="9:12">
      <c r="I714" s="225"/>
      <c r="K714" s="9"/>
      <c r="L714" s="9"/>
    </row>
    <row r="715" s="105" customFormat="1" spans="9:12">
      <c r="I715" s="225"/>
      <c r="K715" s="9"/>
      <c r="L715" s="9"/>
    </row>
    <row r="716" s="105" customFormat="1" spans="9:12">
      <c r="I716" s="225"/>
      <c r="K716" s="9"/>
      <c r="L716" s="9"/>
    </row>
    <row r="717" s="105" customFormat="1" spans="9:12">
      <c r="I717" s="225"/>
      <c r="K717" s="9"/>
      <c r="L717" s="9"/>
    </row>
    <row r="718" s="105" customFormat="1" spans="9:12">
      <c r="I718" s="225"/>
      <c r="K718" s="9"/>
      <c r="L718" s="9"/>
    </row>
    <row r="719" s="105" customFormat="1" spans="9:12">
      <c r="I719" s="225"/>
      <c r="K719" s="9"/>
      <c r="L719" s="9"/>
    </row>
    <row r="720" s="105" customFormat="1" spans="9:12">
      <c r="I720" s="225"/>
      <c r="K720" s="9"/>
      <c r="L720" s="9"/>
    </row>
    <row r="721" s="105" customFormat="1" spans="9:12">
      <c r="I721" s="225"/>
      <c r="K721" s="9"/>
      <c r="L721" s="9"/>
    </row>
    <row r="722" s="105" customFormat="1" spans="9:12">
      <c r="I722" s="225"/>
      <c r="K722" s="9"/>
      <c r="L722" s="9"/>
    </row>
    <row r="723" s="105" customFormat="1" spans="9:12">
      <c r="I723" s="225"/>
      <c r="K723" s="9"/>
      <c r="L723" s="9"/>
    </row>
    <row r="724" s="105" customFormat="1" spans="9:12">
      <c r="I724" s="225"/>
      <c r="K724" s="9"/>
      <c r="L724" s="9"/>
    </row>
    <row r="725" s="105" customFormat="1" spans="9:12">
      <c r="I725" s="225"/>
      <c r="K725" s="9"/>
      <c r="L725" s="9"/>
    </row>
    <row r="726" s="105" customFormat="1" spans="9:12">
      <c r="I726" s="225"/>
      <c r="K726" s="9"/>
      <c r="L726" s="9"/>
    </row>
    <row r="727" s="105" customFormat="1" spans="9:12">
      <c r="I727" s="225"/>
      <c r="K727" s="9"/>
      <c r="L727" s="9"/>
    </row>
    <row r="728" s="105" customFormat="1" spans="9:12">
      <c r="I728" s="225"/>
      <c r="K728" s="9"/>
      <c r="L728" s="9"/>
    </row>
    <row r="729" s="105" customFormat="1" spans="9:12">
      <c r="I729" s="225"/>
      <c r="K729" s="9"/>
      <c r="L729" s="9"/>
    </row>
    <row r="730" s="105" customFormat="1" spans="9:12">
      <c r="I730" s="225"/>
      <c r="K730" s="9"/>
      <c r="L730" s="9"/>
    </row>
    <row r="731" s="105" customFormat="1" spans="9:12">
      <c r="I731" s="225"/>
      <c r="K731" s="9"/>
      <c r="L731" s="9"/>
    </row>
    <row r="732" s="105" customFormat="1" spans="9:12">
      <c r="I732" s="225"/>
      <c r="K732" s="9"/>
      <c r="L732" s="9"/>
    </row>
    <row r="733" s="105" customFormat="1" spans="9:12">
      <c r="I733" s="225"/>
      <c r="K733" s="9"/>
      <c r="L733" s="9"/>
    </row>
    <row r="734" s="105" customFormat="1" spans="9:12">
      <c r="I734" s="225"/>
      <c r="K734" s="9"/>
      <c r="L734" s="9"/>
    </row>
    <row r="735" s="105" customFormat="1" spans="9:12">
      <c r="I735" s="225"/>
      <c r="K735" s="9"/>
      <c r="L735" s="9"/>
    </row>
    <row r="736" s="105" customFormat="1" spans="9:12">
      <c r="I736" s="225"/>
      <c r="K736" s="9"/>
      <c r="L736" s="9"/>
    </row>
    <row r="737" s="105" customFormat="1" spans="9:12">
      <c r="I737" s="225"/>
      <c r="K737" s="9"/>
      <c r="L737" s="9"/>
    </row>
    <row r="738" s="105" customFormat="1" spans="9:12">
      <c r="I738" s="225"/>
      <c r="K738" s="9"/>
      <c r="L738" s="9"/>
    </row>
    <row r="739" s="105" customFormat="1" spans="9:12">
      <c r="I739" s="225"/>
      <c r="K739" s="9"/>
      <c r="L739" s="9"/>
    </row>
    <row r="740" s="105" customFormat="1" spans="9:12">
      <c r="I740" s="225"/>
      <c r="K740" s="9"/>
      <c r="L740" s="9"/>
    </row>
    <row r="741" s="105" customFormat="1" spans="9:12">
      <c r="I741" s="225"/>
      <c r="K741" s="9"/>
      <c r="L741" s="9"/>
    </row>
    <row r="742" s="105" customFormat="1" spans="9:12">
      <c r="I742" s="225"/>
      <c r="K742" s="9"/>
      <c r="L742" s="9"/>
    </row>
    <row r="743" s="105" customFormat="1" spans="9:12">
      <c r="I743" s="225"/>
      <c r="K743" s="9"/>
      <c r="L743" s="9"/>
    </row>
    <row r="744" s="105" customFormat="1" spans="9:12">
      <c r="I744" s="225"/>
      <c r="K744" s="9"/>
      <c r="L744" s="9"/>
    </row>
    <row r="745" s="105" customFormat="1" spans="9:12">
      <c r="I745" s="225"/>
      <c r="K745" s="9"/>
      <c r="L745" s="9"/>
    </row>
    <row r="746" s="105" customFormat="1" spans="9:12">
      <c r="I746" s="225"/>
      <c r="K746" s="9"/>
      <c r="L746" s="9"/>
    </row>
    <row r="747" s="105" customFormat="1" spans="9:12">
      <c r="I747" s="225"/>
      <c r="K747" s="9"/>
      <c r="L747" s="9"/>
    </row>
    <row r="748" s="105" customFormat="1" spans="9:12">
      <c r="I748" s="225"/>
      <c r="K748" s="9"/>
      <c r="L748" s="9"/>
    </row>
    <row r="749" s="105" customFormat="1" spans="9:12">
      <c r="I749" s="225"/>
      <c r="K749" s="9"/>
      <c r="L749" s="9"/>
    </row>
    <row r="750" s="105" customFormat="1" spans="9:12">
      <c r="I750" s="225"/>
      <c r="K750" s="9"/>
      <c r="L750" s="9"/>
    </row>
    <row r="751" s="105" customFormat="1" spans="9:12">
      <c r="I751" s="225"/>
      <c r="K751" s="9"/>
      <c r="L751" s="9"/>
    </row>
    <row r="752" s="105" customFormat="1" spans="9:12">
      <c r="I752" s="225"/>
      <c r="K752" s="9"/>
      <c r="L752" s="9"/>
    </row>
    <row r="753" s="105" customFormat="1" spans="9:12">
      <c r="I753" s="225"/>
      <c r="K753" s="9"/>
      <c r="L753" s="9"/>
    </row>
    <row r="754" s="105" customFormat="1" spans="9:12">
      <c r="I754" s="225"/>
      <c r="K754" s="9"/>
      <c r="L754" s="9"/>
    </row>
    <row r="755" s="105" customFormat="1" spans="9:12">
      <c r="I755" s="225"/>
      <c r="K755" s="9"/>
      <c r="L755" s="9"/>
    </row>
    <row r="756" s="105" customFormat="1" spans="9:12">
      <c r="I756" s="225"/>
      <c r="K756" s="9"/>
      <c r="L756" s="9"/>
    </row>
    <row r="757" s="105" customFormat="1" spans="9:12">
      <c r="I757" s="225"/>
      <c r="K757" s="9"/>
      <c r="L757" s="9"/>
    </row>
    <row r="758" s="105" customFormat="1" spans="9:12">
      <c r="I758" s="225"/>
      <c r="K758" s="9"/>
      <c r="L758" s="9"/>
    </row>
    <row r="759" s="105" customFormat="1" spans="9:12">
      <c r="I759" s="225"/>
      <c r="K759" s="9"/>
      <c r="L759" s="9"/>
    </row>
    <row r="760" s="105" customFormat="1" spans="9:12">
      <c r="I760" s="225"/>
      <c r="K760" s="9"/>
      <c r="L760" s="9"/>
    </row>
    <row r="761" s="105" customFormat="1" spans="9:12">
      <c r="I761" s="225"/>
      <c r="K761" s="9"/>
      <c r="L761" s="9"/>
    </row>
    <row r="762" s="105" customFormat="1" spans="9:12">
      <c r="I762" s="225"/>
      <c r="K762" s="9"/>
      <c r="L762" s="9"/>
    </row>
    <row r="763" s="105" customFormat="1" spans="9:12">
      <c r="I763" s="225"/>
      <c r="K763" s="9"/>
      <c r="L763" s="9"/>
    </row>
    <row r="764" s="105" customFormat="1" spans="9:12">
      <c r="I764" s="225"/>
      <c r="K764" s="9"/>
      <c r="L764" s="9"/>
    </row>
    <row r="765" s="105" customFormat="1" spans="9:12">
      <c r="I765" s="225"/>
      <c r="K765" s="9"/>
      <c r="L765" s="9"/>
    </row>
    <row r="766" s="105" customFormat="1" spans="9:12">
      <c r="I766" s="225"/>
      <c r="K766" s="9"/>
      <c r="L766" s="9"/>
    </row>
    <row r="767" s="105" customFormat="1" spans="9:12">
      <c r="I767" s="225"/>
      <c r="K767" s="9"/>
      <c r="L767" s="9"/>
    </row>
    <row r="768" s="105" customFormat="1" spans="9:12">
      <c r="I768" s="225"/>
      <c r="K768" s="9"/>
      <c r="L768" s="9"/>
    </row>
    <row r="769" s="105" customFormat="1" spans="9:12">
      <c r="I769" s="225"/>
      <c r="K769" s="9"/>
      <c r="L769" s="9"/>
    </row>
    <row r="770" s="105" customFormat="1" spans="9:12">
      <c r="I770" s="225"/>
      <c r="K770" s="9"/>
      <c r="L770" s="9"/>
    </row>
    <row r="771" s="105" customFormat="1" spans="9:12">
      <c r="I771" s="225"/>
      <c r="K771" s="9"/>
      <c r="L771" s="9"/>
    </row>
    <row r="772" s="105" customFormat="1" spans="9:12">
      <c r="I772" s="225"/>
      <c r="K772" s="9"/>
      <c r="L772" s="9"/>
    </row>
    <row r="773" s="105" customFormat="1" spans="9:12">
      <c r="I773" s="225"/>
      <c r="K773" s="9"/>
      <c r="L773" s="9"/>
    </row>
    <row r="774" s="105" customFormat="1" spans="9:12">
      <c r="I774" s="225"/>
      <c r="K774" s="9"/>
      <c r="L774" s="9"/>
    </row>
    <row r="775" s="105" customFormat="1" spans="9:12">
      <c r="I775" s="225"/>
      <c r="K775" s="9"/>
      <c r="L775" s="9"/>
    </row>
    <row r="776" s="105" customFormat="1" spans="9:12">
      <c r="I776" s="225"/>
      <c r="K776" s="9"/>
      <c r="L776" s="9"/>
    </row>
    <row r="777" s="105" customFormat="1" spans="9:12">
      <c r="I777" s="225"/>
      <c r="K777" s="9"/>
      <c r="L777" s="9"/>
    </row>
    <row r="778" s="105" customFormat="1" spans="9:12">
      <c r="I778" s="225"/>
      <c r="K778" s="9"/>
      <c r="L778" s="9"/>
    </row>
    <row r="779" s="105" customFormat="1" spans="9:12">
      <c r="I779" s="225"/>
      <c r="K779" s="9"/>
      <c r="L779" s="9"/>
    </row>
    <row r="780" s="105" customFormat="1" spans="9:12">
      <c r="I780" s="225"/>
      <c r="K780" s="9"/>
      <c r="L780" s="9"/>
    </row>
    <row r="781" s="105" customFormat="1" spans="9:12">
      <c r="I781" s="225"/>
      <c r="K781" s="9"/>
      <c r="L781" s="9"/>
    </row>
    <row r="782" s="105" customFormat="1" spans="9:12">
      <c r="I782" s="225"/>
      <c r="K782" s="9"/>
      <c r="L782" s="9"/>
    </row>
    <row r="783" s="105" customFormat="1" spans="9:12">
      <c r="I783" s="225"/>
      <c r="K783" s="9"/>
      <c r="L783" s="9"/>
    </row>
    <row r="784" s="105" customFormat="1" spans="9:12">
      <c r="I784" s="225"/>
      <c r="K784" s="9"/>
      <c r="L784" s="9"/>
    </row>
    <row r="785" s="105" customFormat="1" spans="9:12">
      <c r="I785" s="225"/>
      <c r="K785" s="9"/>
      <c r="L785" s="9"/>
    </row>
    <row r="786" s="105" customFormat="1" spans="9:12">
      <c r="I786" s="225"/>
      <c r="K786" s="9"/>
      <c r="L786" s="9"/>
    </row>
    <row r="787" s="105" customFormat="1" spans="9:12">
      <c r="I787" s="225"/>
      <c r="K787" s="9"/>
      <c r="L787" s="9"/>
    </row>
    <row r="788" s="105" customFormat="1" spans="9:12">
      <c r="I788" s="225"/>
      <c r="K788" s="9"/>
      <c r="L788" s="9"/>
    </row>
    <row r="789" s="105" customFormat="1" spans="9:12">
      <c r="I789" s="225"/>
      <c r="K789" s="9"/>
      <c r="L789" s="9"/>
    </row>
    <row r="790" s="105" customFormat="1" spans="9:12">
      <c r="I790" s="225"/>
      <c r="K790" s="9"/>
      <c r="L790" s="9"/>
    </row>
    <row r="791" s="105" customFormat="1" spans="9:12">
      <c r="I791" s="225"/>
      <c r="K791" s="9"/>
      <c r="L791" s="9"/>
    </row>
    <row r="792" s="105" customFormat="1" spans="9:12">
      <c r="I792" s="225"/>
      <c r="K792" s="9"/>
      <c r="L792" s="9"/>
    </row>
    <row r="793" s="105" customFormat="1" spans="9:12">
      <c r="I793" s="225"/>
      <c r="K793" s="9"/>
      <c r="L793" s="9"/>
    </row>
    <row r="794" s="105" customFormat="1" spans="9:12">
      <c r="I794" s="225"/>
      <c r="K794" s="9"/>
      <c r="L794" s="9"/>
    </row>
    <row r="795" s="105" customFormat="1" spans="9:12">
      <c r="I795" s="225"/>
      <c r="K795" s="9"/>
      <c r="L795" s="9"/>
    </row>
    <row r="796" s="105" customFormat="1" spans="9:12">
      <c r="I796" s="225"/>
      <c r="K796" s="9"/>
      <c r="L796" s="9"/>
    </row>
    <row r="797" s="105" customFormat="1" spans="9:12">
      <c r="I797" s="225"/>
      <c r="K797" s="9"/>
      <c r="L797" s="9"/>
    </row>
    <row r="798" s="105" customFormat="1" spans="9:12">
      <c r="I798" s="225"/>
      <c r="K798" s="9"/>
      <c r="L798" s="9"/>
    </row>
    <row r="799" s="105" customFormat="1" spans="9:12">
      <c r="I799" s="225"/>
      <c r="K799" s="9"/>
      <c r="L799" s="9"/>
    </row>
    <row r="800" s="105" customFormat="1" spans="9:12">
      <c r="I800" s="225"/>
      <c r="K800" s="9"/>
      <c r="L800" s="9"/>
    </row>
    <row r="801" s="105" customFormat="1" spans="9:12">
      <c r="I801" s="225"/>
      <c r="K801" s="9"/>
      <c r="L801" s="9"/>
    </row>
    <row r="802" s="105" customFormat="1" spans="9:12">
      <c r="I802" s="225"/>
      <c r="K802" s="9"/>
      <c r="L802" s="9"/>
    </row>
    <row r="803" s="105" customFormat="1" spans="9:12">
      <c r="I803" s="225"/>
      <c r="K803" s="9"/>
      <c r="L803" s="9"/>
    </row>
    <row r="804" s="105" customFormat="1" spans="9:12">
      <c r="I804" s="225"/>
      <c r="K804" s="9"/>
      <c r="L804" s="9"/>
    </row>
    <row r="805" s="105" customFormat="1" spans="9:12">
      <c r="I805" s="225"/>
      <c r="K805" s="9"/>
      <c r="L805" s="9"/>
    </row>
    <row r="806" s="105" customFormat="1" spans="9:12">
      <c r="I806" s="225"/>
      <c r="K806" s="9"/>
      <c r="L806" s="9"/>
    </row>
    <row r="807" s="105" customFormat="1" spans="9:12">
      <c r="I807" s="225"/>
      <c r="K807" s="9"/>
      <c r="L807" s="9"/>
    </row>
    <row r="808" s="105" customFormat="1" spans="9:12">
      <c r="I808" s="225"/>
      <c r="K808" s="9"/>
      <c r="L808" s="9"/>
    </row>
    <row r="809" s="105" customFormat="1" spans="9:12">
      <c r="I809" s="225"/>
      <c r="K809" s="9"/>
      <c r="L809" s="9"/>
    </row>
    <row r="810" s="105" customFormat="1" spans="9:12">
      <c r="I810" s="225"/>
      <c r="K810" s="9"/>
      <c r="L810" s="9"/>
    </row>
    <row r="811" s="105" customFormat="1" spans="9:12">
      <c r="I811" s="225"/>
      <c r="K811" s="9"/>
      <c r="L811" s="9"/>
    </row>
    <row r="812" s="105" customFormat="1" spans="9:12">
      <c r="I812" s="225"/>
      <c r="K812" s="9"/>
      <c r="L812" s="9"/>
    </row>
    <row r="813" s="105" customFormat="1" spans="9:12">
      <c r="I813" s="225"/>
      <c r="K813" s="9"/>
      <c r="L813" s="9"/>
    </row>
    <row r="814" s="105" customFormat="1" spans="9:12">
      <c r="I814" s="225"/>
      <c r="K814" s="9"/>
      <c r="L814" s="9"/>
    </row>
    <row r="815" s="105" customFormat="1" spans="9:12">
      <c r="I815" s="225"/>
      <c r="K815" s="9"/>
      <c r="L815" s="9"/>
    </row>
    <row r="816" s="105" customFormat="1" spans="9:12">
      <c r="I816" s="225"/>
      <c r="K816" s="9"/>
      <c r="L816" s="9"/>
    </row>
    <row r="817" s="105" customFormat="1" spans="9:12">
      <c r="I817" s="225"/>
      <c r="K817" s="9"/>
      <c r="L817" s="9"/>
    </row>
    <row r="818" s="105" customFormat="1" spans="9:12">
      <c r="I818" s="225"/>
      <c r="K818" s="9"/>
      <c r="L818" s="9"/>
    </row>
    <row r="819" s="105" customFormat="1" spans="9:12">
      <c r="I819" s="225"/>
      <c r="K819" s="9"/>
      <c r="L819" s="9"/>
    </row>
    <row r="820" s="105" customFormat="1" spans="9:12">
      <c r="I820" s="225"/>
      <c r="K820" s="9"/>
      <c r="L820" s="9"/>
    </row>
    <row r="821" s="105" customFormat="1" spans="9:12">
      <c r="I821" s="225"/>
      <c r="K821" s="9"/>
      <c r="L821" s="9"/>
    </row>
    <row r="822" s="105" customFormat="1" spans="9:12">
      <c r="I822" s="225"/>
      <c r="K822" s="9"/>
      <c r="L822" s="9"/>
    </row>
    <row r="823" s="105" customFormat="1" spans="9:12">
      <c r="I823" s="225"/>
      <c r="K823" s="9"/>
      <c r="L823" s="9"/>
    </row>
    <row r="824" s="105" customFormat="1" spans="9:12">
      <c r="I824" s="225"/>
      <c r="K824" s="9"/>
      <c r="L824" s="9"/>
    </row>
    <row r="825" s="105" customFormat="1" spans="9:12">
      <c r="I825" s="225"/>
      <c r="K825" s="9"/>
      <c r="L825" s="9"/>
    </row>
    <row r="826" s="105" customFormat="1" spans="9:12">
      <c r="I826" s="225"/>
      <c r="K826" s="9"/>
      <c r="L826" s="9"/>
    </row>
    <row r="827" s="105" customFormat="1" spans="9:12">
      <c r="I827" s="225"/>
      <c r="K827" s="9"/>
      <c r="L827" s="9"/>
    </row>
    <row r="828" s="105" customFormat="1" spans="9:12">
      <c r="I828" s="225"/>
      <c r="K828" s="9"/>
      <c r="L828" s="9"/>
    </row>
    <row r="829" s="105" customFormat="1" spans="9:12">
      <c r="I829" s="225"/>
      <c r="K829" s="9"/>
      <c r="L829" s="9"/>
    </row>
    <row r="830" s="105" customFormat="1" spans="9:12">
      <c r="I830" s="225"/>
      <c r="K830" s="9"/>
      <c r="L830" s="9"/>
    </row>
    <row r="831" s="105" customFormat="1" spans="9:12">
      <c r="I831" s="225"/>
      <c r="K831" s="9"/>
      <c r="L831" s="9"/>
    </row>
    <row r="832" s="105" customFormat="1" spans="9:12">
      <c r="I832" s="225"/>
      <c r="K832" s="9"/>
      <c r="L832" s="9"/>
    </row>
    <row r="833" s="105" customFormat="1" spans="9:12">
      <c r="I833" s="225"/>
      <c r="K833" s="9"/>
      <c r="L833" s="9"/>
    </row>
    <row r="834" s="105" customFormat="1" spans="9:12">
      <c r="I834" s="225"/>
      <c r="K834" s="9"/>
      <c r="L834" s="9"/>
    </row>
    <row r="835" s="105" customFormat="1" spans="9:12">
      <c r="I835" s="225"/>
      <c r="K835" s="9"/>
      <c r="L835" s="9"/>
    </row>
    <row r="836" s="105" customFormat="1" spans="9:12">
      <c r="I836" s="225"/>
      <c r="K836" s="9"/>
      <c r="L836" s="9"/>
    </row>
    <row r="837" s="105" customFormat="1" spans="9:12">
      <c r="I837" s="225"/>
      <c r="K837" s="9"/>
      <c r="L837" s="9"/>
    </row>
    <row r="838" s="105" customFormat="1" spans="9:12">
      <c r="I838" s="225"/>
      <c r="K838" s="9"/>
      <c r="L838" s="9"/>
    </row>
    <row r="839" s="105" customFormat="1" spans="9:12">
      <c r="I839" s="225"/>
      <c r="K839" s="9"/>
      <c r="L839" s="9"/>
    </row>
    <row r="840" s="105" customFormat="1" spans="9:12">
      <c r="I840" s="225"/>
      <c r="K840" s="9"/>
      <c r="L840" s="9"/>
    </row>
    <row r="841" s="105" customFormat="1" spans="9:12">
      <c r="I841" s="225"/>
      <c r="K841" s="9"/>
      <c r="L841" s="9"/>
    </row>
    <row r="842" s="105" customFormat="1" spans="9:12">
      <c r="I842" s="225"/>
      <c r="K842" s="9"/>
      <c r="L842" s="9"/>
    </row>
    <row r="843" s="105" customFormat="1" spans="9:12">
      <c r="I843" s="225"/>
      <c r="K843" s="9"/>
      <c r="L843" s="9"/>
    </row>
    <row r="844" s="105" customFormat="1" spans="9:12">
      <c r="I844" s="225"/>
      <c r="K844" s="9"/>
      <c r="L844" s="9"/>
    </row>
    <row r="845" s="105" customFormat="1" spans="9:12">
      <c r="I845" s="225"/>
      <c r="K845" s="9"/>
      <c r="L845" s="9"/>
    </row>
    <row r="846" s="105" customFormat="1" spans="9:12">
      <c r="I846" s="225"/>
      <c r="K846" s="9"/>
      <c r="L846" s="9"/>
    </row>
    <row r="847" s="105" customFormat="1" spans="9:12">
      <c r="I847" s="225"/>
      <c r="K847" s="9"/>
      <c r="L847" s="9"/>
    </row>
    <row r="848" s="105" customFormat="1" spans="9:12">
      <c r="I848" s="225"/>
      <c r="K848" s="9"/>
      <c r="L848" s="9"/>
    </row>
    <row r="849" s="105" customFormat="1" spans="9:12">
      <c r="I849" s="225"/>
      <c r="K849" s="9"/>
      <c r="L849" s="9"/>
    </row>
    <row r="850" s="105" customFormat="1" spans="9:12">
      <c r="I850" s="225"/>
      <c r="K850" s="9"/>
      <c r="L850" s="9"/>
    </row>
    <row r="851" s="105" customFormat="1" spans="9:12">
      <c r="I851" s="225"/>
      <c r="K851" s="9"/>
      <c r="L851" s="9"/>
    </row>
    <row r="852" s="105" customFormat="1" spans="9:12">
      <c r="I852" s="225"/>
      <c r="K852" s="9"/>
      <c r="L852" s="9"/>
    </row>
    <row r="853" s="105" customFormat="1" spans="9:12">
      <c r="I853" s="225"/>
      <c r="K853" s="9"/>
      <c r="L853" s="9"/>
    </row>
    <row r="854" s="105" customFormat="1" spans="9:12">
      <c r="I854" s="225"/>
      <c r="K854" s="9"/>
      <c r="L854" s="9"/>
    </row>
    <row r="855" s="105" customFormat="1" spans="9:12">
      <c r="I855" s="225"/>
      <c r="K855" s="9"/>
      <c r="L855" s="9"/>
    </row>
    <row r="856" s="105" customFormat="1" spans="9:12">
      <c r="I856" s="225"/>
      <c r="K856" s="9"/>
      <c r="L856" s="9"/>
    </row>
    <row r="857" s="105" customFormat="1" spans="9:12">
      <c r="I857" s="225"/>
      <c r="K857" s="9"/>
      <c r="L857" s="9"/>
    </row>
    <row r="858" s="105" customFormat="1" spans="9:12">
      <c r="I858" s="225"/>
      <c r="K858" s="9"/>
      <c r="L858" s="9"/>
    </row>
    <row r="859" s="105" customFormat="1" spans="9:12">
      <c r="I859" s="225"/>
      <c r="K859" s="9"/>
      <c r="L859" s="9"/>
    </row>
    <row r="860" s="105" customFormat="1" spans="9:12">
      <c r="I860" s="225"/>
      <c r="K860" s="9"/>
      <c r="L860" s="9"/>
    </row>
    <row r="861" s="105" customFormat="1" spans="9:12">
      <c r="I861" s="225"/>
      <c r="K861" s="9"/>
      <c r="L861" s="9"/>
    </row>
    <row r="862" s="105" customFormat="1" spans="9:12">
      <c r="I862" s="225"/>
      <c r="K862" s="9"/>
      <c r="L862" s="9"/>
    </row>
    <row r="863" s="105" customFormat="1" spans="9:12">
      <c r="I863" s="225"/>
      <c r="K863" s="9"/>
      <c r="L863" s="9"/>
    </row>
    <row r="864" s="105" customFormat="1" spans="9:12">
      <c r="I864" s="225"/>
      <c r="K864" s="9"/>
      <c r="L864" s="9"/>
    </row>
    <row r="865" s="105" customFormat="1" spans="9:12">
      <c r="I865" s="225"/>
      <c r="K865" s="9"/>
      <c r="L865" s="9"/>
    </row>
    <row r="866" s="105" customFormat="1" spans="9:12">
      <c r="I866" s="225"/>
      <c r="K866" s="9"/>
      <c r="L866" s="9"/>
    </row>
    <row r="867" s="105" customFormat="1" spans="9:12">
      <c r="I867" s="225"/>
      <c r="K867" s="9"/>
      <c r="L867" s="9"/>
    </row>
    <row r="868" s="105" customFormat="1" spans="9:12">
      <c r="I868" s="225"/>
      <c r="K868" s="9"/>
      <c r="L868" s="9"/>
    </row>
    <row r="869" s="105" customFormat="1" spans="9:12">
      <c r="I869" s="225"/>
      <c r="K869" s="9"/>
      <c r="L869" s="9"/>
    </row>
    <row r="870" s="105" customFormat="1" spans="9:12">
      <c r="I870" s="225"/>
      <c r="K870" s="9"/>
      <c r="L870" s="9"/>
    </row>
    <row r="871" s="105" customFormat="1" spans="9:12">
      <c r="I871" s="225"/>
      <c r="K871" s="9"/>
      <c r="L871" s="9"/>
    </row>
    <row r="872" s="105" customFormat="1" spans="9:12">
      <c r="I872" s="225"/>
      <c r="K872" s="9"/>
      <c r="L872" s="9"/>
    </row>
    <row r="873" s="105" customFormat="1" spans="9:12">
      <c r="I873" s="225"/>
      <c r="K873" s="9"/>
      <c r="L873" s="9"/>
    </row>
    <row r="874" s="105" customFormat="1" spans="9:12">
      <c r="I874" s="225"/>
      <c r="K874" s="9"/>
      <c r="L874" s="9"/>
    </row>
    <row r="875" s="105" customFormat="1" spans="9:12">
      <c r="I875" s="225"/>
      <c r="K875" s="9"/>
      <c r="L875" s="9"/>
    </row>
    <row r="876" s="105" customFormat="1" spans="9:12">
      <c r="I876" s="225"/>
      <c r="K876" s="9"/>
      <c r="L876" s="9"/>
    </row>
    <row r="877" s="105" customFormat="1" spans="9:12">
      <c r="I877" s="225"/>
      <c r="K877" s="9"/>
      <c r="L877" s="9"/>
    </row>
    <row r="878" s="105" customFormat="1" spans="9:12">
      <c r="I878" s="225"/>
      <c r="K878" s="9"/>
      <c r="L878" s="9"/>
    </row>
    <row r="879" s="105" customFormat="1" spans="9:12">
      <c r="I879" s="225"/>
      <c r="K879" s="9"/>
      <c r="L879" s="9"/>
    </row>
    <row r="880" s="105" customFormat="1" spans="9:12">
      <c r="I880" s="225"/>
      <c r="K880" s="9"/>
      <c r="L880" s="9"/>
    </row>
    <row r="881" s="105" customFormat="1" spans="9:12">
      <c r="I881" s="225"/>
      <c r="K881" s="9"/>
      <c r="L881" s="9"/>
    </row>
    <row r="882" s="105" customFormat="1" spans="9:12">
      <c r="I882" s="225"/>
      <c r="K882" s="9"/>
      <c r="L882" s="9"/>
    </row>
    <row r="883" s="105" customFormat="1" spans="9:12">
      <c r="I883" s="225"/>
      <c r="K883" s="9"/>
      <c r="L883" s="9"/>
    </row>
    <row r="884" s="105" customFormat="1" spans="9:12">
      <c r="I884" s="225"/>
      <c r="K884" s="9"/>
      <c r="L884" s="9"/>
    </row>
    <row r="885" s="105" customFormat="1" spans="9:12">
      <c r="I885" s="225"/>
      <c r="K885" s="9"/>
      <c r="L885" s="9"/>
    </row>
    <row r="886" s="105" customFormat="1" spans="9:12">
      <c r="I886" s="225"/>
      <c r="K886" s="9"/>
      <c r="L886" s="9"/>
    </row>
    <row r="887" s="105" customFormat="1" spans="9:12">
      <c r="I887" s="225"/>
      <c r="K887" s="9"/>
      <c r="L887" s="9"/>
    </row>
    <row r="888" s="105" customFormat="1" spans="9:12">
      <c r="I888" s="225"/>
      <c r="K888" s="9"/>
      <c r="L888" s="9"/>
    </row>
    <row r="889" s="105" customFormat="1" spans="9:12">
      <c r="I889" s="225"/>
      <c r="K889" s="9"/>
      <c r="L889" s="9"/>
    </row>
    <row r="890" s="105" customFormat="1" spans="9:12">
      <c r="I890" s="225"/>
      <c r="K890" s="9"/>
      <c r="L890" s="9"/>
    </row>
    <row r="891" s="105" customFormat="1" spans="9:12">
      <c r="I891" s="225"/>
      <c r="K891" s="9"/>
      <c r="L891" s="9"/>
    </row>
    <row r="892" s="105" customFormat="1" spans="9:12">
      <c r="I892" s="225"/>
      <c r="K892" s="9"/>
      <c r="L892" s="9"/>
    </row>
    <row r="893" s="105" customFormat="1" spans="9:12">
      <c r="I893" s="225"/>
      <c r="K893" s="9"/>
      <c r="L893" s="9"/>
    </row>
    <row r="894" s="105" customFormat="1" spans="9:12">
      <c r="I894" s="225"/>
      <c r="K894" s="9"/>
      <c r="L894" s="9"/>
    </row>
    <row r="895" s="105" customFormat="1" spans="9:12">
      <c r="I895" s="225"/>
      <c r="K895" s="9"/>
      <c r="L895" s="9"/>
    </row>
    <row r="896" s="105" customFormat="1" spans="9:12">
      <c r="I896" s="225"/>
      <c r="K896" s="9"/>
      <c r="L896" s="9"/>
    </row>
    <row r="897" s="105" customFormat="1" spans="9:12">
      <c r="I897" s="225"/>
      <c r="K897" s="9"/>
      <c r="L897" s="9"/>
    </row>
    <row r="898" s="105" customFormat="1" spans="9:12">
      <c r="I898" s="225"/>
      <c r="K898" s="9"/>
      <c r="L898" s="9"/>
    </row>
    <row r="899" s="105" customFormat="1" spans="9:12">
      <c r="I899" s="225"/>
      <c r="K899" s="9"/>
      <c r="L899" s="9"/>
    </row>
    <row r="900" s="105" customFormat="1" spans="9:12">
      <c r="I900" s="225"/>
      <c r="K900" s="9"/>
      <c r="L900" s="9"/>
    </row>
    <row r="901" s="105" customFormat="1" spans="9:12">
      <c r="I901" s="225"/>
      <c r="K901" s="9"/>
      <c r="L901" s="9"/>
    </row>
    <row r="902" s="105" customFormat="1" spans="9:12">
      <c r="I902" s="225"/>
      <c r="K902" s="9"/>
      <c r="L902" s="9"/>
    </row>
    <row r="903" s="105" customFormat="1" spans="9:12">
      <c r="I903" s="225"/>
      <c r="K903" s="9"/>
      <c r="L903" s="9"/>
    </row>
    <row r="904" s="105" customFormat="1" spans="9:12">
      <c r="I904" s="225"/>
      <c r="K904" s="9"/>
      <c r="L904" s="9"/>
    </row>
    <row r="905" s="105" customFormat="1" spans="9:12">
      <c r="I905" s="225"/>
      <c r="K905" s="9"/>
      <c r="L905" s="9"/>
    </row>
    <row r="906" s="105" customFormat="1" spans="9:12">
      <c r="I906" s="225"/>
      <c r="K906" s="9"/>
      <c r="L906" s="9"/>
    </row>
    <row r="907" s="105" customFormat="1" spans="9:12">
      <c r="I907" s="225"/>
      <c r="K907" s="9"/>
      <c r="L907" s="9"/>
    </row>
    <row r="908" s="105" customFormat="1" spans="9:12">
      <c r="I908" s="225"/>
      <c r="K908" s="9"/>
      <c r="L908" s="9"/>
    </row>
    <row r="909" s="105" customFormat="1" spans="9:12">
      <c r="I909" s="225"/>
      <c r="K909" s="9"/>
      <c r="L909" s="9"/>
    </row>
    <row r="910" s="105" customFormat="1" spans="9:12">
      <c r="I910" s="225"/>
      <c r="K910" s="9"/>
      <c r="L910" s="9"/>
    </row>
    <row r="911" s="105" customFormat="1" spans="9:12">
      <c r="I911" s="225"/>
      <c r="K911" s="9"/>
      <c r="L911" s="9"/>
    </row>
    <row r="912" s="105" customFormat="1" spans="9:12">
      <c r="I912" s="225"/>
      <c r="K912" s="9"/>
      <c r="L912" s="9"/>
    </row>
    <row r="913" s="105" customFormat="1" spans="9:12">
      <c r="I913" s="225"/>
      <c r="K913" s="9"/>
      <c r="L913" s="9"/>
    </row>
    <row r="914" s="105" customFormat="1" spans="9:12">
      <c r="I914" s="225"/>
      <c r="K914" s="9"/>
      <c r="L914" s="9"/>
    </row>
    <row r="915" s="105" customFormat="1" spans="9:12">
      <c r="I915" s="225"/>
      <c r="K915" s="9"/>
      <c r="L915" s="9"/>
    </row>
    <row r="916" s="105" customFormat="1" spans="9:12">
      <c r="I916" s="225"/>
      <c r="K916" s="9"/>
      <c r="L916" s="9"/>
    </row>
    <row r="917" s="105" customFormat="1" spans="9:12">
      <c r="I917" s="225"/>
      <c r="K917" s="9"/>
      <c r="L917" s="9"/>
    </row>
    <row r="918" s="105" customFormat="1" spans="9:12">
      <c r="I918" s="225"/>
      <c r="K918" s="9"/>
      <c r="L918" s="9"/>
    </row>
    <row r="919" s="105" customFormat="1" spans="9:12">
      <c r="I919" s="225"/>
      <c r="K919" s="9"/>
      <c r="L919" s="9"/>
    </row>
    <row r="920" s="105" customFormat="1" spans="9:12">
      <c r="I920" s="225"/>
      <c r="K920" s="9"/>
      <c r="L920" s="9"/>
    </row>
    <row r="921" s="105" customFormat="1" spans="9:12">
      <c r="I921" s="225"/>
      <c r="K921" s="9"/>
      <c r="L921" s="9"/>
    </row>
    <row r="922" s="105" customFormat="1" spans="9:12">
      <c r="I922" s="225"/>
      <c r="K922" s="9"/>
      <c r="L922" s="9"/>
    </row>
    <row r="923" s="105" customFormat="1" spans="9:12">
      <c r="I923" s="225"/>
      <c r="K923" s="9"/>
      <c r="L923" s="9"/>
    </row>
    <row r="924" s="105" customFormat="1" spans="9:12">
      <c r="I924" s="225"/>
      <c r="K924" s="9"/>
      <c r="L924" s="9"/>
    </row>
    <row r="925" s="105" customFormat="1" spans="9:12">
      <c r="I925" s="225"/>
      <c r="K925" s="9"/>
      <c r="L925" s="9"/>
    </row>
    <row r="926" s="105" customFormat="1" spans="9:12">
      <c r="I926" s="225"/>
      <c r="K926" s="9"/>
      <c r="L926" s="9"/>
    </row>
    <row r="927" s="105" customFormat="1" spans="9:12">
      <c r="I927" s="225"/>
      <c r="K927" s="9"/>
      <c r="L927" s="9"/>
    </row>
    <row r="928" s="105" customFormat="1" spans="9:12">
      <c r="I928" s="225"/>
      <c r="K928" s="9"/>
      <c r="L928" s="9"/>
    </row>
    <row r="929" s="105" customFormat="1" spans="9:12">
      <c r="I929" s="225"/>
      <c r="K929" s="9"/>
      <c r="L929" s="9"/>
    </row>
    <row r="930" s="105" customFormat="1" spans="9:12">
      <c r="I930" s="225"/>
      <c r="K930" s="9"/>
      <c r="L930" s="9"/>
    </row>
    <row r="931" s="105" customFormat="1" spans="9:12">
      <c r="I931" s="225"/>
      <c r="K931" s="9"/>
      <c r="L931" s="9"/>
    </row>
    <row r="932" s="105" customFormat="1" spans="9:12">
      <c r="I932" s="225"/>
      <c r="K932" s="9"/>
      <c r="L932" s="9"/>
    </row>
    <row r="933" s="105" customFormat="1" spans="9:12">
      <c r="I933" s="225"/>
      <c r="K933" s="9"/>
      <c r="L933" s="9"/>
    </row>
    <row r="934" s="105" customFormat="1" spans="9:12">
      <c r="I934" s="225"/>
      <c r="K934" s="9"/>
      <c r="L934" s="9"/>
    </row>
    <row r="935" s="105" customFormat="1" spans="9:12">
      <c r="I935" s="225"/>
      <c r="K935" s="9"/>
      <c r="L935" s="9"/>
    </row>
    <row r="936" s="105" customFormat="1" spans="9:12">
      <c r="I936" s="225"/>
      <c r="K936" s="9"/>
      <c r="L936" s="9"/>
    </row>
    <row r="937" s="105" customFormat="1" spans="9:12">
      <c r="I937" s="225"/>
      <c r="K937" s="9"/>
      <c r="L937" s="9"/>
    </row>
    <row r="938" s="105" customFormat="1" spans="9:12">
      <c r="I938" s="225"/>
      <c r="K938" s="9"/>
      <c r="L938" s="9"/>
    </row>
    <row r="939" s="105" customFormat="1" spans="9:12">
      <c r="I939" s="225"/>
      <c r="K939" s="9"/>
      <c r="L939" s="9"/>
    </row>
    <row r="940" s="105" customFormat="1" spans="9:12">
      <c r="I940" s="225"/>
      <c r="K940" s="9"/>
      <c r="L940" s="9"/>
    </row>
    <row r="941" s="105" customFormat="1" spans="9:12">
      <c r="I941" s="225"/>
      <c r="K941" s="9"/>
      <c r="L941" s="9"/>
    </row>
    <row r="942" s="105" customFormat="1" spans="9:12">
      <c r="I942" s="225"/>
      <c r="K942" s="9"/>
      <c r="L942" s="9"/>
    </row>
    <row r="943" s="105" customFormat="1" spans="9:12">
      <c r="I943" s="225"/>
      <c r="K943" s="9"/>
      <c r="L943" s="9"/>
    </row>
    <row r="944" s="105" customFormat="1" spans="9:12">
      <c r="I944" s="225"/>
      <c r="K944" s="9"/>
      <c r="L944" s="9"/>
    </row>
    <row r="945" s="105" customFormat="1" spans="9:12">
      <c r="I945" s="225"/>
      <c r="K945" s="9"/>
      <c r="L945" s="9"/>
    </row>
    <row r="946" s="105" customFormat="1" spans="9:12">
      <c r="I946" s="225"/>
      <c r="K946" s="9"/>
      <c r="L946" s="9"/>
    </row>
    <row r="947" s="105" customFormat="1" spans="9:12">
      <c r="I947" s="225"/>
      <c r="K947" s="9"/>
      <c r="L947" s="9"/>
    </row>
    <row r="948" s="105" customFormat="1" spans="9:12">
      <c r="I948" s="225"/>
      <c r="K948" s="9"/>
      <c r="L948" s="9"/>
    </row>
    <row r="949" s="105" customFormat="1" spans="9:12">
      <c r="I949" s="225"/>
      <c r="K949" s="9"/>
      <c r="L949" s="9"/>
    </row>
    <row r="950" s="105" customFormat="1" spans="9:12">
      <c r="I950" s="225"/>
      <c r="K950" s="9"/>
      <c r="L950" s="9"/>
    </row>
    <row r="951" s="105" customFormat="1" spans="9:12">
      <c r="I951" s="225"/>
      <c r="K951" s="9"/>
      <c r="L951" s="9"/>
    </row>
    <row r="952" s="105" customFormat="1" spans="9:12">
      <c r="I952" s="225"/>
      <c r="K952" s="9"/>
      <c r="L952" s="9"/>
    </row>
    <row r="953" s="105" customFormat="1" spans="9:12">
      <c r="I953" s="225"/>
      <c r="K953" s="9"/>
      <c r="L953" s="9"/>
    </row>
    <row r="954" s="105" customFormat="1" spans="9:12">
      <c r="I954" s="225"/>
      <c r="K954" s="9"/>
      <c r="L954" s="9"/>
    </row>
    <row r="955" s="105" customFormat="1" spans="9:12">
      <c r="I955" s="225"/>
      <c r="K955" s="9"/>
      <c r="L955" s="9"/>
    </row>
    <row r="956" s="105" customFormat="1" spans="9:12">
      <c r="I956" s="225"/>
      <c r="K956" s="9"/>
      <c r="L956" s="9"/>
    </row>
    <row r="957" s="105" customFormat="1" spans="9:12">
      <c r="I957" s="225"/>
      <c r="K957" s="9"/>
      <c r="L957" s="9"/>
    </row>
    <row r="958" s="105" customFormat="1" spans="9:12">
      <c r="I958" s="225"/>
      <c r="K958" s="9"/>
      <c r="L958" s="9"/>
    </row>
    <row r="959" s="105" customFormat="1" spans="9:12">
      <c r="I959" s="225"/>
      <c r="K959" s="9"/>
      <c r="L959" s="9"/>
    </row>
    <row r="960" s="105" customFormat="1" spans="9:12">
      <c r="I960" s="225"/>
      <c r="K960" s="9"/>
      <c r="L960" s="9"/>
    </row>
    <row r="961" s="105" customFormat="1" spans="9:12">
      <c r="I961" s="225"/>
      <c r="K961" s="9"/>
      <c r="L961" s="9"/>
    </row>
    <row r="962" s="105" customFormat="1" spans="9:12">
      <c r="I962" s="225"/>
      <c r="K962" s="9"/>
      <c r="L962" s="9"/>
    </row>
    <row r="963" s="105" customFormat="1" spans="9:12">
      <c r="I963" s="225"/>
      <c r="K963" s="9"/>
      <c r="L963" s="9"/>
    </row>
    <row r="964" s="105" customFormat="1" spans="9:12">
      <c r="I964" s="225"/>
      <c r="K964" s="9"/>
      <c r="L964" s="9"/>
    </row>
    <row r="965" s="105" customFormat="1" spans="9:12">
      <c r="I965" s="225"/>
      <c r="K965" s="9"/>
      <c r="L965" s="9"/>
    </row>
    <row r="966" s="105" customFormat="1" spans="9:12">
      <c r="I966" s="225"/>
      <c r="K966" s="9"/>
      <c r="L966" s="9"/>
    </row>
    <row r="967" s="105" customFormat="1" spans="9:12">
      <c r="I967" s="225"/>
      <c r="K967" s="9"/>
      <c r="L967" s="9"/>
    </row>
    <row r="968" s="105" customFormat="1" spans="9:12">
      <c r="I968" s="225"/>
      <c r="K968" s="9"/>
      <c r="L968" s="9"/>
    </row>
    <row r="969" s="105" customFormat="1" spans="9:12">
      <c r="I969" s="225"/>
      <c r="K969" s="9"/>
      <c r="L969" s="9"/>
    </row>
    <row r="970" s="105" customFormat="1" spans="9:12">
      <c r="I970" s="225"/>
      <c r="K970" s="9"/>
      <c r="L970" s="9"/>
    </row>
    <row r="971" s="105" customFormat="1" spans="9:12">
      <c r="I971" s="225"/>
      <c r="K971" s="9"/>
      <c r="L971" s="9"/>
    </row>
    <row r="972" s="105" customFormat="1" spans="9:12">
      <c r="I972" s="225"/>
      <c r="K972" s="9"/>
      <c r="L972" s="9"/>
    </row>
    <row r="973" s="105" customFormat="1" spans="9:12">
      <c r="I973" s="225"/>
      <c r="K973" s="9"/>
      <c r="L973" s="9"/>
    </row>
    <row r="974" s="105" customFormat="1" spans="9:12">
      <c r="I974" s="225"/>
      <c r="K974" s="9"/>
      <c r="L974" s="9"/>
    </row>
    <row r="975" s="105" customFormat="1" spans="9:12">
      <c r="I975" s="225"/>
      <c r="K975" s="9"/>
      <c r="L975" s="9"/>
    </row>
    <row r="976" s="105" customFormat="1" spans="9:12">
      <c r="I976" s="225"/>
      <c r="K976" s="9"/>
      <c r="L976" s="9"/>
    </row>
    <row r="977" s="105" customFormat="1" spans="9:12">
      <c r="I977" s="225"/>
      <c r="K977" s="9"/>
      <c r="L977" s="9"/>
    </row>
    <row r="978" s="105" customFormat="1" spans="9:12">
      <c r="I978" s="225"/>
      <c r="K978" s="9"/>
      <c r="L978" s="9"/>
    </row>
    <row r="979" s="105" customFormat="1" spans="9:12">
      <c r="I979" s="225"/>
      <c r="K979" s="9"/>
      <c r="L979" s="9"/>
    </row>
    <row r="980" s="105" customFormat="1" spans="9:12">
      <c r="I980" s="225"/>
      <c r="K980" s="9"/>
      <c r="L980" s="9"/>
    </row>
    <row r="981" s="105" customFormat="1" spans="9:12">
      <c r="I981" s="225"/>
      <c r="K981" s="9"/>
      <c r="L981" s="9"/>
    </row>
    <row r="982" s="105" customFormat="1" spans="9:12">
      <c r="I982" s="225"/>
      <c r="K982" s="9"/>
      <c r="L982" s="9"/>
    </row>
    <row r="983" s="105" customFormat="1" spans="9:12">
      <c r="I983" s="225"/>
      <c r="K983" s="9"/>
      <c r="L983" s="9"/>
    </row>
    <row r="984" s="105" customFormat="1" spans="9:12">
      <c r="I984" s="225"/>
      <c r="K984" s="9"/>
      <c r="L984" s="9"/>
    </row>
    <row r="985" s="105" customFormat="1" spans="9:12">
      <c r="I985" s="225"/>
      <c r="K985" s="9"/>
      <c r="L985" s="9"/>
    </row>
    <row r="986" s="105" customFormat="1" spans="9:12">
      <c r="I986" s="225"/>
      <c r="K986" s="9"/>
      <c r="L986" s="9"/>
    </row>
    <row r="987" s="105" customFormat="1" spans="9:12">
      <c r="I987" s="225"/>
      <c r="K987" s="9"/>
      <c r="L987" s="9"/>
    </row>
    <row r="988" s="105" customFormat="1" spans="9:12">
      <c r="I988" s="225"/>
      <c r="K988" s="9"/>
      <c r="L988" s="9"/>
    </row>
    <row r="989" s="105" customFormat="1" spans="9:12">
      <c r="I989" s="225"/>
      <c r="K989" s="9"/>
      <c r="L989" s="9"/>
    </row>
    <row r="990" s="105" customFormat="1" spans="9:12">
      <c r="I990" s="225"/>
      <c r="K990" s="9"/>
      <c r="L990" s="9"/>
    </row>
    <row r="991" s="105" customFormat="1" spans="9:12">
      <c r="I991" s="225"/>
      <c r="K991" s="9"/>
      <c r="L991" s="9"/>
    </row>
    <row r="992" s="105" customFormat="1" spans="9:12">
      <c r="I992" s="225"/>
      <c r="K992" s="9"/>
      <c r="L992" s="9"/>
    </row>
    <row r="993" s="105" customFormat="1" spans="9:12">
      <c r="I993" s="225"/>
      <c r="K993" s="9"/>
      <c r="L993" s="9"/>
    </row>
    <row r="994" s="105" customFormat="1" spans="9:12">
      <c r="I994" s="225"/>
      <c r="K994" s="9"/>
      <c r="L994" s="9"/>
    </row>
    <row r="995" s="105" customFormat="1" spans="9:12">
      <c r="I995" s="225"/>
      <c r="K995" s="9"/>
      <c r="L995" s="9"/>
    </row>
    <row r="996" s="105" customFormat="1" spans="9:12">
      <c r="I996" s="225"/>
      <c r="K996" s="9"/>
      <c r="L996" s="9"/>
    </row>
    <row r="997" s="105" customFormat="1" spans="9:12">
      <c r="I997" s="225"/>
      <c r="K997" s="9"/>
      <c r="L997" s="9"/>
    </row>
    <row r="998" s="105" customFormat="1" spans="9:12">
      <c r="I998" s="225"/>
      <c r="K998" s="9"/>
      <c r="L998" s="9"/>
    </row>
    <row r="999" s="105" customFormat="1" spans="9:12">
      <c r="I999" s="225"/>
      <c r="K999" s="9"/>
      <c r="L999" s="9"/>
    </row>
    <row r="1000" s="105" customFormat="1" spans="9:12">
      <c r="I1000" s="225"/>
      <c r="K1000" s="9"/>
      <c r="L1000" s="9"/>
    </row>
    <row r="1001" s="105" customFormat="1" spans="9:12">
      <c r="I1001" s="225"/>
      <c r="K1001" s="9"/>
      <c r="L1001" s="9"/>
    </row>
    <row r="1002" s="105" customFormat="1" spans="9:12">
      <c r="I1002" s="225"/>
      <c r="K1002" s="9"/>
      <c r="L1002" s="9"/>
    </row>
    <row r="1003" s="105" customFormat="1" spans="9:12">
      <c r="I1003" s="225"/>
      <c r="K1003" s="9"/>
      <c r="L1003" s="9"/>
    </row>
    <row r="1004" s="105" customFormat="1" spans="9:12">
      <c r="I1004" s="225"/>
      <c r="K1004" s="9"/>
      <c r="L1004" s="9"/>
    </row>
    <row r="1005" s="105" customFormat="1" spans="9:12">
      <c r="I1005" s="225"/>
      <c r="K1005" s="9"/>
      <c r="L1005" s="9"/>
    </row>
    <row r="1006" s="105" customFormat="1" spans="9:12">
      <c r="I1006" s="225"/>
      <c r="K1006" s="9"/>
      <c r="L1006" s="9"/>
    </row>
    <row r="1007" s="105" customFormat="1" spans="9:12">
      <c r="I1007" s="225"/>
      <c r="K1007" s="9"/>
      <c r="L1007" s="9"/>
    </row>
    <row r="1008" s="105" customFormat="1" spans="9:12">
      <c r="I1008" s="225"/>
      <c r="K1008" s="9"/>
      <c r="L1008" s="9"/>
    </row>
    <row r="1009" s="105" customFormat="1" spans="9:12">
      <c r="I1009" s="225"/>
      <c r="K1009" s="9"/>
      <c r="L1009" s="9"/>
    </row>
    <row r="1010" s="105" customFormat="1" spans="9:12">
      <c r="I1010" s="225"/>
      <c r="K1010" s="9"/>
      <c r="L1010" s="9"/>
    </row>
    <row r="1011" s="105" customFormat="1" spans="9:12">
      <c r="I1011" s="225"/>
      <c r="K1011" s="9"/>
      <c r="L1011" s="9"/>
    </row>
    <row r="1012" s="105" customFormat="1" spans="9:12">
      <c r="I1012" s="225"/>
      <c r="K1012" s="9"/>
      <c r="L1012" s="9"/>
    </row>
    <row r="1013" s="105" customFormat="1" spans="9:12">
      <c r="I1013" s="225"/>
      <c r="K1013" s="9"/>
      <c r="L1013" s="9"/>
    </row>
    <row r="1014" s="105" customFormat="1" spans="9:12">
      <c r="I1014" s="225"/>
      <c r="K1014" s="9"/>
      <c r="L1014" s="9"/>
    </row>
    <row r="1015" s="105" customFormat="1" spans="9:12">
      <c r="I1015" s="225"/>
      <c r="K1015" s="9"/>
      <c r="L1015" s="9"/>
    </row>
    <row r="1016" s="105" customFormat="1" spans="9:12">
      <c r="I1016" s="225"/>
      <c r="K1016" s="9"/>
      <c r="L1016" s="9"/>
    </row>
    <row r="1017" s="105" customFormat="1" spans="9:12">
      <c r="I1017" s="225"/>
      <c r="K1017" s="9"/>
      <c r="L1017" s="9"/>
    </row>
    <row r="1018" s="105" customFormat="1" spans="9:12">
      <c r="I1018" s="225"/>
      <c r="K1018" s="9"/>
      <c r="L1018" s="9"/>
    </row>
    <row r="1019" s="105" customFormat="1" spans="9:12">
      <c r="I1019" s="225"/>
      <c r="K1019" s="9"/>
      <c r="L1019" s="9"/>
    </row>
    <row r="1020" s="105" customFormat="1" spans="9:12">
      <c r="I1020" s="225"/>
      <c r="K1020" s="9"/>
      <c r="L1020" s="9"/>
    </row>
    <row r="1021" s="105" customFormat="1" spans="9:12">
      <c r="I1021" s="225"/>
      <c r="K1021" s="9"/>
      <c r="L1021" s="9"/>
    </row>
    <row r="1022" s="105" customFormat="1" spans="9:12">
      <c r="I1022" s="225"/>
      <c r="K1022" s="9"/>
      <c r="L1022" s="9"/>
    </row>
    <row r="1023" s="105" customFormat="1" spans="9:12">
      <c r="I1023" s="225"/>
      <c r="K1023" s="9"/>
      <c r="L1023" s="9"/>
    </row>
    <row r="1024" s="105" customFormat="1" spans="9:12">
      <c r="I1024" s="225"/>
      <c r="K1024" s="9"/>
      <c r="L1024" s="9"/>
    </row>
    <row r="1025" s="105" customFormat="1" spans="9:12">
      <c r="I1025" s="225"/>
      <c r="K1025" s="9"/>
      <c r="L1025" s="9"/>
    </row>
    <row r="1026" s="105" customFormat="1" spans="9:12">
      <c r="I1026" s="225"/>
      <c r="K1026" s="9"/>
      <c r="L1026" s="9"/>
    </row>
    <row r="1027" s="105" customFormat="1" spans="9:12">
      <c r="I1027" s="225"/>
      <c r="K1027" s="9"/>
      <c r="L1027" s="9"/>
    </row>
    <row r="1028" s="105" customFormat="1" spans="9:12">
      <c r="I1028" s="225"/>
      <c r="K1028" s="9"/>
      <c r="L1028" s="9"/>
    </row>
    <row r="1029" s="105" customFormat="1" spans="9:12">
      <c r="I1029" s="225"/>
      <c r="K1029" s="9"/>
      <c r="L1029" s="9"/>
    </row>
    <row r="1030" s="105" customFormat="1" spans="9:12">
      <c r="I1030" s="225"/>
      <c r="K1030" s="9"/>
      <c r="L1030" s="9"/>
    </row>
    <row r="1031" s="105" customFormat="1" spans="9:12">
      <c r="I1031" s="225"/>
      <c r="K1031" s="9"/>
      <c r="L1031" s="9"/>
    </row>
    <row r="1032" s="105" customFormat="1" spans="9:12">
      <c r="I1032" s="225"/>
      <c r="K1032" s="9"/>
      <c r="L1032" s="9"/>
    </row>
    <row r="1033" s="105" customFormat="1" spans="9:12">
      <c r="I1033" s="225"/>
      <c r="K1033" s="9"/>
      <c r="L1033" s="9"/>
    </row>
    <row r="1034" s="105" customFormat="1" spans="9:12">
      <c r="I1034" s="225"/>
      <c r="K1034" s="9"/>
      <c r="L1034" s="9"/>
    </row>
    <row r="1035" s="105" customFormat="1" spans="9:12">
      <c r="I1035" s="225"/>
      <c r="K1035" s="9"/>
      <c r="L1035" s="9"/>
    </row>
    <row r="1036" s="105" customFormat="1" spans="9:12">
      <c r="I1036" s="225"/>
      <c r="K1036" s="9"/>
      <c r="L1036" s="9"/>
    </row>
    <row r="1037" s="105" customFormat="1" spans="9:12">
      <c r="I1037" s="225"/>
      <c r="K1037" s="9"/>
      <c r="L1037" s="9"/>
    </row>
    <row r="1038" s="105" customFormat="1" spans="9:12">
      <c r="I1038" s="225"/>
      <c r="K1038" s="9"/>
      <c r="L1038" s="9"/>
    </row>
    <row r="1039" s="105" customFormat="1" spans="9:12">
      <c r="I1039" s="225"/>
      <c r="K1039" s="9"/>
      <c r="L1039" s="9"/>
    </row>
    <row r="1040" s="105" customFormat="1" spans="9:12">
      <c r="I1040" s="225"/>
      <c r="K1040" s="9"/>
      <c r="L1040" s="9"/>
    </row>
    <row r="1041" s="105" customFormat="1" spans="9:12">
      <c r="I1041" s="225"/>
      <c r="K1041" s="9"/>
      <c r="L1041" s="9"/>
    </row>
    <row r="1042" s="105" customFormat="1" spans="9:12">
      <c r="I1042" s="225"/>
      <c r="K1042" s="9"/>
      <c r="L1042" s="9"/>
    </row>
    <row r="1043" s="105" customFormat="1" spans="9:12">
      <c r="I1043" s="225"/>
      <c r="K1043" s="9"/>
      <c r="L1043" s="9"/>
    </row>
    <row r="1044" s="105" customFormat="1" spans="9:12">
      <c r="I1044" s="225"/>
      <c r="K1044" s="9"/>
      <c r="L1044" s="9"/>
    </row>
    <row r="1045" s="105" customFormat="1" spans="9:12">
      <c r="I1045" s="225"/>
      <c r="K1045" s="9"/>
      <c r="L1045" s="9"/>
    </row>
    <row r="1046" s="105" customFormat="1" spans="9:12">
      <c r="I1046" s="225"/>
      <c r="K1046" s="9"/>
      <c r="L1046" s="9"/>
    </row>
    <row r="1047" s="105" customFormat="1" spans="9:12">
      <c r="I1047" s="225"/>
      <c r="K1047" s="9"/>
      <c r="L1047" s="9"/>
    </row>
    <row r="1048" s="105" customFormat="1" spans="9:12">
      <c r="I1048" s="225"/>
      <c r="K1048" s="9"/>
      <c r="L1048" s="9"/>
    </row>
    <row r="1049" s="105" customFormat="1" spans="9:12">
      <c r="I1049" s="225"/>
      <c r="K1049" s="9"/>
      <c r="L1049" s="9"/>
    </row>
    <row r="1050" s="105" customFormat="1" spans="9:12">
      <c r="I1050" s="225"/>
      <c r="K1050" s="9"/>
      <c r="L1050" s="9"/>
    </row>
    <row r="1051" s="105" customFormat="1" spans="9:12">
      <c r="I1051" s="225"/>
      <c r="K1051" s="9"/>
      <c r="L1051" s="9"/>
    </row>
    <row r="1052" s="105" customFormat="1" spans="9:12">
      <c r="I1052" s="225"/>
      <c r="K1052" s="9"/>
      <c r="L1052" s="9"/>
    </row>
    <row r="1053" s="105" customFormat="1" spans="9:12">
      <c r="I1053" s="225"/>
      <c r="K1053" s="9"/>
      <c r="L1053" s="9"/>
    </row>
    <row r="1054" s="105" customFormat="1" spans="9:12">
      <c r="I1054" s="225"/>
      <c r="K1054" s="9"/>
      <c r="L1054" s="9"/>
    </row>
    <row r="1055" s="105" customFormat="1" spans="9:12">
      <c r="I1055" s="225"/>
      <c r="K1055" s="9"/>
      <c r="L1055" s="9"/>
    </row>
    <row r="1056" s="105" customFormat="1" spans="9:12">
      <c r="I1056" s="225"/>
      <c r="K1056" s="9"/>
      <c r="L1056" s="9"/>
    </row>
    <row r="1057" s="105" customFormat="1" spans="9:12">
      <c r="I1057" s="225"/>
      <c r="K1057" s="9"/>
      <c r="L1057" s="9"/>
    </row>
    <row r="1058" s="105" customFormat="1" spans="9:12">
      <c r="I1058" s="225"/>
      <c r="K1058" s="9"/>
      <c r="L1058" s="9"/>
    </row>
    <row r="1059" s="105" customFormat="1" spans="9:12">
      <c r="I1059" s="225"/>
      <c r="K1059" s="9"/>
      <c r="L1059" s="9"/>
    </row>
    <row r="1060" s="105" customFormat="1" spans="9:12">
      <c r="I1060" s="225"/>
      <c r="K1060" s="9"/>
      <c r="L1060" s="9"/>
    </row>
    <row r="1061" s="105" customFormat="1" spans="9:12">
      <c r="I1061" s="225"/>
      <c r="K1061" s="9"/>
      <c r="L1061" s="9"/>
    </row>
    <row r="1062" s="105" customFormat="1" spans="9:12">
      <c r="I1062" s="225"/>
      <c r="K1062" s="9"/>
      <c r="L1062" s="9"/>
    </row>
    <row r="1063" s="105" customFormat="1" spans="9:12">
      <c r="I1063" s="225"/>
      <c r="K1063" s="9"/>
      <c r="L1063" s="9"/>
    </row>
    <row r="1064" s="105" customFormat="1" spans="9:12">
      <c r="I1064" s="225"/>
      <c r="K1064" s="9"/>
      <c r="L1064" s="9"/>
    </row>
    <row r="1065" s="105" customFormat="1" spans="9:12">
      <c r="I1065" s="225"/>
      <c r="K1065" s="9"/>
      <c r="L1065" s="9"/>
    </row>
    <row r="1066" s="105" customFormat="1" spans="9:12">
      <c r="I1066" s="225"/>
      <c r="K1066" s="9"/>
      <c r="L1066" s="9"/>
    </row>
    <row r="1067" s="105" customFormat="1" spans="9:12">
      <c r="I1067" s="225"/>
      <c r="K1067" s="9"/>
      <c r="L1067" s="9"/>
    </row>
    <row r="1068" s="105" customFormat="1" spans="9:12">
      <c r="I1068" s="225"/>
      <c r="K1068" s="9"/>
      <c r="L1068" s="9"/>
    </row>
    <row r="1069" s="105" customFormat="1" spans="9:12">
      <c r="I1069" s="225"/>
      <c r="K1069" s="9"/>
      <c r="L1069" s="9"/>
    </row>
    <row r="1070" s="105" customFormat="1" spans="9:12">
      <c r="I1070" s="225"/>
      <c r="K1070" s="9"/>
      <c r="L1070" s="9"/>
    </row>
    <row r="1071" s="105" customFormat="1" spans="9:12">
      <c r="I1071" s="225"/>
      <c r="K1071" s="9"/>
      <c r="L1071" s="9"/>
    </row>
    <row r="1072" s="105" customFormat="1" spans="9:12">
      <c r="I1072" s="225"/>
      <c r="K1072" s="9"/>
      <c r="L1072" s="9"/>
    </row>
    <row r="1073" s="105" customFormat="1" spans="9:12">
      <c r="I1073" s="225"/>
      <c r="K1073" s="9"/>
      <c r="L1073" s="9"/>
    </row>
    <row r="1074" s="105" customFormat="1" spans="9:12">
      <c r="I1074" s="225"/>
      <c r="K1074" s="9"/>
      <c r="L1074" s="9"/>
    </row>
    <row r="1075" s="105" customFormat="1" spans="9:12">
      <c r="I1075" s="225"/>
      <c r="K1075" s="9"/>
      <c r="L1075" s="9"/>
    </row>
    <row r="1076" s="105" customFormat="1" spans="9:12">
      <c r="I1076" s="225"/>
      <c r="K1076" s="9"/>
      <c r="L1076" s="9"/>
    </row>
    <row r="1077" s="105" customFormat="1" spans="9:12">
      <c r="I1077" s="225"/>
      <c r="K1077" s="9"/>
      <c r="L1077" s="9"/>
    </row>
    <row r="1078" s="105" customFormat="1" spans="9:12">
      <c r="I1078" s="225"/>
      <c r="K1078" s="9"/>
      <c r="L1078" s="9"/>
    </row>
    <row r="1079" s="105" customFormat="1" spans="9:12">
      <c r="I1079" s="225"/>
      <c r="K1079" s="9"/>
      <c r="L1079" s="9"/>
    </row>
    <row r="1080" s="105" customFormat="1" spans="9:12">
      <c r="I1080" s="225"/>
      <c r="K1080" s="9"/>
      <c r="L1080" s="9"/>
    </row>
    <row r="1081" s="105" customFormat="1" spans="9:12">
      <c r="I1081" s="225"/>
      <c r="K1081" s="9"/>
      <c r="L1081" s="9"/>
    </row>
    <row r="1082" s="105" customFormat="1" spans="9:12">
      <c r="I1082" s="225"/>
      <c r="K1082" s="9"/>
      <c r="L1082" s="9"/>
    </row>
    <row r="1083" s="105" customFormat="1" spans="9:12">
      <c r="I1083" s="225"/>
      <c r="K1083" s="9"/>
      <c r="L1083" s="9"/>
    </row>
    <row r="1084" s="105" customFormat="1" spans="9:12">
      <c r="I1084" s="225"/>
      <c r="K1084" s="9"/>
      <c r="L1084" s="9"/>
    </row>
    <row r="1085" s="105" customFormat="1" spans="9:12">
      <c r="I1085" s="225"/>
      <c r="K1085" s="9"/>
      <c r="L1085" s="9"/>
    </row>
    <row r="1086" s="105" customFormat="1" spans="9:12">
      <c r="I1086" s="225"/>
      <c r="K1086" s="9"/>
      <c r="L1086" s="9"/>
    </row>
    <row r="1087" s="105" customFormat="1" spans="9:12">
      <c r="I1087" s="225"/>
      <c r="K1087" s="9"/>
      <c r="L1087" s="9"/>
    </row>
    <row r="1088" s="105" customFormat="1" spans="9:12">
      <c r="I1088" s="225"/>
      <c r="K1088" s="9"/>
      <c r="L1088" s="9"/>
    </row>
    <row r="1089" s="105" customFormat="1" spans="9:12">
      <c r="I1089" s="225"/>
      <c r="K1089" s="9"/>
      <c r="L1089" s="9"/>
    </row>
    <row r="1090" s="105" customFormat="1" spans="9:12">
      <c r="I1090" s="225"/>
      <c r="K1090" s="9"/>
      <c r="L1090" s="9"/>
    </row>
    <row r="1091" s="105" customFormat="1" spans="9:12">
      <c r="I1091" s="225"/>
      <c r="K1091" s="9"/>
      <c r="L1091" s="9"/>
    </row>
    <row r="1092" s="105" customFormat="1" spans="9:12">
      <c r="I1092" s="225"/>
      <c r="K1092" s="9"/>
      <c r="L1092" s="9"/>
    </row>
    <row r="1093" s="105" customFormat="1" spans="9:12">
      <c r="I1093" s="225"/>
      <c r="K1093" s="9"/>
      <c r="L1093" s="9"/>
    </row>
    <row r="1094" s="105" customFormat="1" spans="9:12">
      <c r="I1094" s="225"/>
      <c r="K1094" s="9"/>
      <c r="L1094" s="9"/>
    </row>
    <row r="1095" s="105" customFormat="1" spans="9:12">
      <c r="I1095" s="225"/>
      <c r="K1095" s="9"/>
      <c r="L1095" s="9"/>
    </row>
    <row r="1096" s="105" customFormat="1" spans="9:12">
      <c r="I1096" s="225"/>
      <c r="K1096" s="9"/>
      <c r="L1096" s="9"/>
    </row>
    <row r="1097" s="105" customFormat="1" spans="9:12">
      <c r="I1097" s="225"/>
      <c r="K1097" s="9"/>
      <c r="L1097" s="9"/>
    </row>
    <row r="1098" s="105" customFormat="1" spans="9:12">
      <c r="I1098" s="225"/>
      <c r="K1098" s="9"/>
      <c r="L1098" s="9"/>
    </row>
    <row r="1099" s="105" customFormat="1" spans="9:12">
      <c r="I1099" s="225"/>
      <c r="K1099" s="9"/>
      <c r="L1099" s="9"/>
    </row>
    <row r="1100" s="105" customFormat="1" spans="9:12">
      <c r="I1100" s="225"/>
      <c r="K1100" s="9"/>
      <c r="L1100" s="9"/>
    </row>
    <row r="1101" s="105" customFormat="1" spans="9:12">
      <c r="I1101" s="225"/>
      <c r="K1101" s="9"/>
      <c r="L1101" s="9"/>
    </row>
    <row r="1102" s="105" customFormat="1" spans="9:12">
      <c r="I1102" s="225"/>
      <c r="K1102" s="9"/>
      <c r="L1102" s="9"/>
    </row>
    <row r="1103" s="105" customFormat="1" spans="9:12">
      <c r="I1103" s="225"/>
      <c r="K1103" s="9"/>
      <c r="L1103" s="9"/>
    </row>
    <row r="1104" s="105" customFormat="1" spans="9:12">
      <c r="I1104" s="225"/>
      <c r="K1104" s="9"/>
      <c r="L1104" s="9"/>
    </row>
    <row r="1105" s="105" customFormat="1" spans="9:12">
      <c r="I1105" s="225"/>
      <c r="K1105" s="9"/>
      <c r="L1105" s="9"/>
    </row>
    <row r="1106" s="105" customFormat="1" spans="9:12">
      <c r="I1106" s="225"/>
      <c r="K1106" s="9"/>
      <c r="L1106" s="9"/>
    </row>
    <row r="1107" s="105" customFormat="1" spans="9:12">
      <c r="I1107" s="225"/>
      <c r="K1107" s="9"/>
      <c r="L1107" s="9"/>
    </row>
    <row r="1108" s="105" customFormat="1" spans="9:12">
      <c r="I1108" s="225"/>
      <c r="K1108" s="9"/>
      <c r="L1108" s="9"/>
    </row>
    <row r="1109" s="105" customFormat="1" spans="9:12">
      <c r="I1109" s="225"/>
      <c r="K1109" s="9"/>
      <c r="L1109" s="9"/>
    </row>
    <row r="1110" s="105" customFormat="1" spans="9:12">
      <c r="I1110" s="225"/>
      <c r="K1110" s="9"/>
      <c r="L1110" s="9"/>
    </row>
    <row r="1111" s="105" customFormat="1" spans="9:12">
      <c r="I1111" s="225"/>
      <c r="K1111" s="9"/>
      <c r="L1111" s="9"/>
    </row>
    <row r="1112" s="105" customFormat="1" spans="9:12">
      <c r="I1112" s="225"/>
      <c r="K1112" s="9"/>
      <c r="L1112" s="9"/>
    </row>
    <row r="1113" s="105" customFormat="1" spans="9:12">
      <c r="I1113" s="225"/>
      <c r="K1113" s="9"/>
      <c r="L1113" s="9"/>
    </row>
    <row r="1114" s="105" customFormat="1" spans="9:12">
      <c r="I1114" s="225"/>
      <c r="K1114" s="9"/>
      <c r="L1114" s="9"/>
    </row>
    <row r="1115" s="105" customFormat="1" spans="9:12">
      <c r="I1115" s="225"/>
      <c r="K1115" s="9"/>
      <c r="L1115" s="9"/>
    </row>
    <row r="1116" s="105" customFormat="1" spans="9:12">
      <c r="I1116" s="225"/>
      <c r="K1116" s="9"/>
      <c r="L1116" s="9"/>
    </row>
    <row r="1117" s="105" customFormat="1" spans="9:12">
      <c r="I1117" s="225"/>
      <c r="K1117" s="9"/>
      <c r="L1117" s="9"/>
    </row>
    <row r="1118" s="105" customFormat="1" spans="9:12">
      <c r="I1118" s="225"/>
      <c r="K1118" s="9"/>
      <c r="L1118" s="9"/>
    </row>
    <row r="1119" s="105" customFormat="1" spans="9:12">
      <c r="I1119" s="225"/>
      <c r="K1119" s="9"/>
      <c r="L1119" s="9"/>
    </row>
    <row r="1120" s="105" customFormat="1" spans="9:12">
      <c r="I1120" s="225"/>
      <c r="K1120" s="9"/>
      <c r="L1120" s="9"/>
    </row>
    <row r="1121" s="105" customFormat="1" spans="9:12">
      <c r="I1121" s="225"/>
      <c r="K1121" s="9"/>
      <c r="L1121" s="9"/>
    </row>
    <row r="1122" s="105" customFormat="1" spans="9:12">
      <c r="I1122" s="225"/>
      <c r="K1122" s="9"/>
      <c r="L1122" s="9"/>
    </row>
    <row r="1123" s="105" customFormat="1" spans="9:12">
      <c r="I1123" s="225"/>
      <c r="K1123" s="9"/>
      <c r="L1123" s="9"/>
    </row>
    <row r="1124" s="105" customFormat="1" spans="9:12">
      <c r="I1124" s="225"/>
      <c r="K1124" s="9"/>
      <c r="L1124" s="9"/>
    </row>
    <row r="1125" s="105" customFormat="1" spans="9:12">
      <c r="I1125" s="225"/>
      <c r="K1125" s="9"/>
      <c r="L1125" s="9"/>
    </row>
    <row r="1126" s="105" customFormat="1" spans="9:12">
      <c r="I1126" s="225"/>
      <c r="K1126" s="9"/>
      <c r="L1126" s="9"/>
    </row>
    <row r="1127" s="105" customFormat="1" spans="9:12">
      <c r="I1127" s="225"/>
      <c r="K1127" s="9"/>
      <c r="L1127" s="9"/>
    </row>
    <row r="1128" s="105" customFormat="1" spans="9:12">
      <c r="I1128" s="225"/>
      <c r="K1128" s="9"/>
      <c r="L1128" s="9"/>
    </row>
    <row r="1129" s="105" customFormat="1" spans="9:12">
      <c r="I1129" s="225"/>
      <c r="K1129" s="9"/>
      <c r="L1129" s="9"/>
    </row>
    <row r="1130" s="105" customFormat="1" spans="9:12">
      <c r="I1130" s="225"/>
      <c r="K1130" s="9"/>
      <c r="L1130" s="9"/>
    </row>
    <row r="1131" s="105" customFormat="1" spans="9:12">
      <c r="I1131" s="225"/>
      <c r="K1131" s="9"/>
      <c r="L1131" s="9"/>
    </row>
    <row r="1132" s="105" customFormat="1" spans="9:12">
      <c r="I1132" s="225"/>
      <c r="K1132" s="9"/>
      <c r="L1132" s="9"/>
    </row>
    <row r="1133" s="105" customFormat="1" spans="9:12">
      <c r="I1133" s="225"/>
      <c r="K1133" s="9"/>
      <c r="L1133" s="9"/>
    </row>
    <row r="1134" s="105" customFormat="1" spans="9:12">
      <c r="I1134" s="225"/>
      <c r="K1134" s="9"/>
      <c r="L1134" s="9"/>
    </row>
    <row r="1135" s="105" customFormat="1" spans="9:12">
      <c r="I1135" s="225"/>
      <c r="K1135" s="9"/>
      <c r="L1135" s="9"/>
    </row>
    <row r="1136" s="105" customFormat="1" spans="9:12">
      <c r="I1136" s="225"/>
      <c r="K1136" s="9"/>
      <c r="L1136" s="9"/>
    </row>
    <row r="1137" s="105" customFormat="1" spans="9:12">
      <c r="I1137" s="225"/>
      <c r="K1137" s="9"/>
      <c r="L1137" s="9"/>
    </row>
    <row r="1138" s="105" customFormat="1" spans="9:12">
      <c r="I1138" s="225"/>
      <c r="K1138" s="9"/>
      <c r="L1138" s="9"/>
    </row>
    <row r="1139" s="105" customFormat="1" spans="9:12">
      <c r="I1139" s="225"/>
      <c r="K1139" s="9"/>
      <c r="L1139" s="9"/>
    </row>
    <row r="1140" s="105" customFormat="1" spans="9:12">
      <c r="I1140" s="225"/>
      <c r="K1140" s="9"/>
      <c r="L1140" s="9"/>
    </row>
    <row r="1141" s="105" customFormat="1" spans="9:12">
      <c r="I1141" s="225"/>
      <c r="K1141" s="9"/>
      <c r="L1141" s="9"/>
    </row>
    <row r="1142" s="105" customFormat="1" spans="9:12">
      <c r="I1142" s="225"/>
      <c r="K1142" s="9"/>
      <c r="L1142" s="9"/>
    </row>
    <row r="1143" s="105" customFormat="1" spans="9:12">
      <c r="I1143" s="225"/>
      <c r="K1143" s="9"/>
      <c r="L1143" s="9"/>
    </row>
    <row r="1144" s="105" customFormat="1" spans="9:12">
      <c r="I1144" s="225"/>
      <c r="K1144" s="9"/>
      <c r="L1144" s="9"/>
    </row>
    <row r="1145" s="105" customFormat="1" spans="9:12">
      <c r="I1145" s="225"/>
      <c r="K1145" s="9"/>
      <c r="L1145" s="9"/>
    </row>
    <row r="1146" s="105" customFormat="1" spans="9:12">
      <c r="I1146" s="225"/>
      <c r="K1146" s="9"/>
      <c r="L1146" s="9"/>
    </row>
    <row r="1147" s="105" customFormat="1" spans="9:12">
      <c r="I1147" s="225"/>
      <c r="K1147" s="9"/>
      <c r="L1147" s="9"/>
    </row>
    <row r="1148" s="105" customFormat="1" spans="9:12">
      <c r="I1148" s="225"/>
      <c r="K1148" s="9"/>
      <c r="L1148" s="9"/>
    </row>
    <row r="1149" s="105" customFormat="1" spans="9:12">
      <c r="I1149" s="225"/>
      <c r="K1149" s="9"/>
      <c r="L1149" s="9"/>
    </row>
    <row r="1150" s="105" customFormat="1" spans="9:12">
      <c r="I1150" s="225"/>
      <c r="K1150" s="9"/>
      <c r="L1150" s="9"/>
    </row>
    <row r="1151" s="105" customFormat="1" spans="9:12">
      <c r="I1151" s="225"/>
      <c r="K1151" s="9"/>
      <c r="L1151" s="9"/>
    </row>
    <row r="1152" s="105" customFormat="1" spans="9:12">
      <c r="I1152" s="225"/>
      <c r="K1152" s="9"/>
      <c r="L1152" s="9"/>
    </row>
    <row r="1153" s="105" customFormat="1" spans="9:12">
      <c r="I1153" s="225"/>
      <c r="K1153" s="9"/>
      <c r="L1153" s="9"/>
    </row>
    <row r="1154" s="105" customFormat="1" spans="9:12">
      <c r="I1154" s="225"/>
      <c r="K1154" s="9"/>
      <c r="L1154" s="9"/>
    </row>
    <row r="1155" s="105" customFormat="1" spans="9:12">
      <c r="I1155" s="225"/>
      <c r="K1155" s="9"/>
      <c r="L1155" s="9"/>
    </row>
    <row r="1156" s="105" customFormat="1" spans="9:12">
      <c r="I1156" s="225"/>
      <c r="K1156" s="9"/>
      <c r="L1156" s="9"/>
    </row>
    <row r="1157" s="105" customFormat="1" spans="9:12">
      <c r="I1157" s="225"/>
      <c r="K1157" s="9"/>
      <c r="L1157" s="9"/>
    </row>
    <row r="1158" s="105" customFormat="1" spans="9:12">
      <c r="I1158" s="225"/>
      <c r="K1158" s="9"/>
      <c r="L1158" s="9"/>
    </row>
    <row r="1159" s="105" customFormat="1" spans="9:12">
      <c r="I1159" s="225"/>
      <c r="K1159" s="9"/>
      <c r="L1159" s="9"/>
    </row>
    <row r="1160" s="105" customFormat="1" spans="9:12">
      <c r="I1160" s="225"/>
      <c r="K1160" s="9"/>
      <c r="L1160" s="9"/>
    </row>
    <row r="1161" s="105" customFormat="1" spans="9:12">
      <c r="I1161" s="225"/>
      <c r="K1161" s="9"/>
      <c r="L1161" s="9"/>
    </row>
    <row r="1162" s="105" customFormat="1" spans="9:12">
      <c r="I1162" s="225"/>
      <c r="K1162" s="9"/>
      <c r="L1162" s="9"/>
    </row>
    <row r="1163" s="105" customFormat="1" spans="9:12">
      <c r="I1163" s="225"/>
      <c r="K1163" s="9"/>
      <c r="L1163" s="9"/>
    </row>
    <row r="1164" s="105" customFormat="1" spans="9:12">
      <c r="I1164" s="225"/>
      <c r="K1164" s="9"/>
      <c r="L1164" s="9"/>
    </row>
    <row r="1165" s="105" customFormat="1" spans="9:12">
      <c r="I1165" s="225"/>
      <c r="K1165" s="9"/>
      <c r="L1165" s="9"/>
    </row>
    <row r="1166" s="105" customFormat="1" spans="9:12">
      <c r="I1166" s="225"/>
      <c r="K1166" s="9"/>
      <c r="L1166" s="9"/>
    </row>
    <row r="1167" s="105" customFormat="1" spans="9:12">
      <c r="I1167" s="225"/>
      <c r="K1167" s="9"/>
      <c r="L1167" s="9"/>
    </row>
    <row r="1168" s="105" customFormat="1" spans="9:12">
      <c r="I1168" s="225"/>
      <c r="K1168" s="9"/>
      <c r="L1168" s="9"/>
    </row>
    <row r="1169" s="105" customFormat="1" spans="9:12">
      <c r="I1169" s="225"/>
      <c r="K1169" s="9"/>
      <c r="L1169" s="9"/>
    </row>
    <row r="1170" s="105" customFormat="1" spans="9:12">
      <c r="I1170" s="225"/>
      <c r="K1170" s="9"/>
      <c r="L1170" s="9"/>
    </row>
    <row r="1171" s="105" customFormat="1" spans="9:12">
      <c r="I1171" s="225"/>
      <c r="K1171" s="9"/>
      <c r="L1171" s="9"/>
    </row>
    <row r="1172" s="105" customFormat="1" spans="9:12">
      <c r="I1172" s="225"/>
      <c r="K1172" s="9"/>
      <c r="L1172" s="9"/>
    </row>
    <row r="1173" s="105" customFormat="1" spans="9:12">
      <c r="I1173" s="225"/>
      <c r="K1173" s="9"/>
      <c r="L1173" s="9"/>
    </row>
    <row r="1174" s="105" customFormat="1" spans="9:12">
      <c r="I1174" s="225"/>
      <c r="K1174" s="9"/>
      <c r="L1174" s="9"/>
    </row>
    <row r="1175" s="105" customFormat="1" spans="9:12">
      <c r="I1175" s="225"/>
      <c r="K1175" s="9"/>
      <c r="L1175" s="9"/>
    </row>
    <row r="1176" s="105" customFormat="1" spans="9:12">
      <c r="I1176" s="225"/>
      <c r="K1176" s="9"/>
      <c r="L1176" s="9"/>
    </row>
    <row r="1177" s="105" customFormat="1" spans="9:12">
      <c r="I1177" s="225"/>
      <c r="K1177" s="9"/>
      <c r="L1177" s="9"/>
    </row>
    <row r="1178" s="105" customFormat="1" spans="9:12">
      <c r="I1178" s="225"/>
      <c r="K1178" s="9"/>
      <c r="L1178" s="9"/>
    </row>
    <row r="1179" s="105" customFormat="1" spans="9:12">
      <c r="I1179" s="225"/>
      <c r="K1179" s="9"/>
      <c r="L1179" s="9"/>
    </row>
    <row r="1180" s="105" customFormat="1" spans="9:12">
      <c r="I1180" s="225"/>
      <c r="K1180" s="9"/>
      <c r="L1180" s="9"/>
    </row>
    <row r="1181" s="105" customFormat="1" spans="9:12">
      <c r="I1181" s="225"/>
      <c r="K1181" s="9"/>
      <c r="L1181" s="9"/>
    </row>
    <row r="1182" s="105" customFormat="1" spans="9:12">
      <c r="I1182" s="225"/>
      <c r="K1182" s="9"/>
      <c r="L1182" s="9"/>
    </row>
    <row r="1183" s="105" customFormat="1" spans="9:12">
      <c r="I1183" s="225"/>
      <c r="K1183" s="9"/>
      <c r="L1183" s="9"/>
    </row>
    <row r="1184" s="105" customFormat="1" spans="9:12">
      <c r="I1184" s="225"/>
      <c r="K1184" s="9"/>
      <c r="L1184" s="9"/>
    </row>
    <row r="1185" s="105" customFormat="1" spans="9:12">
      <c r="I1185" s="225"/>
      <c r="K1185" s="9"/>
      <c r="L1185" s="9"/>
    </row>
    <row r="1186" s="105" customFormat="1" spans="9:12">
      <c r="I1186" s="225"/>
      <c r="K1186" s="9"/>
      <c r="L1186" s="9"/>
    </row>
    <row r="1187" s="105" customFormat="1" spans="9:12">
      <c r="I1187" s="225"/>
      <c r="K1187" s="9"/>
      <c r="L1187" s="9"/>
    </row>
    <row r="1188" s="105" customFormat="1" spans="9:12">
      <c r="I1188" s="225"/>
      <c r="K1188" s="9"/>
      <c r="L1188" s="9"/>
    </row>
    <row r="1189" s="105" customFormat="1" spans="9:12">
      <c r="I1189" s="225"/>
      <c r="K1189" s="9"/>
      <c r="L1189" s="9"/>
    </row>
    <row r="1190" s="105" customFormat="1" spans="9:12">
      <c r="I1190" s="225"/>
      <c r="K1190" s="9"/>
      <c r="L1190" s="9"/>
    </row>
    <row r="1191" s="105" customFormat="1" spans="9:12">
      <c r="I1191" s="225"/>
      <c r="K1191" s="9"/>
      <c r="L1191" s="9"/>
    </row>
    <row r="1192" s="105" customFormat="1" spans="9:12">
      <c r="I1192" s="225"/>
      <c r="K1192" s="9"/>
      <c r="L1192" s="9"/>
    </row>
    <row r="1193" s="105" customFormat="1" spans="9:12">
      <c r="I1193" s="225"/>
      <c r="K1193" s="9"/>
      <c r="L1193" s="9"/>
    </row>
    <row r="1194" s="105" customFormat="1" spans="9:12">
      <c r="I1194" s="225"/>
      <c r="K1194" s="9"/>
      <c r="L1194" s="9"/>
    </row>
    <row r="1195" s="105" customFormat="1" spans="9:12">
      <c r="I1195" s="225"/>
      <c r="K1195" s="9"/>
      <c r="L1195" s="9"/>
    </row>
    <row r="1196" s="105" customFormat="1" spans="9:12">
      <c r="I1196" s="225"/>
      <c r="K1196" s="9"/>
      <c r="L1196" s="9"/>
    </row>
    <row r="1197" s="105" customFormat="1" spans="9:12">
      <c r="I1197" s="225"/>
      <c r="K1197" s="9"/>
      <c r="L1197" s="9"/>
    </row>
    <row r="1198" s="105" customFormat="1" spans="9:12">
      <c r="I1198" s="225"/>
      <c r="K1198" s="9"/>
      <c r="L1198" s="9"/>
    </row>
    <row r="1199" s="105" customFormat="1" spans="9:12">
      <c r="I1199" s="225"/>
      <c r="K1199" s="9"/>
      <c r="L1199" s="9"/>
    </row>
    <row r="1200" s="105" customFormat="1" spans="9:12">
      <c r="I1200" s="225"/>
      <c r="K1200" s="9"/>
      <c r="L1200" s="9"/>
    </row>
    <row r="1201" s="105" customFormat="1" spans="9:12">
      <c r="I1201" s="225"/>
      <c r="K1201" s="9"/>
      <c r="L1201" s="9"/>
    </row>
    <row r="1202" s="105" customFormat="1" spans="9:12">
      <c r="I1202" s="225"/>
      <c r="K1202" s="9"/>
      <c r="L1202" s="9"/>
    </row>
    <row r="1203" s="105" customFormat="1" spans="9:12">
      <c r="I1203" s="225"/>
      <c r="K1203" s="9"/>
      <c r="L1203" s="9"/>
    </row>
    <row r="1204" s="105" customFormat="1" spans="9:12">
      <c r="I1204" s="225"/>
      <c r="K1204" s="9"/>
      <c r="L1204" s="9"/>
    </row>
    <row r="1205" s="105" customFormat="1" spans="9:12">
      <c r="I1205" s="225"/>
      <c r="K1205" s="9"/>
      <c r="L1205" s="9"/>
    </row>
    <row r="1206" s="105" customFormat="1" spans="9:12">
      <c r="I1206" s="225"/>
      <c r="K1206" s="9"/>
      <c r="L1206" s="9"/>
    </row>
    <row r="1207" s="105" customFormat="1" spans="9:12">
      <c r="I1207" s="225"/>
      <c r="K1207" s="9"/>
      <c r="L1207" s="9"/>
    </row>
    <row r="1208" s="105" customFormat="1" spans="9:12">
      <c r="I1208" s="225"/>
      <c r="K1208" s="9"/>
      <c r="L1208" s="9"/>
    </row>
    <row r="1209" s="105" customFormat="1" spans="9:12">
      <c r="I1209" s="225"/>
      <c r="K1209" s="9"/>
      <c r="L1209" s="9"/>
    </row>
    <row r="1210" s="105" customFormat="1" spans="9:12">
      <c r="I1210" s="225"/>
      <c r="K1210" s="9"/>
      <c r="L1210" s="9"/>
    </row>
    <row r="1211" s="105" customFormat="1" spans="9:12">
      <c r="I1211" s="225"/>
      <c r="K1211" s="9"/>
      <c r="L1211" s="9"/>
    </row>
    <row r="1212" s="105" customFormat="1" spans="9:12">
      <c r="I1212" s="225"/>
      <c r="K1212" s="9"/>
      <c r="L1212" s="9"/>
    </row>
    <row r="1213" s="105" customFormat="1" spans="9:12">
      <c r="I1213" s="225"/>
      <c r="K1213" s="9"/>
      <c r="L1213" s="9"/>
    </row>
    <row r="1214" s="105" customFormat="1" spans="9:12">
      <c r="I1214" s="225"/>
      <c r="K1214" s="9"/>
      <c r="L1214" s="9"/>
    </row>
    <row r="1215" s="105" customFormat="1" spans="9:12">
      <c r="I1215" s="225"/>
      <c r="K1215" s="9"/>
      <c r="L1215" s="9"/>
    </row>
    <row r="1216" s="105" customFormat="1" spans="9:12">
      <c r="I1216" s="225"/>
      <c r="K1216" s="9"/>
      <c r="L1216" s="9"/>
    </row>
    <row r="1217" s="105" customFormat="1" spans="9:12">
      <c r="I1217" s="225"/>
      <c r="K1217" s="9"/>
      <c r="L1217" s="9"/>
    </row>
    <row r="1218" s="105" customFormat="1" spans="9:12">
      <c r="I1218" s="225"/>
      <c r="K1218" s="9"/>
      <c r="L1218" s="9"/>
    </row>
    <row r="1219" s="105" customFormat="1" spans="9:12">
      <c r="I1219" s="225"/>
      <c r="K1219" s="9"/>
      <c r="L1219" s="9"/>
    </row>
    <row r="1220" s="105" customFormat="1" spans="9:12">
      <c r="I1220" s="225"/>
      <c r="K1220" s="9"/>
      <c r="L1220" s="9"/>
    </row>
    <row r="1221" s="105" customFormat="1" spans="9:12">
      <c r="I1221" s="225"/>
      <c r="K1221" s="9"/>
      <c r="L1221" s="9"/>
    </row>
    <row r="1222" s="105" customFormat="1" spans="9:12">
      <c r="I1222" s="225"/>
      <c r="K1222" s="9"/>
      <c r="L1222" s="9"/>
    </row>
    <row r="1223" s="105" customFormat="1" spans="9:12">
      <c r="I1223" s="225"/>
      <c r="K1223" s="9"/>
      <c r="L1223" s="9"/>
    </row>
    <row r="1224" s="105" customFormat="1" spans="9:12">
      <c r="I1224" s="225"/>
      <c r="K1224" s="9"/>
      <c r="L1224" s="9"/>
    </row>
    <row r="1225" s="105" customFormat="1" spans="9:12">
      <c r="I1225" s="225"/>
      <c r="K1225" s="9"/>
      <c r="L1225" s="9"/>
    </row>
    <row r="1226" s="105" customFormat="1" spans="9:12">
      <c r="I1226" s="225"/>
      <c r="K1226" s="9"/>
      <c r="L1226" s="9"/>
    </row>
    <row r="1227" s="105" customFormat="1" spans="9:12">
      <c r="I1227" s="225"/>
      <c r="K1227" s="9"/>
      <c r="L1227" s="9"/>
    </row>
    <row r="1228" s="105" customFormat="1" spans="9:12">
      <c r="I1228" s="225"/>
      <c r="K1228" s="9"/>
      <c r="L1228" s="9"/>
    </row>
    <row r="1229" s="105" customFormat="1" spans="9:12">
      <c r="I1229" s="225"/>
      <c r="K1229" s="9"/>
      <c r="L1229" s="9"/>
    </row>
    <row r="1230" s="105" customFormat="1" spans="9:12">
      <c r="I1230" s="225"/>
      <c r="K1230" s="9"/>
      <c r="L1230" s="9"/>
    </row>
    <row r="1231" s="105" customFormat="1" spans="9:12">
      <c r="I1231" s="225"/>
      <c r="K1231" s="9"/>
      <c r="L1231" s="9"/>
    </row>
    <row r="1232" s="105" customFormat="1" spans="9:12">
      <c r="I1232" s="225"/>
      <c r="K1232" s="9"/>
      <c r="L1232" s="9"/>
    </row>
    <row r="1233" s="105" customFormat="1" spans="9:12">
      <c r="I1233" s="225"/>
      <c r="K1233" s="9"/>
      <c r="L1233" s="9"/>
    </row>
    <row r="1234" s="105" customFormat="1" spans="9:12">
      <c r="I1234" s="225"/>
      <c r="K1234" s="9"/>
      <c r="L1234" s="9"/>
    </row>
    <row r="1235" s="105" customFormat="1" spans="9:12">
      <c r="I1235" s="225"/>
      <c r="K1235" s="9"/>
      <c r="L1235" s="9"/>
    </row>
    <row r="1236" s="105" customFormat="1" spans="9:12">
      <c r="I1236" s="225"/>
      <c r="K1236" s="9"/>
      <c r="L1236" s="9"/>
    </row>
    <row r="1237" s="105" customFormat="1" spans="9:12">
      <c r="I1237" s="225"/>
      <c r="K1237" s="9"/>
      <c r="L1237" s="9"/>
    </row>
    <row r="1238" s="105" customFormat="1" spans="9:12">
      <c r="I1238" s="225"/>
      <c r="K1238" s="9"/>
      <c r="L1238" s="9"/>
    </row>
    <row r="1239" s="105" customFormat="1" spans="9:12">
      <c r="I1239" s="225"/>
      <c r="K1239" s="9"/>
      <c r="L1239" s="9"/>
    </row>
    <row r="1240" s="105" customFormat="1" spans="9:12">
      <c r="I1240" s="225"/>
      <c r="K1240" s="9"/>
      <c r="L1240" s="9"/>
    </row>
    <row r="1241" s="105" customFormat="1" spans="9:12">
      <c r="I1241" s="225"/>
      <c r="K1241" s="9"/>
      <c r="L1241" s="9"/>
    </row>
    <row r="1242" s="105" customFormat="1" spans="9:12">
      <c r="I1242" s="225"/>
      <c r="K1242" s="9"/>
      <c r="L1242" s="9"/>
    </row>
    <row r="1243" s="105" customFormat="1" spans="9:12">
      <c r="I1243" s="225"/>
      <c r="K1243" s="9"/>
      <c r="L1243" s="9"/>
    </row>
    <row r="1244" s="105" customFormat="1" spans="9:12">
      <c r="I1244" s="225"/>
      <c r="K1244" s="9"/>
      <c r="L1244" s="9"/>
    </row>
    <row r="1245" s="105" customFormat="1" spans="9:12">
      <c r="I1245" s="225"/>
      <c r="K1245" s="9"/>
      <c r="L1245" s="9"/>
    </row>
    <row r="1246" s="105" customFormat="1" spans="9:12">
      <c r="I1246" s="225"/>
      <c r="K1246" s="9"/>
      <c r="L1246" s="9"/>
    </row>
    <row r="1247" s="105" customFormat="1" spans="9:12">
      <c r="I1247" s="225"/>
      <c r="K1247" s="9"/>
      <c r="L1247" s="9"/>
    </row>
    <row r="1248" s="105" customFormat="1" spans="9:12">
      <c r="I1248" s="225"/>
      <c r="K1248" s="9"/>
      <c r="L1248" s="9"/>
    </row>
    <row r="1249" s="105" customFormat="1" spans="9:12">
      <c r="I1249" s="225"/>
      <c r="K1249" s="9"/>
      <c r="L1249" s="9"/>
    </row>
    <row r="1250" s="105" customFormat="1" spans="9:12">
      <c r="I1250" s="225"/>
      <c r="K1250" s="9"/>
      <c r="L1250" s="9"/>
    </row>
    <row r="1251" s="105" customFormat="1" spans="9:12">
      <c r="I1251" s="225"/>
      <c r="K1251" s="9"/>
      <c r="L1251" s="9"/>
    </row>
    <row r="1252" s="105" customFormat="1" spans="9:12">
      <c r="I1252" s="225"/>
      <c r="K1252" s="9"/>
      <c r="L1252" s="9"/>
    </row>
    <row r="1253" s="105" customFormat="1" spans="9:12">
      <c r="I1253" s="225"/>
      <c r="K1253" s="9"/>
      <c r="L1253" s="9"/>
    </row>
    <row r="1254" s="105" customFormat="1" spans="9:12">
      <c r="I1254" s="225"/>
      <c r="K1254" s="9"/>
      <c r="L1254" s="9"/>
    </row>
    <row r="1255" s="105" customFormat="1" spans="9:12">
      <c r="I1255" s="225"/>
      <c r="K1255" s="9"/>
      <c r="L1255" s="9"/>
    </row>
    <row r="1256" s="105" customFormat="1" spans="9:12">
      <c r="I1256" s="225"/>
      <c r="K1256" s="9"/>
      <c r="L1256" s="9"/>
    </row>
    <row r="1257" s="105" customFormat="1" spans="9:12">
      <c r="I1257" s="225"/>
      <c r="K1257" s="9"/>
      <c r="L1257" s="9"/>
    </row>
    <row r="1258" s="105" customFormat="1" spans="9:12">
      <c r="I1258" s="225"/>
      <c r="K1258" s="9"/>
      <c r="L1258" s="9"/>
    </row>
    <row r="1259" s="105" customFormat="1" spans="9:12">
      <c r="I1259" s="225"/>
      <c r="K1259" s="9"/>
      <c r="L1259" s="9"/>
    </row>
    <row r="1260" s="105" customFormat="1" spans="9:12">
      <c r="I1260" s="225"/>
      <c r="K1260" s="9"/>
      <c r="L1260" s="9"/>
    </row>
    <row r="1261" s="105" customFormat="1" spans="9:12">
      <c r="I1261" s="225"/>
      <c r="K1261" s="9"/>
      <c r="L1261" s="9"/>
    </row>
    <row r="1262" s="105" customFormat="1" spans="9:12">
      <c r="I1262" s="225"/>
      <c r="K1262" s="9"/>
      <c r="L1262" s="9"/>
    </row>
    <row r="1263" s="105" customFormat="1" spans="9:12">
      <c r="I1263" s="225"/>
      <c r="K1263" s="9"/>
      <c r="L1263" s="9"/>
    </row>
    <row r="1264" s="105" customFormat="1" spans="9:12">
      <c r="I1264" s="225"/>
      <c r="K1264" s="9"/>
      <c r="L1264" s="9"/>
    </row>
    <row r="1265" s="105" customFormat="1" spans="9:12">
      <c r="I1265" s="225"/>
      <c r="K1265" s="9"/>
      <c r="L1265" s="9"/>
    </row>
    <row r="1266" s="105" customFormat="1" spans="9:12">
      <c r="I1266" s="225"/>
      <c r="K1266" s="9"/>
      <c r="L1266" s="9"/>
    </row>
    <row r="1267" s="105" customFormat="1" spans="9:12">
      <c r="I1267" s="225"/>
      <c r="K1267" s="9"/>
      <c r="L1267" s="9"/>
    </row>
    <row r="1268" s="105" customFormat="1" spans="9:12">
      <c r="I1268" s="225"/>
      <c r="K1268" s="9"/>
      <c r="L1268" s="9"/>
    </row>
    <row r="1269" s="105" customFormat="1" spans="9:12">
      <c r="I1269" s="225"/>
      <c r="K1269" s="9"/>
      <c r="L1269" s="9"/>
    </row>
    <row r="1270" s="105" customFormat="1" spans="9:12">
      <c r="I1270" s="225"/>
      <c r="K1270" s="9"/>
      <c r="L1270" s="9"/>
    </row>
    <row r="1271" s="105" customFormat="1" spans="9:12">
      <c r="I1271" s="225"/>
      <c r="K1271" s="9"/>
      <c r="L1271" s="9"/>
    </row>
    <row r="1272" s="105" customFormat="1" spans="9:12">
      <c r="I1272" s="225"/>
      <c r="K1272" s="9"/>
      <c r="L1272" s="9"/>
    </row>
    <row r="1273" s="105" customFormat="1" spans="9:12">
      <c r="I1273" s="225"/>
      <c r="K1273" s="9"/>
      <c r="L1273" s="9"/>
    </row>
    <row r="1274" s="105" customFormat="1" spans="9:12">
      <c r="I1274" s="225"/>
      <c r="K1274" s="9"/>
      <c r="L1274" s="9"/>
    </row>
    <row r="1275" s="105" customFormat="1" spans="9:12">
      <c r="I1275" s="225"/>
      <c r="K1275" s="9"/>
      <c r="L1275" s="9"/>
    </row>
    <row r="1276" s="105" customFormat="1" spans="9:12">
      <c r="I1276" s="225"/>
      <c r="K1276" s="9"/>
      <c r="L1276" s="9"/>
    </row>
    <row r="1277" s="105" customFormat="1" spans="9:12">
      <c r="I1277" s="225"/>
      <c r="K1277" s="9"/>
      <c r="L1277" s="9"/>
    </row>
    <row r="1278" s="105" customFormat="1" spans="9:12">
      <c r="I1278" s="225"/>
      <c r="K1278" s="9"/>
      <c r="L1278" s="9"/>
    </row>
    <row r="1279" s="105" customFormat="1" spans="9:12">
      <c r="I1279" s="225"/>
      <c r="K1279" s="9"/>
      <c r="L1279" s="9"/>
    </row>
    <row r="1280" s="105" customFormat="1" spans="9:12">
      <c r="I1280" s="225"/>
      <c r="K1280" s="9"/>
      <c r="L1280" s="9"/>
    </row>
    <row r="1281" s="105" customFormat="1" spans="9:12">
      <c r="I1281" s="225"/>
      <c r="K1281" s="9"/>
      <c r="L1281" s="9"/>
    </row>
    <row r="1282" s="105" customFormat="1" spans="9:12">
      <c r="I1282" s="225"/>
      <c r="K1282" s="9"/>
      <c r="L1282" s="9"/>
    </row>
    <row r="1283" s="105" customFormat="1" spans="9:12">
      <c r="I1283" s="225"/>
      <c r="K1283" s="9"/>
      <c r="L1283" s="9"/>
    </row>
    <row r="1284" s="105" customFormat="1" spans="9:12">
      <c r="I1284" s="225"/>
      <c r="K1284" s="9"/>
      <c r="L1284" s="9"/>
    </row>
    <row r="1285" s="105" customFormat="1" spans="9:12">
      <c r="I1285" s="225"/>
      <c r="K1285" s="9"/>
      <c r="L1285" s="9"/>
    </row>
    <row r="1286" s="105" customFormat="1" spans="9:12">
      <c r="I1286" s="225"/>
      <c r="K1286" s="9"/>
      <c r="L1286" s="9"/>
    </row>
    <row r="1287" s="105" customFormat="1" spans="9:12">
      <c r="I1287" s="225"/>
      <c r="K1287" s="9"/>
      <c r="L1287" s="9"/>
    </row>
    <row r="1288" s="105" customFormat="1" spans="9:12">
      <c r="I1288" s="225"/>
      <c r="K1288" s="9"/>
      <c r="L1288" s="9"/>
    </row>
    <row r="1289" s="105" customFormat="1" spans="9:12">
      <c r="I1289" s="225"/>
      <c r="K1289" s="9"/>
      <c r="L1289" s="9"/>
    </row>
    <row r="1290" s="105" customFormat="1" spans="9:12">
      <c r="I1290" s="225"/>
      <c r="K1290" s="9"/>
      <c r="L1290" s="9"/>
    </row>
    <row r="1291" s="105" customFormat="1" spans="9:12">
      <c r="I1291" s="225"/>
      <c r="K1291" s="9"/>
      <c r="L1291" s="9"/>
    </row>
    <row r="1292" s="105" customFormat="1" spans="9:12">
      <c r="I1292" s="225"/>
      <c r="K1292" s="9"/>
      <c r="L1292" s="9"/>
    </row>
    <row r="1293" s="105" customFormat="1" spans="9:12">
      <c r="I1293" s="225"/>
      <c r="K1293" s="9"/>
      <c r="L1293" s="9"/>
    </row>
    <row r="1294" s="105" customFormat="1" spans="9:12">
      <c r="I1294" s="225"/>
      <c r="K1294" s="9"/>
      <c r="L1294" s="9"/>
    </row>
    <row r="1295" s="105" customFormat="1" spans="9:12">
      <c r="I1295" s="225"/>
      <c r="K1295" s="9"/>
      <c r="L1295" s="9"/>
    </row>
    <row r="1296" s="105" customFormat="1" spans="9:12">
      <c r="I1296" s="225"/>
      <c r="K1296" s="9"/>
      <c r="L1296" s="9"/>
    </row>
    <row r="1297" s="105" customFormat="1" spans="9:12">
      <c r="I1297" s="225"/>
      <c r="K1297" s="9"/>
      <c r="L1297" s="9"/>
    </row>
    <row r="1298" s="105" customFormat="1" spans="9:12">
      <c r="I1298" s="225"/>
      <c r="K1298" s="9"/>
      <c r="L1298" s="9"/>
    </row>
    <row r="1299" s="105" customFormat="1" spans="9:12">
      <c r="I1299" s="225"/>
      <c r="K1299" s="9"/>
      <c r="L1299" s="9"/>
    </row>
    <row r="1300" s="105" customFormat="1" spans="9:12">
      <c r="I1300" s="225"/>
      <c r="K1300" s="9"/>
      <c r="L1300" s="9"/>
    </row>
    <row r="1301" s="105" customFormat="1" spans="9:12">
      <c r="I1301" s="225"/>
      <c r="K1301" s="9"/>
      <c r="L1301" s="9"/>
    </row>
    <row r="1302" s="105" customFormat="1" spans="9:12">
      <c r="I1302" s="225"/>
      <c r="K1302" s="9"/>
      <c r="L1302" s="9"/>
    </row>
    <row r="1303" s="105" customFormat="1" spans="9:12">
      <c r="I1303" s="225"/>
      <c r="K1303" s="9"/>
      <c r="L1303" s="9"/>
    </row>
    <row r="1304" s="105" customFormat="1" spans="9:12">
      <c r="I1304" s="225"/>
      <c r="K1304" s="9"/>
      <c r="L1304" s="9"/>
    </row>
    <row r="1305" s="105" customFormat="1" spans="9:12">
      <c r="I1305" s="225"/>
      <c r="K1305" s="9"/>
      <c r="L1305" s="9"/>
    </row>
    <row r="1306" s="105" customFormat="1" spans="9:12">
      <c r="I1306" s="225"/>
      <c r="K1306" s="9"/>
      <c r="L1306" s="9"/>
    </row>
    <row r="1307" s="105" customFormat="1" spans="9:12">
      <c r="I1307" s="225"/>
      <c r="K1307" s="9"/>
      <c r="L1307" s="9"/>
    </row>
    <row r="1308" s="105" customFormat="1" spans="9:12">
      <c r="I1308" s="225"/>
      <c r="K1308" s="9"/>
      <c r="L1308" s="9"/>
    </row>
    <row r="1309" s="105" customFormat="1" spans="9:12">
      <c r="I1309" s="225"/>
      <c r="K1309" s="9"/>
      <c r="L1309" s="9"/>
    </row>
    <row r="1310" s="105" customFormat="1" spans="9:12">
      <c r="I1310" s="225"/>
      <c r="K1310" s="9"/>
      <c r="L1310" s="9"/>
    </row>
    <row r="1311" s="105" customFormat="1" spans="9:12">
      <c r="I1311" s="225"/>
      <c r="K1311" s="9"/>
      <c r="L1311" s="9"/>
    </row>
    <row r="1312" s="105" customFormat="1" spans="9:12">
      <c r="I1312" s="225"/>
      <c r="K1312" s="9"/>
      <c r="L1312" s="9"/>
    </row>
    <row r="1313" s="105" customFormat="1" spans="9:12">
      <c r="I1313" s="225"/>
      <c r="K1313" s="9"/>
      <c r="L1313" s="9"/>
    </row>
    <row r="1314" s="105" customFormat="1" spans="9:12">
      <c r="I1314" s="225"/>
      <c r="K1314" s="9"/>
      <c r="L1314" s="9"/>
    </row>
    <row r="1315" s="105" customFormat="1" spans="9:12">
      <c r="I1315" s="225"/>
      <c r="K1315" s="9"/>
      <c r="L1315" s="9"/>
    </row>
    <row r="1316" s="105" customFormat="1" spans="9:12">
      <c r="I1316" s="225"/>
      <c r="K1316" s="9"/>
      <c r="L1316" s="9"/>
    </row>
    <row r="1317" s="105" customFormat="1" spans="9:12">
      <c r="I1317" s="225"/>
      <c r="K1317" s="9"/>
      <c r="L1317" s="9"/>
    </row>
    <row r="1318" s="105" customFormat="1" spans="9:12">
      <c r="I1318" s="225"/>
      <c r="K1318" s="9"/>
      <c r="L1318" s="9"/>
    </row>
    <row r="1319" s="105" customFormat="1" spans="9:12">
      <c r="I1319" s="225"/>
      <c r="K1319" s="9"/>
      <c r="L1319" s="9"/>
    </row>
    <row r="1320" s="105" customFormat="1" spans="9:12">
      <c r="I1320" s="225"/>
      <c r="K1320" s="9"/>
      <c r="L1320" s="9"/>
    </row>
    <row r="1321" s="105" customFormat="1" spans="9:12">
      <c r="I1321" s="225"/>
      <c r="K1321" s="9"/>
      <c r="L1321" s="9"/>
    </row>
    <row r="1322" s="105" customFormat="1" spans="9:12">
      <c r="I1322" s="225"/>
      <c r="K1322" s="9"/>
      <c r="L1322" s="9"/>
    </row>
    <row r="1323" s="105" customFormat="1" spans="9:12">
      <c r="I1323" s="225"/>
      <c r="K1323" s="9"/>
      <c r="L1323" s="9"/>
    </row>
    <row r="1324" s="105" customFormat="1" spans="9:12">
      <c r="I1324" s="225"/>
      <c r="K1324" s="9"/>
      <c r="L1324" s="9"/>
    </row>
    <row r="1325" s="105" customFormat="1" spans="9:12">
      <c r="I1325" s="225"/>
      <c r="K1325" s="9"/>
      <c r="L1325" s="9"/>
    </row>
    <row r="1326" s="105" customFormat="1" spans="9:12">
      <c r="I1326" s="225"/>
      <c r="K1326" s="9"/>
      <c r="L1326" s="9"/>
    </row>
    <row r="1327" s="105" customFormat="1" spans="9:12">
      <c r="I1327" s="225"/>
      <c r="K1327" s="9"/>
      <c r="L1327" s="9"/>
    </row>
    <row r="1328" s="105" customFormat="1" spans="9:12">
      <c r="I1328" s="225"/>
      <c r="K1328" s="9"/>
      <c r="L1328" s="9"/>
    </row>
    <row r="1329" s="105" customFormat="1" spans="9:12">
      <c r="I1329" s="225"/>
      <c r="K1329" s="9"/>
      <c r="L1329" s="9"/>
    </row>
    <row r="1330" s="105" customFormat="1" spans="9:12">
      <c r="I1330" s="225"/>
      <c r="K1330" s="9"/>
      <c r="L1330" s="9"/>
    </row>
    <row r="1331" s="105" customFormat="1" spans="9:12">
      <c r="I1331" s="225"/>
      <c r="K1331" s="9"/>
      <c r="L1331" s="9"/>
    </row>
    <row r="1332" s="105" customFormat="1" spans="9:12">
      <c r="I1332" s="225"/>
      <c r="K1332" s="9"/>
      <c r="L1332" s="9"/>
    </row>
    <row r="1333" s="105" customFormat="1" spans="9:12">
      <c r="I1333" s="225"/>
      <c r="K1333" s="9"/>
      <c r="L1333" s="9"/>
    </row>
    <row r="1334" s="105" customFormat="1" spans="9:12">
      <c r="I1334" s="225"/>
      <c r="K1334" s="9"/>
      <c r="L1334" s="9"/>
    </row>
    <row r="1335" s="105" customFormat="1" spans="9:12">
      <c r="I1335" s="225"/>
      <c r="K1335" s="9"/>
      <c r="L1335" s="9"/>
    </row>
    <row r="1336" s="105" customFormat="1" spans="9:12">
      <c r="I1336" s="225"/>
      <c r="K1336" s="9"/>
      <c r="L1336" s="9"/>
    </row>
    <row r="1337" s="105" customFormat="1" spans="9:12">
      <c r="I1337" s="225"/>
      <c r="K1337" s="9"/>
      <c r="L1337" s="9"/>
    </row>
    <row r="1338" s="105" customFormat="1" spans="9:12">
      <c r="I1338" s="225"/>
      <c r="K1338" s="9"/>
      <c r="L1338" s="9"/>
    </row>
    <row r="1339" s="105" customFormat="1" spans="9:12">
      <c r="I1339" s="225"/>
      <c r="K1339" s="9"/>
      <c r="L1339" s="9"/>
    </row>
    <row r="1340" s="105" customFormat="1" spans="9:12">
      <c r="I1340" s="225"/>
      <c r="K1340" s="9"/>
      <c r="L1340" s="9"/>
    </row>
    <row r="1341" s="105" customFormat="1" spans="9:12">
      <c r="I1341" s="225"/>
      <c r="K1341" s="9"/>
      <c r="L1341" s="9"/>
    </row>
    <row r="1342" s="105" customFormat="1" spans="9:12">
      <c r="I1342" s="225"/>
      <c r="K1342" s="9"/>
      <c r="L1342" s="9"/>
    </row>
    <row r="1343" s="105" customFormat="1" spans="9:12">
      <c r="I1343" s="225"/>
      <c r="K1343" s="9"/>
      <c r="L1343" s="9"/>
    </row>
    <row r="1344" s="105" customFormat="1" spans="9:12">
      <c r="I1344" s="225"/>
      <c r="K1344" s="9"/>
      <c r="L1344" s="9"/>
    </row>
    <row r="1345" s="105" customFormat="1" spans="9:12">
      <c r="I1345" s="225"/>
      <c r="K1345" s="9"/>
      <c r="L1345" s="9"/>
    </row>
    <row r="1346" s="105" customFormat="1" spans="9:12">
      <c r="I1346" s="225"/>
      <c r="K1346" s="9"/>
      <c r="L1346" s="9"/>
    </row>
    <row r="1347" s="105" customFormat="1" spans="9:12">
      <c r="I1347" s="225"/>
      <c r="K1347" s="9"/>
      <c r="L1347" s="9"/>
    </row>
    <row r="1348" s="105" customFormat="1" spans="9:12">
      <c r="I1348" s="225"/>
      <c r="K1348" s="9"/>
      <c r="L1348" s="9"/>
    </row>
    <row r="1349" s="105" customFormat="1" spans="9:12">
      <c r="I1349" s="225"/>
      <c r="K1349" s="9"/>
      <c r="L1349" s="9"/>
    </row>
    <row r="1350" s="105" customFormat="1" spans="9:12">
      <c r="I1350" s="225"/>
      <c r="K1350" s="9"/>
      <c r="L1350" s="9"/>
    </row>
    <row r="1351" s="105" customFormat="1" spans="9:12">
      <c r="I1351" s="225"/>
      <c r="K1351" s="9"/>
      <c r="L1351" s="9"/>
    </row>
    <row r="1352" s="105" customFormat="1" spans="9:12">
      <c r="I1352" s="225"/>
      <c r="K1352" s="9"/>
      <c r="L1352" s="9"/>
    </row>
    <row r="1353" s="105" customFormat="1" spans="9:12">
      <c r="I1353" s="225"/>
      <c r="K1353" s="9"/>
      <c r="L1353" s="9"/>
    </row>
    <row r="1354" s="105" customFormat="1" spans="9:12">
      <c r="I1354" s="225"/>
      <c r="K1354" s="9"/>
      <c r="L1354" s="9"/>
    </row>
    <row r="1355" s="105" customFormat="1" spans="9:12">
      <c r="I1355" s="225"/>
      <c r="K1355" s="9"/>
      <c r="L1355" s="9"/>
    </row>
    <row r="1356" s="105" customFormat="1" spans="9:12">
      <c r="I1356" s="225"/>
      <c r="K1356" s="9"/>
      <c r="L1356" s="9"/>
    </row>
    <row r="1357" s="105" customFormat="1" spans="9:12">
      <c r="I1357" s="225"/>
      <c r="K1357" s="9"/>
      <c r="L1357" s="9"/>
    </row>
    <row r="1358" s="105" customFormat="1" spans="9:12">
      <c r="I1358" s="225"/>
      <c r="K1358" s="9"/>
      <c r="L1358" s="9"/>
    </row>
    <row r="1359" s="105" customFormat="1" spans="9:12">
      <c r="I1359" s="225"/>
      <c r="K1359" s="9"/>
      <c r="L1359" s="9"/>
    </row>
    <row r="1360" s="105" customFormat="1" spans="9:12">
      <c r="I1360" s="225"/>
      <c r="K1360" s="9"/>
      <c r="L1360" s="9"/>
    </row>
    <row r="1361" s="105" customFormat="1" spans="9:12">
      <c r="I1361" s="225"/>
      <c r="K1361" s="9"/>
      <c r="L1361" s="9"/>
    </row>
    <row r="1362" s="105" customFormat="1" spans="9:12">
      <c r="I1362" s="225"/>
      <c r="K1362" s="9"/>
      <c r="L1362" s="9"/>
    </row>
    <row r="1363" s="105" customFormat="1" spans="9:12">
      <c r="I1363" s="225"/>
      <c r="K1363" s="9"/>
      <c r="L1363" s="9"/>
    </row>
    <row r="1364" s="105" customFormat="1" spans="9:12">
      <c r="I1364" s="225"/>
      <c r="K1364" s="9"/>
      <c r="L1364" s="9"/>
    </row>
    <row r="1365" s="105" customFormat="1" spans="9:12">
      <c r="I1365" s="225"/>
      <c r="K1365" s="9"/>
      <c r="L1365" s="9"/>
    </row>
    <row r="1366" s="105" customFormat="1" spans="9:12">
      <c r="I1366" s="225"/>
      <c r="K1366" s="9"/>
      <c r="L1366" s="9"/>
    </row>
    <row r="1367" s="105" customFormat="1" spans="9:12">
      <c r="I1367" s="225"/>
      <c r="K1367" s="9"/>
      <c r="L1367" s="9"/>
    </row>
    <row r="1368" s="105" customFormat="1" spans="9:12">
      <c r="I1368" s="225"/>
      <c r="K1368" s="9"/>
      <c r="L1368" s="9"/>
    </row>
    <row r="1369" s="105" customFormat="1" spans="9:12">
      <c r="I1369" s="225"/>
      <c r="K1369" s="9"/>
      <c r="L1369" s="9"/>
    </row>
    <row r="1370" s="105" customFormat="1" spans="9:12">
      <c r="I1370" s="225"/>
      <c r="K1370" s="9"/>
      <c r="L1370" s="9"/>
    </row>
    <row r="1371" s="105" customFormat="1" spans="9:12">
      <c r="I1371" s="225"/>
      <c r="K1371" s="9"/>
      <c r="L1371" s="9"/>
    </row>
    <row r="1372" s="105" customFormat="1" spans="9:12">
      <c r="I1372" s="225"/>
      <c r="K1372" s="9"/>
      <c r="L1372" s="9"/>
    </row>
    <row r="1373" s="105" customFormat="1" spans="9:12">
      <c r="I1373" s="225"/>
      <c r="K1373" s="9"/>
      <c r="L1373" s="9"/>
    </row>
    <row r="1374" s="105" customFormat="1" spans="9:12">
      <c r="I1374" s="225"/>
      <c r="K1374" s="9"/>
      <c r="L1374" s="9"/>
    </row>
    <row r="1375" s="105" customFormat="1" spans="9:12">
      <c r="I1375" s="225"/>
      <c r="K1375" s="9"/>
      <c r="L1375" s="9"/>
    </row>
    <row r="1376" s="105" customFormat="1" spans="9:12">
      <c r="I1376" s="225"/>
      <c r="K1376" s="9"/>
      <c r="L1376" s="9"/>
    </row>
    <row r="1377" s="105" customFormat="1" spans="9:12">
      <c r="I1377" s="225"/>
      <c r="K1377" s="9"/>
      <c r="L1377" s="9"/>
    </row>
    <row r="1378" s="105" customFormat="1" spans="9:12">
      <c r="I1378" s="225"/>
      <c r="K1378" s="9"/>
      <c r="L1378" s="9"/>
    </row>
    <row r="1379" s="105" customFormat="1" spans="9:12">
      <c r="I1379" s="225"/>
      <c r="K1379" s="9"/>
      <c r="L1379" s="9"/>
    </row>
    <row r="1380" s="105" customFormat="1" spans="9:12">
      <c r="I1380" s="225"/>
      <c r="K1380" s="9"/>
      <c r="L1380" s="9"/>
    </row>
    <row r="1381" s="105" customFormat="1" spans="9:12">
      <c r="I1381" s="225"/>
      <c r="K1381" s="9"/>
      <c r="L1381" s="9"/>
    </row>
    <row r="1382" s="105" customFormat="1" spans="9:12">
      <c r="I1382" s="225"/>
      <c r="K1382" s="9"/>
      <c r="L1382" s="9"/>
    </row>
    <row r="1383" s="105" customFormat="1" spans="9:12">
      <c r="I1383" s="225"/>
      <c r="K1383" s="9"/>
      <c r="L1383" s="9"/>
    </row>
    <row r="1384" s="105" customFormat="1" spans="9:12">
      <c r="I1384" s="225"/>
      <c r="K1384" s="9"/>
      <c r="L1384" s="9"/>
    </row>
    <row r="1385" s="105" customFormat="1" spans="9:12">
      <c r="I1385" s="225"/>
      <c r="K1385" s="9"/>
      <c r="L1385" s="9"/>
    </row>
    <row r="1386" s="105" customFormat="1" spans="9:12">
      <c r="I1386" s="225"/>
      <c r="K1386" s="9"/>
      <c r="L1386" s="9"/>
    </row>
    <row r="1387" s="105" customFormat="1" spans="9:12">
      <c r="I1387" s="225"/>
      <c r="K1387" s="9"/>
      <c r="L1387" s="9"/>
    </row>
    <row r="1388" s="105" customFormat="1" spans="9:12">
      <c r="I1388" s="225"/>
      <c r="K1388" s="9"/>
      <c r="L1388" s="9"/>
    </row>
    <row r="1389" s="105" customFormat="1" spans="9:12">
      <c r="I1389" s="225"/>
      <c r="K1389" s="9"/>
      <c r="L1389" s="9"/>
    </row>
    <row r="1390" s="105" customFormat="1" spans="9:12">
      <c r="I1390" s="225"/>
      <c r="K1390" s="9"/>
      <c r="L1390" s="9"/>
    </row>
    <row r="1391" s="105" customFormat="1" spans="9:12">
      <c r="I1391" s="225"/>
      <c r="K1391" s="9"/>
      <c r="L1391" s="9"/>
    </row>
    <row r="1392" s="105" customFormat="1" spans="9:12">
      <c r="I1392" s="225"/>
      <c r="K1392" s="9"/>
      <c r="L1392" s="9"/>
    </row>
    <row r="1393" s="105" customFormat="1" spans="9:12">
      <c r="I1393" s="225"/>
      <c r="K1393" s="9"/>
      <c r="L1393" s="9"/>
    </row>
    <row r="1394" s="105" customFormat="1" spans="9:12">
      <c r="I1394" s="225"/>
      <c r="K1394" s="9"/>
      <c r="L1394" s="9"/>
    </row>
    <row r="1395" s="105" customFormat="1" spans="9:12">
      <c r="I1395" s="225"/>
      <c r="K1395" s="9"/>
      <c r="L1395" s="9"/>
    </row>
    <row r="1396" s="105" customFormat="1" spans="9:12">
      <c r="I1396" s="225"/>
      <c r="K1396" s="9"/>
      <c r="L1396" s="9"/>
    </row>
    <row r="1397" s="105" customFormat="1" spans="9:12">
      <c r="I1397" s="225"/>
      <c r="K1397" s="9"/>
      <c r="L1397" s="9"/>
    </row>
    <row r="1398" s="105" customFormat="1" spans="9:12">
      <c r="I1398" s="225"/>
      <c r="K1398" s="9"/>
      <c r="L1398" s="9"/>
    </row>
    <row r="1399" s="105" customFormat="1" spans="9:12">
      <c r="I1399" s="225"/>
      <c r="K1399" s="9"/>
      <c r="L1399" s="9"/>
    </row>
    <row r="1400" s="105" customFormat="1" spans="9:12">
      <c r="I1400" s="225"/>
      <c r="K1400" s="9"/>
      <c r="L1400" s="9"/>
    </row>
    <row r="1401" s="105" customFormat="1" spans="9:12">
      <c r="I1401" s="225"/>
      <c r="K1401" s="9"/>
      <c r="L1401" s="9"/>
    </row>
    <row r="1402" s="105" customFormat="1" spans="9:12">
      <c r="I1402" s="225"/>
      <c r="K1402" s="9"/>
      <c r="L1402" s="9"/>
    </row>
    <row r="1403" s="105" customFormat="1" spans="9:12">
      <c r="I1403" s="225"/>
      <c r="K1403" s="9"/>
      <c r="L1403" s="9"/>
    </row>
    <row r="1404" s="105" customFormat="1" spans="9:12">
      <c r="I1404" s="225"/>
      <c r="K1404" s="9"/>
      <c r="L1404" s="9"/>
    </row>
    <row r="1405" s="105" customFormat="1" spans="9:12">
      <c r="I1405" s="225"/>
      <c r="K1405" s="9"/>
      <c r="L1405" s="9"/>
    </row>
    <row r="1406" s="105" customFormat="1" spans="9:12">
      <c r="I1406" s="225"/>
      <c r="K1406" s="9"/>
      <c r="L1406" s="9"/>
    </row>
    <row r="1407" s="105" customFormat="1" spans="9:12">
      <c r="I1407" s="225"/>
      <c r="K1407" s="9"/>
      <c r="L1407" s="9"/>
    </row>
    <row r="1408" s="105" customFormat="1" spans="9:12">
      <c r="I1408" s="225"/>
      <c r="K1408" s="9"/>
      <c r="L1408" s="9"/>
    </row>
    <row r="1409" s="105" customFormat="1" spans="9:12">
      <c r="I1409" s="225"/>
      <c r="K1409" s="9"/>
      <c r="L1409" s="9"/>
    </row>
    <row r="1410" s="105" customFormat="1" spans="9:12">
      <c r="I1410" s="225"/>
      <c r="K1410" s="9"/>
      <c r="L1410" s="9"/>
    </row>
    <row r="1411" s="105" customFormat="1" spans="9:12">
      <c r="I1411" s="225"/>
      <c r="K1411" s="9"/>
      <c r="L1411" s="9"/>
    </row>
    <row r="1412" s="105" customFormat="1" spans="9:12">
      <c r="I1412" s="225"/>
      <c r="K1412" s="9"/>
      <c r="L1412" s="9"/>
    </row>
    <row r="1413" s="105" customFormat="1" spans="9:12">
      <c r="I1413" s="225"/>
      <c r="K1413" s="9"/>
      <c r="L1413" s="9"/>
    </row>
    <row r="1414" s="105" customFormat="1" spans="9:12">
      <c r="I1414" s="225"/>
      <c r="K1414" s="9"/>
      <c r="L1414" s="9"/>
    </row>
    <row r="1415" s="105" customFormat="1" spans="9:12">
      <c r="I1415" s="225"/>
      <c r="K1415" s="9"/>
      <c r="L1415" s="9"/>
    </row>
    <row r="1416" s="105" customFormat="1" spans="9:12">
      <c r="I1416" s="225"/>
      <c r="K1416" s="9"/>
      <c r="L1416" s="9"/>
    </row>
    <row r="1417" s="105" customFormat="1" spans="9:12">
      <c r="I1417" s="225"/>
      <c r="K1417" s="9"/>
      <c r="L1417" s="9"/>
    </row>
    <row r="1418" s="105" customFormat="1" spans="9:12">
      <c r="I1418" s="225"/>
      <c r="K1418" s="9"/>
      <c r="L1418" s="9"/>
    </row>
    <row r="1419" s="105" customFormat="1" spans="9:12">
      <c r="I1419" s="225"/>
      <c r="K1419" s="9"/>
      <c r="L1419" s="9"/>
    </row>
    <row r="1420" s="105" customFormat="1" spans="9:12">
      <c r="I1420" s="225"/>
      <c r="K1420" s="9"/>
      <c r="L1420" s="9"/>
    </row>
    <row r="1421" s="105" customFormat="1" spans="9:12">
      <c r="I1421" s="225"/>
      <c r="K1421" s="9"/>
      <c r="L1421" s="9"/>
    </row>
    <row r="1422" s="105" customFormat="1" spans="9:12">
      <c r="I1422" s="225"/>
      <c r="K1422" s="9"/>
      <c r="L1422" s="9"/>
    </row>
    <row r="1423" s="105" customFormat="1" spans="9:12">
      <c r="I1423" s="225"/>
      <c r="K1423" s="9"/>
      <c r="L1423" s="9"/>
    </row>
    <row r="1424" s="105" customFormat="1" spans="9:12">
      <c r="I1424" s="225"/>
      <c r="K1424" s="9"/>
      <c r="L1424" s="9"/>
    </row>
    <row r="1425" s="105" customFormat="1" spans="9:12">
      <c r="I1425" s="225"/>
      <c r="K1425" s="9"/>
      <c r="L1425" s="9"/>
    </row>
    <row r="1426" s="105" customFormat="1" spans="9:12">
      <c r="I1426" s="225"/>
      <c r="K1426" s="9"/>
      <c r="L1426" s="9"/>
    </row>
    <row r="1427" s="105" customFormat="1" spans="9:12">
      <c r="I1427" s="225"/>
      <c r="K1427" s="9"/>
      <c r="L1427" s="9"/>
    </row>
    <row r="1428" s="105" customFormat="1" spans="9:12">
      <c r="I1428" s="225"/>
      <c r="K1428" s="9"/>
      <c r="L1428" s="9"/>
    </row>
    <row r="1429" s="105" customFormat="1" spans="9:12">
      <c r="I1429" s="225"/>
      <c r="K1429" s="9"/>
      <c r="L1429" s="9"/>
    </row>
    <row r="1430" s="105" customFormat="1" spans="9:12">
      <c r="I1430" s="225"/>
      <c r="K1430" s="9"/>
      <c r="L1430" s="9"/>
    </row>
    <row r="1431" s="105" customFormat="1" spans="9:12">
      <c r="I1431" s="225"/>
      <c r="K1431" s="9"/>
      <c r="L1431" s="9"/>
    </row>
    <row r="1432" s="105" customFormat="1" spans="9:12">
      <c r="I1432" s="225"/>
      <c r="K1432" s="9"/>
      <c r="L1432" s="9"/>
    </row>
    <row r="1433" s="105" customFormat="1" spans="9:12">
      <c r="I1433" s="225"/>
      <c r="K1433" s="9"/>
      <c r="L1433" s="9"/>
    </row>
    <row r="1434" s="105" customFormat="1" spans="9:12">
      <c r="I1434" s="225"/>
      <c r="K1434" s="9"/>
      <c r="L1434" s="9"/>
    </row>
    <row r="1435" s="105" customFormat="1" spans="9:12">
      <c r="I1435" s="225"/>
      <c r="K1435" s="9"/>
      <c r="L1435" s="9"/>
    </row>
    <row r="1436" s="105" customFormat="1" spans="9:12">
      <c r="I1436" s="225"/>
      <c r="K1436" s="9"/>
      <c r="L1436" s="9"/>
    </row>
    <row r="1437" s="105" customFormat="1" spans="9:12">
      <c r="I1437" s="225"/>
      <c r="K1437" s="9"/>
      <c r="L1437" s="9"/>
    </row>
    <row r="1438" s="105" customFormat="1" spans="9:12">
      <c r="I1438" s="225"/>
      <c r="K1438" s="9"/>
      <c r="L1438" s="9"/>
    </row>
    <row r="1439" s="105" customFormat="1" spans="9:12">
      <c r="I1439" s="225"/>
      <c r="K1439" s="9"/>
      <c r="L1439" s="9"/>
    </row>
    <row r="1440" s="105" customFormat="1" spans="9:12">
      <c r="I1440" s="225"/>
      <c r="K1440" s="9"/>
      <c r="L1440" s="9"/>
    </row>
    <row r="1441" s="105" customFormat="1" spans="9:12">
      <c r="I1441" s="225"/>
      <c r="K1441" s="9"/>
      <c r="L1441" s="9"/>
    </row>
    <row r="1442" s="105" customFormat="1" spans="9:12">
      <c r="I1442" s="225"/>
      <c r="K1442" s="9"/>
      <c r="L1442" s="9"/>
    </row>
    <row r="1443" s="105" customFormat="1" spans="9:12">
      <c r="I1443" s="225"/>
      <c r="K1443" s="9"/>
      <c r="L1443" s="9"/>
    </row>
    <row r="1444" s="105" customFormat="1" spans="9:12">
      <c r="I1444" s="225"/>
      <c r="K1444" s="9"/>
      <c r="L1444" s="9"/>
    </row>
    <row r="1445" s="105" customFormat="1" spans="9:12">
      <c r="I1445" s="225"/>
      <c r="K1445" s="9"/>
      <c r="L1445" s="9"/>
    </row>
    <row r="1446" s="105" customFormat="1" spans="9:12">
      <c r="I1446" s="225"/>
      <c r="K1446" s="9"/>
      <c r="L1446" s="9"/>
    </row>
    <row r="1447" s="105" customFormat="1" spans="9:12">
      <c r="I1447" s="225"/>
      <c r="K1447" s="9"/>
      <c r="L1447" s="9"/>
    </row>
    <row r="1448" s="105" customFormat="1" spans="9:12">
      <c r="I1448" s="225"/>
      <c r="K1448" s="9"/>
      <c r="L1448" s="9"/>
    </row>
    <row r="1449" s="105" customFormat="1" spans="9:12">
      <c r="I1449" s="225"/>
      <c r="K1449" s="9"/>
      <c r="L1449" s="9"/>
    </row>
    <row r="1450" s="105" customFormat="1" spans="9:12">
      <c r="I1450" s="225"/>
      <c r="K1450" s="9"/>
      <c r="L1450" s="9"/>
    </row>
    <row r="1451" s="105" customFormat="1" spans="9:12">
      <c r="I1451" s="225"/>
      <c r="K1451" s="9"/>
      <c r="L1451" s="9"/>
    </row>
    <row r="1452" s="105" customFormat="1" spans="9:12">
      <c r="I1452" s="225"/>
      <c r="K1452" s="9"/>
      <c r="L1452" s="9"/>
    </row>
    <row r="1453" s="105" customFormat="1" spans="9:12">
      <c r="I1453" s="225"/>
      <c r="K1453" s="9"/>
      <c r="L1453" s="9"/>
    </row>
    <row r="1454" s="105" customFormat="1" spans="9:12">
      <c r="I1454" s="225"/>
      <c r="K1454" s="9"/>
      <c r="L1454" s="9"/>
    </row>
    <row r="1455" s="105" customFormat="1" spans="9:12">
      <c r="I1455" s="225"/>
      <c r="K1455" s="9"/>
      <c r="L1455" s="9"/>
    </row>
    <row r="1456" s="105" customFormat="1" spans="9:12">
      <c r="I1456" s="225"/>
      <c r="K1456" s="9"/>
      <c r="L1456" s="9"/>
    </row>
    <row r="1457" s="105" customFormat="1" spans="9:12">
      <c r="I1457" s="225"/>
      <c r="K1457" s="9"/>
      <c r="L1457" s="9"/>
    </row>
    <row r="1458" s="105" customFormat="1" spans="9:12">
      <c r="I1458" s="225"/>
      <c r="K1458" s="9"/>
      <c r="L1458" s="9"/>
    </row>
    <row r="1459" s="105" customFormat="1" spans="9:12">
      <c r="I1459" s="225"/>
      <c r="K1459" s="9"/>
      <c r="L1459" s="9"/>
    </row>
    <row r="1460" s="105" customFormat="1" spans="9:12">
      <c r="I1460" s="225"/>
      <c r="K1460" s="9"/>
      <c r="L1460" s="9"/>
    </row>
    <row r="1461" s="105" customFormat="1" spans="9:12">
      <c r="I1461" s="225"/>
      <c r="K1461" s="9"/>
      <c r="L1461" s="9"/>
    </row>
    <row r="1462" s="105" customFormat="1" spans="9:12">
      <c r="I1462" s="225"/>
      <c r="K1462" s="9"/>
      <c r="L1462" s="9"/>
    </row>
    <row r="1463" s="105" customFormat="1" spans="9:12">
      <c r="I1463" s="225"/>
      <c r="K1463" s="9"/>
      <c r="L1463" s="9"/>
    </row>
    <row r="1464" s="105" customFormat="1" spans="9:12">
      <c r="I1464" s="225"/>
      <c r="K1464" s="9"/>
      <c r="L1464" s="9"/>
    </row>
    <row r="1465" s="105" customFormat="1" spans="9:12">
      <c r="I1465" s="225"/>
      <c r="K1465" s="9"/>
      <c r="L1465" s="9"/>
    </row>
    <row r="1466" s="105" customFormat="1" spans="9:12">
      <c r="I1466" s="225"/>
      <c r="K1466" s="9"/>
      <c r="L1466" s="9"/>
    </row>
    <row r="1467" s="105" customFormat="1" spans="9:12">
      <c r="I1467" s="225"/>
      <c r="K1467" s="9"/>
      <c r="L1467" s="9"/>
    </row>
    <row r="1468" s="105" customFormat="1" spans="9:12">
      <c r="I1468" s="225"/>
      <c r="K1468" s="9"/>
      <c r="L1468" s="9"/>
    </row>
    <row r="1469" s="105" customFormat="1" spans="9:12">
      <c r="I1469" s="225"/>
      <c r="K1469" s="9"/>
      <c r="L1469" s="9"/>
    </row>
    <row r="1470" s="105" customFormat="1" spans="9:12">
      <c r="I1470" s="225"/>
      <c r="K1470" s="9"/>
      <c r="L1470" s="9"/>
    </row>
    <row r="1471" s="105" customFormat="1" spans="9:12">
      <c r="I1471" s="225"/>
      <c r="K1471" s="9"/>
      <c r="L1471" s="9"/>
    </row>
    <row r="1472" s="105" customFormat="1" spans="9:12">
      <c r="I1472" s="225"/>
      <c r="K1472" s="9"/>
      <c r="L1472" s="9"/>
    </row>
    <row r="1473" s="105" customFormat="1" spans="9:12">
      <c r="I1473" s="225"/>
      <c r="K1473" s="9"/>
      <c r="L1473" s="9"/>
    </row>
    <row r="1474" s="105" customFormat="1" spans="9:12">
      <c r="I1474" s="225"/>
      <c r="K1474" s="9"/>
      <c r="L1474" s="9"/>
    </row>
    <row r="1475" s="105" customFormat="1" spans="9:12">
      <c r="I1475" s="225"/>
      <c r="K1475" s="9"/>
      <c r="L1475" s="9"/>
    </row>
    <row r="1476" s="105" customFormat="1" spans="9:12">
      <c r="I1476" s="225"/>
      <c r="K1476" s="9"/>
      <c r="L1476" s="9"/>
    </row>
    <row r="1477" s="105" customFormat="1" spans="9:12">
      <c r="I1477" s="225"/>
      <c r="K1477" s="9"/>
      <c r="L1477" s="9"/>
    </row>
    <row r="1478" s="105" customFormat="1" spans="9:12">
      <c r="I1478" s="225"/>
      <c r="K1478" s="9"/>
      <c r="L1478" s="9"/>
    </row>
    <row r="1479" s="105" customFormat="1" spans="9:12">
      <c r="I1479" s="225"/>
      <c r="K1479" s="9"/>
      <c r="L1479" s="9"/>
    </row>
    <row r="1480" s="105" customFormat="1" spans="9:12">
      <c r="I1480" s="225"/>
      <c r="K1480" s="9"/>
      <c r="L1480" s="9"/>
    </row>
    <row r="1481" s="105" customFormat="1" spans="9:12">
      <c r="I1481" s="225"/>
      <c r="K1481" s="9"/>
      <c r="L1481" s="9"/>
    </row>
    <row r="1482" s="105" customFormat="1" spans="9:12">
      <c r="I1482" s="225"/>
      <c r="K1482" s="9"/>
      <c r="L1482" s="9"/>
    </row>
    <row r="1483" s="105" customFormat="1" spans="9:12">
      <c r="I1483" s="225"/>
      <c r="K1483" s="9"/>
      <c r="L1483" s="9"/>
    </row>
    <row r="1484" s="105" customFormat="1" spans="9:12">
      <c r="I1484" s="225"/>
      <c r="K1484" s="9"/>
      <c r="L1484" s="9"/>
    </row>
    <row r="1485" s="105" customFormat="1" spans="9:12">
      <c r="I1485" s="225"/>
      <c r="K1485" s="9"/>
      <c r="L1485" s="9"/>
    </row>
    <row r="1486" s="105" customFormat="1" spans="9:12">
      <c r="I1486" s="225"/>
      <c r="K1486" s="9"/>
      <c r="L1486" s="9"/>
    </row>
    <row r="1487" s="105" customFormat="1" spans="9:12">
      <c r="I1487" s="225"/>
      <c r="K1487" s="9"/>
      <c r="L1487" s="9"/>
    </row>
    <row r="1488" s="105" customFormat="1" spans="9:12">
      <c r="I1488" s="225"/>
      <c r="K1488" s="9"/>
      <c r="L1488" s="9"/>
    </row>
    <row r="1489" s="105" customFormat="1" spans="9:12">
      <c r="I1489" s="225"/>
      <c r="K1489" s="9"/>
      <c r="L1489" s="9"/>
    </row>
    <row r="1490" s="105" customFormat="1" spans="9:12">
      <c r="I1490" s="225"/>
      <c r="K1490" s="9"/>
      <c r="L1490" s="9"/>
    </row>
    <row r="1491" s="105" customFormat="1" spans="9:12">
      <c r="I1491" s="225"/>
      <c r="K1491" s="9"/>
      <c r="L1491" s="9"/>
    </row>
    <row r="1492" s="105" customFormat="1" spans="9:12">
      <c r="I1492" s="225"/>
      <c r="K1492" s="9"/>
      <c r="L1492" s="9"/>
    </row>
    <row r="1493" s="105" customFormat="1" spans="9:12">
      <c r="I1493" s="225"/>
      <c r="K1493" s="9"/>
      <c r="L1493" s="9"/>
    </row>
    <row r="1494" s="105" customFormat="1" spans="9:12">
      <c r="I1494" s="225"/>
      <c r="K1494" s="9"/>
      <c r="L1494" s="9"/>
    </row>
    <row r="1495" s="105" customFormat="1" spans="9:12">
      <c r="I1495" s="225"/>
      <c r="K1495" s="9"/>
      <c r="L1495" s="9"/>
    </row>
    <row r="1496" s="105" customFormat="1" spans="9:12">
      <c r="I1496" s="225"/>
      <c r="K1496" s="9"/>
      <c r="L1496" s="9"/>
    </row>
    <row r="1497" s="105" customFormat="1" spans="9:12">
      <c r="I1497" s="225"/>
      <c r="K1497" s="9"/>
      <c r="L1497" s="9"/>
    </row>
    <row r="1498" s="105" customFormat="1" spans="9:12">
      <c r="I1498" s="225"/>
      <c r="K1498" s="9"/>
      <c r="L1498" s="9"/>
    </row>
    <row r="1499" s="105" customFormat="1" spans="9:12">
      <c r="I1499" s="225"/>
      <c r="K1499" s="9"/>
      <c r="L1499" s="9"/>
    </row>
    <row r="1500" s="105" customFormat="1" spans="9:12">
      <c r="I1500" s="225"/>
      <c r="K1500" s="9"/>
      <c r="L1500" s="9"/>
    </row>
    <row r="1501" s="105" customFormat="1" spans="9:12">
      <c r="I1501" s="225"/>
      <c r="K1501" s="9"/>
      <c r="L1501" s="9"/>
    </row>
    <row r="1502" s="105" customFormat="1" spans="9:12">
      <c r="I1502" s="225"/>
      <c r="K1502" s="9"/>
      <c r="L1502" s="9"/>
    </row>
    <row r="1503" s="105" customFormat="1" spans="9:12">
      <c r="I1503" s="225"/>
      <c r="K1503" s="9"/>
      <c r="L1503" s="9"/>
    </row>
    <row r="1504" s="105" customFormat="1" spans="9:12">
      <c r="I1504" s="225"/>
      <c r="K1504" s="9"/>
      <c r="L1504" s="9"/>
    </row>
    <row r="1505" s="105" customFormat="1" spans="9:12">
      <c r="I1505" s="225"/>
      <c r="K1505" s="9"/>
      <c r="L1505" s="9"/>
    </row>
    <row r="1506" s="105" customFormat="1" spans="9:12">
      <c r="I1506" s="225"/>
      <c r="K1506" s="9"/>
      <c r="L1506" s="9"/>
    </row>
    <row r="1507" s="105" customFormat="1" spans="9:12">
      <c r="I1507" s="225"/>
      <c r="K1507" s="9"/>
      <c r="L1507" s="9"/>
    </row>
    <row r="1508" s="105" customFormat="1" spans="9:12">
      <c r="I1508" s="225"/>
      <c r="K1508" s="9"/>
      <c r="L1508" s="9"/>
    </row>
    <row r="1509" s="105" customFormat="1" spans="9:12">
      <c r="I1509" s="225"/>
      <c r="K1509" s="9"/>
      <c r="L1509" s="9"/>
    </row>
    <row r="1510" s="105" customFormat="1" spans="9:12">
      <c r="I1510" s="225"/>
      <c r="K1510" s="9"/>
      <c r="L1510" s="9"/>
    </row>
    <row r="1511" s="105" customFormat="1" spans="9:12">
      <c r="I1511" s="225"/>
      <c r="K1511" s="9"/>
      <c r="L1511" s="9"/>
    </row>
    <row r="1512" s="105" customFormat="1" spans="9:12">
      <c r="I1512" s="225"/>
      <c r="K1512" s="9"/>
      <c r="L1512" s="9"/>
    </row>
    <row r="1513" s="105" customFormat="1" spans="9:12">
      <c r="I1513" s="225"/>
      <c r="K1513" s="9"/>
      <c r="L1513" s="9"/>
    </row>
    <row r="1514" s="105" customFormat="1" spans="9:12">
      <c r="I1514" s="225"/>
      <c r="K1514" s="9"/>
      <c r="L1514" s="9"/>
    </row>
    <row r="1515" s="105" customFormat="1" spans="9:12">
      <c r="I1515" s="225"/>
      <c r="K1515" s="9"/>
      <c r="L1515" s="9"/>
    </row>
    <row r="1516" s="105" customFormat="1" spans="9:12">
      <c r="I1516" s="225"/>
      <c r="K1516" s="9"/>
      <c r="L1516" s="9"/>
    </row>
    <row r="1517" s="105" customFormat="1" spans="9:12">
      <c r="I1517" s="225"/>
      <c r="K1517" s="9"/>
      <c r="L1517" s="9"/>
    </row>
    <row r="1518" s="105" customFormat="1" spans="9:12">
      <c r="I1518" s="225"/>
      <c r="K1518" s="9"/>
      <c r="L1518" s="9"/>
    </row>
    <row r="1519" s="105" customFormat="1" spans="9:12">
      <c r="I1519" s="225"/>
      <c r="K1519" s="9"/>
      <c r="L1519" s="9"/>
    </row>
    <row r="1520" s="105" customFormat="1" spans="9:12">
      <c r="I1520" s="225"/>
      <c r="K1520" s="9"/>
      <c r="L1520" s="9"/>
    </row>
    <row r="1521" s="105" customFormat="1" spans="9:12">
      <c r="I1521" s="225"/>
      <c r="K1521" s="9"/>
      <c r="L1521" s="9"/>
    </row>
    <row r="1522" s="105" customFormat="1" spans="9:12">
      <c r="I1522" s="225"/>
      <c r="K1522" s="9"/>
      <c r="L1522" s="9"/>
    </row>
    <row r="1523" s="105" customFormat="1" spans="9:12">
      <c r="I1523" s="225"/>
      <c r="K1523" s="9"/>
      <c r="L1523" s="9"/>
    </row>
    <row r="1524" s="105" customFormat="1" spans="9:12">
      <c r="I1524" s="225"/>
      <c r="K1524" s="9"/>
      <c r="L1524" s="9"/>
    </row>
    <row r="1525" s="105" customFormat="1" spans="9:12">
      <c r="I1525" s="225"/>
      <c r="K1525" s="9"/>
      <c r="L1525" s="9"/>
    </row>
    <row r="1526" s="105" customFormat="1" spans="9:12">
      <c r="I1526" s="225"/>
      <c r="K1526" s="9"/>
      <c r="L1526" s="9"/>
    </row>
    <row r="1527" s="105" customFormat="1" spans="9:12">
      <c r="I1527" s="225"/>
      <c r="K1527" s="9"/>
      <c r="L1527" s="9"/>
    </row>
    <row r="1528" s="105" customFormat="1" spans="9:12">
      <c r="I1528" s="225"/>
      <c r="K1528" s="9"/>
      <c r="L1528" s="9"/>
    </row>
    <row r="1529" s="105" customFormat="1" spans="9:12">
      <c r="I1529" s="225"/>
      <c r="K1529" s="9"/>
      <c r="L1529" s="9"/>
    </row>
    <row r="1530" s="105" customFormat="1" spans="9:12">
      <c r="I1530" s="225"/>
      <c r="K1530" s="9"/>
      <c r="L1530" s="9"/>
    </row>
    <row r="1531" s="105" customFormat="1" spans="9:12">
      <c r="I1531" s="225"/>
      <c r="K1531" s="9"/>
      <c r="L1531" s="9"/>
    </row>
    <row r="1532" s="105" customFormat="1" spans="9:12">
      <c r="I1532" s="225"/>
      <c r="K1532" s="9"/>
      <c r="L1532" s="9"/>
    </row>
    <row r="1533" s="105" customFormat="1" spans="9:12">
      <c r="I1533" s="225"/>
      <c r="K1533" s="9"/>
      <c r="L1533" s="9"/>
    </row>
    <row r="1534" s="105" customFormat="1" spans="9:12">
      <c r="I1534" s="225"/>
      <c r="K1534" s="9"/>
      <c r="L1534" s="9"/>
    </row>
    <row r="1535" s="105" customFormat="1" spans="9:12">
      <c r="I1535" s="225"/>
      <c r="K1535" s="9"/>
      <c r="L1535" s="9"/>
    </row>
    <row r="1536" s="105" customFormat="1" spans="9:12">
      <c r="I1536" s="225"/>
      <c r="K1536" s="9"/>
      <c r="L1536" s="9"/>
    </row>
    <row r="1537" s="105" customFormat="1" spans="9:12">
      <c r="I1537" s="225"/>
      <c r="K1537" s="9"/>
      <c r="L1537" s="9"/>
    </row>
    <row r="1538" s="105" customFormat="1" spans="9:12">
      <c r="I1538" s="225"/>
      <c r="K1538" s="9"/>
      <c r="L1538" s="9"/>
    </row>
    <row r="1539" s="105" customFormat="1" spans="9:12">
      <c r="I1539" s="225"/>
      <c r="K1539" s="9"/>
      <c r="L1539" s="9"/>
    </row>
    <row r="1540" s="105" customFormat="1" spans="9:12">
      <c r="I1540" s="225"/>
      <c r="K1540" s="9"/>
      <c r="L1540" s="9"/>
    </row>
    <row r="1541" s="105" customFormat="1" spans="9:12">
      <c r="I1541" s="225"/>
      <c r="K1541" s="9"/>
      <c r="L1541" s="9"/>
    </row>
    <row r="1542" s="105" customFormat="1" spans="9:12">
      <c r="I1542" s="225"/>
      <c r="K1542" s="9"/>
      <c r="L1542" s="9"/>
    </row>
    <row r="1543" s="105" customFormat="1" spans="9:12">
      <c r="I1543" s="225"/>
      <c r="K1543" s="9"/>
      <c r="L1543" s="9"/>
    </row>
    <row r="1544" s="105" customFormat="1" spans="9:12">
      <c r="I1544" s="225"/>
      <c r="K1544" s="9"/>
      <c r="L1544" s="9"/>
    </row>
    <row r="1545" s="105" customFormat="1" spans="9:12">
      <c r="I1545" s="225"/>
      <c r="K1545" s="9"/>
      <c r="L1545" s="9"/>
    </row>
    <row r="1546" s="105" customFormat="1" spans="9:12">
      <c r="I1546" s="225"/>
      <c r="K1546" s="9"/>
      <c r="L1546" s="9"/>
    </row>
    <row r="1547" s="105" customFormat="1" spans="9:12">
      <c r="I1547" s="225"/>
      <c r="K1547" s="9"/>
      <c r="L1547" s="9"/>
    </row>
    <row r="1548" s="105" customFormat="1" spans="9:12">
      <c r="I1548" s="225"/>
      <c r="K1548" s="9"/>
      <c r="L1548" s="9"/>
    </row>
    <row r="1549" s="105" customFormat="1" spans="9:12">
      <c r="I1549" s="225"/>
      <c r="K1549" s="9"/>
      <c r="L1549" s="9"/>
    </row>
    <row r="1550" s="105" customFormat="1" spans="9:12">
      <c r="I1550" s="225"/>
      <c r="K1550" s="9"/>
      <c r="L1550" s="9"/>
    </row>
    <row r="1551" s="105" customFormat="1" spans="9:12">
      <c r="I1551" s="225"/>
      <c r="K1551" s="9"/>
      <c r="L1551" s="9"/>
    </row>
    <row r="1552" s="105" customFormat="1" spans="9:12">
      <c r="I1552" s="225"/>
      <c r="K1552" s="9"/>
      <c r="L1552" s="9"/>
    </row>
    <row r="1553" s="105" customFormat="1" spans="9:12">
      <c r="I1553" s="225"/>
      <c r="K1553" s="9"/>
      <c r="L1553" s="9"/>
    </row>
    <row r="1554" s="105" customFormat="1" spans="9:12">
      <c r="I1554" s="225"/>
      <c r="K1554" s="9"/>
      <c r="L1554" s="9"/>
    </row>
    <row r="1555" s="105" customFormat="1" spans="9:12">
      <c r="I1555" s="225"/>
      <c r="K1555" s="9"/>
      <c r="L1555" s="9"/>
    </row>
    <row r="1556" s="105" customFormat="1" spans="9:12">
      <c r="I1556" s="225"/>
      <c r="K1556" s="9"/>
      <c r="L1556" s="9"/>
    </row>
    <row r="1557" s="105" customFormat="1" spans="9:12">
      <c r="I1557" s="225"/>
      <c r="K1557" s="9"/>
      <c r="L1557" s="9"/>
    </row>
    <row r="1558" s="105" customFormat="1" spans="9:12">
      <c r="I1558" s="225"/>
      <c r="K1558" s="9"/>
      <c r="L1558" s="9"/>
    </row>
    <row r="1559" s="105" customFormat="1" spans="9:12">
      <c r="I1559" s="225"/>
      <c r="K1559" s="9"/>
      <c r="L1559" s="9"/>
    </row>
    <row r="1560" s="105" customFormat="1" spans="9:12">
      <c r="I1560" s="225"/>
      <c r="K1560" s="9"/>
      <c r="L1560" s="9"/>
    </row>
    <row r="1561" s="105" customFormat="1" spans="9:12">
      <c r="I1561" s="225"/>
      <c r="K1561" s="9"/>
      <c r="L1561" s="9"/>
    </row>
    <row r="1562" s="105" customFormat="1" spans="9:12">
      <c r="I1562" s="225"/>
      <c r="K1562" s="9"/>
      <c r="L1562" s="9"/>
    </row>
    <row r="1563" s="105" customFormat="1" spans="9:12">
      <c r="I1563" s="225"/>
      <c r="K1563" s="9"/>
      <c r="L1563" s="9"/>
    </row>
    <row r="1564" s="105" customFormat="1" spans="9:12">
      <c r="I1564" s="225"/>
      <c r="K1564" s="9"/>
      <c r="L1564" s="9"/>
    </row>
    <row r="1565" s="105" customFormat="1" spans="9:12">
      <c r="I1565" s="225"/>
      <c r="K1565" s="9"/>
      <c r="L1565" s="9"/>
    </row>
    <row r="1566" s="105" customFormat="1" spans="9:12">
      <c r="I1566" s="225"/>
      <c r="K1566" s="9"/>
      <c r="L1566" s="9"/>
    </row>
    <row r="1567" s="105" customFormat="1" spans="9:12">
      <c r="I1567" s="225"/>
      <c r="K1567" s="9"/>
      <c r="L1567" s="9"/>
    </row>
    <row r="1568" s="105" customFormat="1" spans="9:12">
      <c r="I1568" s="225"/>
      <c r="K1568" s="9"/>
      <c r="L1568" s="9"/>
    </row>
    <row r="1569" s="105" customFormat="1" spans="9:12">
      <c r="I1569" s="225"/>
      <c r="K1569" s="9"/>
      <c r="L1569" s="9"/>
    </row>
    <row r="1570" s="105" customFormat="1" spans="9:12">
      <c r="I1570" s="225"/>
      <c r="K1570" s="9"/>
      <c r="L1570" s="9"/>
    </row>
    <row r="1571" s="105" customFormat="1" spans="9:12">
      <c r="I1571" s="225"/>
      <c r="K1571" s="9"/>
      <c r="L1571" s="9"/>
    </row>
    <row r="1572" s="105" customFormat="1" spans="9:12">
      <c r="I1572" s="225"/>
      <c r="K1572" s="9"/>
      <c r="L1572" s="9"/>
    </row>
    <row r="1573" s="105" customFormat="1" spans="9:12">
      <c r="I1573" s="225"/>
      <c r="K1573" s="9"/>
      <c r="L1573" s="9"/>
    </row>
    <row r="1574" s="105" customFormat="1" spans="9:12">
      <c r="I1574" s="225"/>
      <c r="K1574" s="9"/>
      <c r="L1574" s="9"/>
    </row>
    <row r="1575" s="105" customFormat="1" spans="9:12">
      <c r="I1575" s="225"/>
      <c r="K1575" s="9"/>
      <c r="L1575" s="9"/>
    </row>
    <row r="1576" s="105" customFormat="1" spans="9:12">
      <c r="I1576" s="225"/>
      <c r="K1576" s="9"/>
      <c r="L1576" s="9"/>
    </row>
    <row r="1577" s="105" customFormat="1" spans="9:12">
      <c r="I1577" s="225"/>
      <c r="K1577" s="9"/>
      <c r="L1577" s="9"/>
    </row>
    <row r="1578" s="105" customFormat="1" spans="9:12">
      <c r="I1578" s="225"/>
      <c r="K1578" s="9"/>
      <c r="L1578" s="9"/>
    </row>
    <row r="1579" s="105" customFormat="1" spans="9:12">
      <c r="I1579" s="225"/>
      <c r="K1579" s="9"/>
      <c r="L1579" s="9"/>
    </row>
    <row r="1580" s="105" customFormat="1" spans="9:12">
      <c r="I1580" s="225"/>
      <c r="K1580" s="9"/>
      <c r="L1580" s="9"/>
    </row>
    <row r="1581" s="105" customFormat="1" spans="9:12">
      <c r="I1581" s="225"/>
      <c r="K1581" s="9"/>
      <c r="L1581" s="9"/>
    </row>
    <row r="1582" s="105" customFormat="1" spans="9:12">
      <c r="I1582" s="225"/>
      <c r="K1582" s="9"/>
      <c r="L1582" s="9"/>
    </row>
    <row r="1583" s="105" customFormat="1" spans="9:12">
      <c r="I1583" s="225"/>
      <c r="K1583" s="9"/>
      <c r="L1583" s="9"/>
    </row>
    <row r="1584" s="105" customFormat="1" spans="9:12">
      <c r="I1584" s="225"/>
      <c r="K1584" s="9"/>
      <c r="L1584" s="9"/>
    </row>
    <row r="1585" s="105" customFormat="1" spans="9:12">
      <c r="I1585" s="225"/>
      <c r="K1585" s="9"/>
      <c r="L1585" s="9"/>
    </row>
    <row r="1586" s="105" customFormat="1" spans="9:12">
      <c r="I1586" s="225"/>
      <c r="K1586" s="9"/>
      <c r="L1586" s="9"/>
    </row>
    <row r="1587" s="105" customFormat="1" spans="9:12">
      <c r="I1587" s="225"/>
      <c r="K1587" s="9"/>
      <c r="L1587" s="9"/>
    </row>
    <row r="1588" s="105" customFormat="1" spans="9:12">
      <c r="I1588" s="225"/>
      <c r="K1588" s="9"/>
      <c r="L1588" s="9"/>
    </row>
    <row r="1589" s="105" customFormat="1" spans="9:12">
      <c r="I1589" s="225"/>
      <c r="K1589" s="9"/>
      <c r="L1589" s="9"/>
    </row>
    <row r="1590" s="105" customFormat="1" spans="9:12">
      <c r="I1590" s="225"/>
      <c r="K1590" s="9"/>
      <c r="L1590" s="9"/>
    </row>
    <row r="1591" s="105" customFormat="1" spans="9:12">
      <c r="I1591" s="225"/>
      <c r="K1591" s="9"/>
      <c r="L1591" s="9"/>
    </row>
    <row r="1592" s="105" customFormat="1" spans="9:12">
      <c r="I1592" s="225"/>
      <c r="K1592" s="9"/>
      <c r="L1592" s="9"/>
    </row>
    <row r="1593" s="105" customFormat="1" spans="9:12">
      <c r="I1593" s="225"/>
      <c r="K1593" s="9"/>
      <c r="L1593" s="9"/>
    </row>
    <row r="1594" s="105" customFormat="1" spans="9:12">
      <c r="I1594" s="225"/>
      <c r="K1594" s="9"/>
      <c r="L1594" s="9"/>
    </row>
    <row r="1595" s="105" customFormat="1" spans="9:12">
      <c r="I1595" s="225"/>
      <c r="K1595" s="9"/>
      <c r="L1595" s="9"/>
    </row>
    <row r="1596" s="105" customFormat="1" spans="9:12">
      <c r="I1596" s="225"/>
      <c r="K1596" s="9"/>
      <c r="L1596" s="9"/>
    </row>
    <row r="1597" s="105" customFormat="1" spans="9:12">
      <c r="I1597" s="225"/>
      <c r="K1597" s="9"/>
      <c r="L1597" s="9"/>
    </row>
    <row r="1598" s="105" customFormat="1" spans="9:12">
      <c r="I1598" s="225"/>
      <c r="K1598" s="9"/>
      <c r="L1598" s="9"/>
    </row>
    <row r="1599" s="105" customFormat="1" spans="9:12">
      <c r="I1599" s="225"/>
      <c r="K1599" s="9"/>
      <c r="L1599" s="9"/>
    </row>
    <row r="1600" s="105" customFormat="1" spans="9:12">
      <c r="I1600" s="225"/>
      <c r="K1600" s="9"/>
      <c r="L1600" s="9"/>
    </row>
    <row r="1601" s="105" customFormat="1" spans="9:12">
      <c r="I1601" s="225"/>
      <c r="K1601" s="9"/>
      <c r="L1601" s="9"/>
    </row>
    <row r="1602" s="105" customFormat="1" spans="9:12">
      <c r="I1602" s="225"/>
      <c r="K1602" s="9"/>
      <c r="L1602" s="9"/>
    </row>
    <row r="1603" s="105" customFormat="1" spans="9:12">
      <c r="I1603" s="225"/>
      <c r="K1603" s="9"/>
      <c r="L1603" s="9"/>
    </row>
    <row r="1604" s="105" customFormat="1" spans="9:12">
      <c r="I1604" s="225"/>
      <c r="K1604" s="9"/>
      <c r="L1604" s="9"/>
    </row>
    <row r="1605" s="105" customFormat="1" spans="9:12">
      <c r="I1605" s="225"/>
      <c r="K1605" s="9"/>
      <c r="L1605" s="9"/>
    </row>
    <row r="1606" s="105" customFormat="1" spans="9:12">
      <c r="I1606" s="225"/>
      <c r="K1606" s="9"/>
      <c r="L1606" s="9"/>
    </row>
    <row r="1607" s="105" customFormat="1" spans="9:12">
      <c r="I1607" s="225"/>
      <c r="K1607" s="9"/>
      <c r="L1607" s="9"/>
    </row>
    <row r="1608" s="105" customFormat="1" spans="9:12">
      <c r="I1608" s="225"/>
      <c r="K1608" s="9"/>
      <c r="L1608" s="9"/>
    </row>
    <row r="1609" s="105" customFormat="1" spans="9:12">
      <c r="I1609" s="225"/>
      <c r="K1609" s="9"/>
      <c r="L1609" s="9"/>
    </row>
    <row r="1610" s="105" customFormat="1" spans="9:12">
      <c r="I1610" s="225"/>
      <c r="K1610" s="9"/>
      <c r="L1610" s="9"/>
    </row>
    <row r="1611" s="105" customFormat="1" spans="9:12">
      <c r="I1611" s="225"/>
      <c r="K1611" s="9"/>
      <c r="L1611" s="9"/>
    </row>
    <row r="1612" s="105" customFormat="1" spans="9:12">
      <c r="I1612" s="225"/>
      <c r="K1612" s="9"/>
      <c r="L1612" s="9"/>
    </row>
    <row r="1613" s="105" customFormat="1" spans="9:12">
      <c r="I1613" s="225"/>
      <c r="K1613" s="9"/>
      <c r="L1613" s="9"/>
    </row>
    <row r="1614" s="105" customFormat="1" spans="9:12">
      <c r="I1614" s="225"/>
      <c r="K1614" s="9"/>
      <c r="L1614" s="9"/>
    </row>
    <row r="1615" s="105" customFormat="1" spans="9:12">
      <c r="I1615" s="225"/>
      <c r="K1615" s="9"/>
      <c r="L1615" s="9"/>
    </row>
    <row r="1616" s="105" customFormat="1" spans="9:12">
      <c r="I1616" s="225"/>
      <c r="K1616" s="9"/>
      <c r="L1616" s="9"/>
    </row>
    <row r="1617" s="105" customFormat="1" spans="9:12">
      <c r="I1617" s="225"/>
      <c r="K1617" s="9"/>
      <c r="L1617" s="9"/>
    </row>
    <row r="1618" s="105" customFormat="1" spans="9:12">
      <c r="I1618" s="225"/>
      <c r="K1618" s="9"/>
      <c r="L1618" s="9"/>
    </row>
    <row r="1619" s="105" customFormat="1" spans="9:12">
      <c r="I1619" s="225"/>
      <c r="K1619" s="9"/>
      <c r="L1619" s="9"/>
    </row>
    <row r="1620" s="105" customFormat="1" spans="9:12">
      <c r="I1620" s="225"/>
      <c r="K1620" s="9"/>
      <c r="L1620" s="9"/>
    </row>
    <row r="1621" s="105" customFormat="1" spans="9:12">
      <c r="I1621" s="225"/>
      <c r="K1621" s="9"/>
      <c r="L1621" s="9"/>
    </row>
    <row r="1622" s="105" customFormat="1" spans="9:12">
      <c r="I1622" s="225"/>
      <c r="K1622" s="9"/>
      <c r="L1622" s="9"/>
    </row>
    <row r="1623" s="105" customFormat="1" spans="9:12">
      <c r="I1623" s="225"/>
      <c r="K1623" s="9"/>
      <c r="L1623" s="9"/>
    </row>
    <row r="1624" s="105" customFormat="1" spans="9:12">
      <c r="I1624" s="225"/>
      <c r="K1624" s="9"/>
      <c r="L1624" s="9"/>
    </row>
    <row r="1625" s="105" customFormat="1" spans="9:12">
      <c r="I1625" s="225"/>
      <c r="K1625" s="9"/>
      <c r="L1625" s="9"/>
    </row>
    <row r="1626" s="105" customFormat="1" spans="9:12">
      <c r="I1626" s="225"/>
      <c r="K1626" s="9"/>
      <c r="L1626" s="9"/>
    </row>
    <row r="1627" s="105" customFormat="1" spans="9:12">
      <c r="I1627" s="225"/>
      <c r="K1627" s="9"/>
      <c r="L1627" s="9"/>
    </row>
    <row r="1628" s="105" customFormat="1" spans="9:12">
      <c r="I1628" s="225"/>
      <c r="K1628" s="9"/>
      <c r="L1628" s="9"/>
    </row>
    <row r="1629" s="105" customFormat="1" spans="9:12">
      <c r="I1629" s="225"/>
      <c r="K1629" s="9"/>
      <c r="L1629" s="9"/>
    </row>
    <row r="1630" s="105" customFormat="1" spans="9:12">
      <c r="I1630" s="225"/>
      <c r="K1630" s="9"/>
      <c r="L1630" s="9"/>
    </row>
    <row r="1631" s="105" customFormat="1" spans="9:12">
      <c r="I1631" s="225"/>
      <c r="K1631" s="9"/>
      <c r="L1631" s="9"/>
    </row>
    <row r="1632" s="105" customFormat="1" spans="9:12">
      <c r="I1632" s="225"/>
      <c r="K1632" s="9"/>
      <c r="L1632" s="9"/>
    </row>
    <row r="1633" s="105" customFormat="1" spans="9:12">
      <c r="I1633" s="225"/>
      <c r="K1633" s="9"/>
      <c r="L1633" s="9"/>
    </row>
    <row r="1634" s="105" customFormat="1" spans="9:12">
      <c r="I1634" s="225"/>
      <c r="K1634" s="9"/>
      <c r="L1634" s="9"/>
    </row>
    <row r="1635" s="105" customFormat="1" spans="9:12">
      <c r="I1635" s="225"/>
      <c r="K1635" s="9"/>
      <c r="L1635" s="9"/>
    </row>
    <row r="1636" s="105" customFormat="1" spans="9:12">
      <c r="I1636" s="225"/>
      <c r="K1636" s="9"/>
      <c r="L1636" s="9"/>
    </row>
    <row r="1637" s="105" customFormat="1" spans="9:12">
      <c r="I1637" s="225"/>
      <c r="K1637" s="9"/>
      <c r="L1637" s="9"/>
    </row>
    <row r="1638" s="105" customFormat="1" spans="9:12">
      <c r="I1638" s="225"/>
      <c r="K1638" s="9"/>
      <c r="L1638" s="9"/>
    </row>
    <row r="1639" s="105" customFormat="1" spans="9:12">
      <c r="I1639" s="225"/>
      <c r="K1639" s="9"/>
      <c r="L1639" s="9"/>
    </row>
    <row r="1640" s="105" customFormat="1" spans="9:12">
      <c r="I1640" s="225"/>
      <c r="K1640" s="9"/>
      <c r="L1640" s="9"/>
    </row>
    <row r="1641" s="105" customFormat="1" spans="9:12">
      <c r="I1641" s="225"/>
      <c r="K1641" s="9"/>
      <c r="L1641" s="9"/>
    </row>
    <row r="1642" s="105" customFormat="1" spans="9:12">
      <c r="I1642" s="225"/>
      <c r="K1642" s="9"/>
      <c r="L1642" s="9"/>
    </row>
    <row r="1643" s="105" customFormat="1" spans="9:12">
      <c r="I1643" s="225"/>
      <c r="K1643" s="9"/>
      <c r="L1643" s="9"/>
    </row>
    <row r="1644" s="105" customFormat="1" spans="9:12">
      <c r="I1644" s="225"/>
      <c r="K1644" s="9"/>
      <c r="L1644" s="9"/>
    </row>
    <row r="1645" s="105" customFormat="1" spans="9:12">
      <c r="I1645" s="225"/>
      <c r="K1645" s="9"/>
      <c r="L1645" s="9"/>
    </row>
    <row r="1646" s="105" customFormat="1" spans="9:12">
      <c r="I1646" s="225"/>
      <c r="K1646" s="9"/>
      <c r="L1646" s="9"/>
    </row>
    <row r="1647" s="105" customFormat="1" spans="9:12">
      <c r="I1647" s="225"/>
      <c r="K1647" s="9"/>
      <c r="L1647" s="9"/>
    </row>
    <row r="1648" s="105" customFormat="1" spans="9:12">
      <c r="I1648" s="225"/>
      <c r="K1648" s="9"/>
      <c r="L1648" s="9"/>
    </row>
    <row r="1649" s="105" customFormat="1" spans="9:12">
      <c r="I1649" s="225"/>
      <c r="K1649" s="9"/>
      <c r="L1649" s="9"/>
    </row>
    <row r="1650" s="105" customFormat="1" spans="9:12">
      <c r="I1650" s="225"/>
      <c r="K1650" s="9"/>
      <c r="L1650" s="9"/>
    </row>
    <row r="1651" s="105" customFormat="1" spans="9:12">
      <c r="I1651" s="225"/>
      <c r="K1651" s="9"/>
      <c r="L1651" s="9"/>
    </row>
    <row r="1652" s="105" customFormat="1" spans="9:12">
      <c r="I1652" s="225"/>
      <c r="K1652" s="9"/>
      <c r="L1652" s="9"/>
    </row>
    <row r="1653" s="105" customFormat="1" spans="9:12">
      <c r="I1653" s="225"/>
      <c r="K1653" s="9"/>
      <c r="L1653" s="9"/>
    </row>
    <row r="1654" s="105" customFormat="1" spans="9:12">
      <c r="I1654" s="225"/>
      <c r="K1654" s="9"/>
      <c r="L1654" s="9"/>
    </row>
    <row r="1655" s="105" customFormat="1" spans="9:12">
      <c r="I1655" s="225"/>
      <c r="K1655" s="9"/>
      <c r="L1655" s="9"/>
    </row>
    <row r="1656" s="105" customFormat="1" spans="9:12">
      <c r="I1656" s="225"/>
      <c r="K1656" s="9"/>
      <c r="L1656" s="9"/>
    </row>
    <row r="1657" s="105" customFormat="1" spans="9:12">
      <c r="I1657" s="225"/>
      <c r="K1657" s="9"/>
      <c r="L1657" s="9"/>
    </row>
    <row r="1658" s="105" customFormat="1" spans="9:12">
      <c r="I1658" s="225"/>
      <c r="K1658" s="9"/>
      <c r="L1658" s="9"/>
    </row>
    <row r="1659" s="105" customFormat="1" spans="9:12">
      <c r="I1659" s="225"/>
      <c r="K1659" s="9"/>
      <c r="L1659" s="9"/>
    </row>
    <row r="1660" s="105" customFormat="1" spans="9:12">
      <c r="I1660" s="225"/>
      <c r="K1660" s="9"/>
      <c r="L1660" s="9"/>
    </row>
    <row r="1661" s="105" customFormat="1" spans="9:12">
      <c r="I1661" s="225"/>
      <c r="K1661" s="9"/>
      <c r="L1661" s="9"/>
    </row>
    <row r="1662" s="105" customFormat="1" spans="9:12">
      <c r="I1662" s="225"/>
      <c r="K1662" s="9"/>
      <c r="L1662" s="9"/>
    </row>
    <row r="1663" s="105" customFormat="1" spans="9:12">
      <c r="I1663" s="225"/>
      <c r="K1663" s="9"/>
      <c r="L1663" s="9"/>
    </row>
    <row r="1664" s="105" customFormat="1" spans="9:12">
      <c r="I1664" s="225"/>
      <c r="K1664" s="9"/>
      <c r="L1664" s="9"/>
    </row>
    <row r="1665" s="105" customFormat="1" spans="9:12">
      <c r="I1665" s="225"/>
      <c r="K1665" s="9"/>
      <c r="L1665" s="9"/>
    </row>
    <row r="1666" s="105" customFormat="1" spans="9:12">
      <c r="I1666" s="225"/>
      <c r="K1666" s="9"/>
      <c r="L1666" s="9"/>
    </row>
    <row r="1667" s="105" customFormat="1" spans="9:12">
      <c r="I1667" s="225"/>
      <c r="K1667" s="9"/>
      <c r="L1667" s="9"/>
    </row>
    <row r="1668" s="105" customFormat="1" spans="9:12">
      <c r="I1668" s="225"/>
      <c r="K1668" s="9"/>
      <c r="L1668" s="9"/>
    </row>
    <row r="1669" s="105" customFormat="1" spans="9:12">
      <c r="I1669" s="225"/>
      <c r="K1669" s="9"/>
      <c r="L1669" s="9"/>
    </row>
    <row r="1670" s="105" customFormat="1" spans="9:12">
      <c r="I1670" s="225"/>
      <c r="K1670" s="9"/>
      <c r="L1670" s="9"/>
    </row>
    <row r="1671" s="105" customFormat="1" spans="9:12">
      <c r="I1671" s="225"/>
      <c r="K1671" s="9"/>
      <c r="L1671" s="9"/>
    </row>
    <row r="1672" s="105" customFormat="1" spans="9:12">
      <c r="I1672" s="225"/>
      <c r="K1672" s="9"/>
      <c r="L1672" s="9"/>
    </row>
    <row r="1673" s="105" customFormat="1" spans="9:12">
      <c r="I1673" s="225"/>
      <c r="K1673" s="9"/>
      <c r="L1673" s="9"/>
    </row>
    <row r="1674" s="105" customFormat="1" spans="9:12">
      <c r="I1674" s="225"/>
      <c r="K1674" s="9"/>
      <c r="L1674" s="9"/>
    </row>
    <row r="1675" s="105" customFormat="1" spans="9:12">
      <c r="I1675" s="225"/>
      <c r="K1675" s="9"/>
      <c r="L1675" s="9"/>
    </row>
    <row r="1676" s="105" customFormat="1" spans="9:12">
      <c r="I1676" s="225"/>
      <c r="K1676" s="9"/>
      <c r="L1676" s="9"/>
    </row>
    <row r="1677" s="105" customFormat="1" spans="9:12">
      <c r="I1677" s="225"/>
      <c r="K1677" s="9"/>
      <c r="L1677" s="9"/>
    </row>
    <row r="1678" s="105" customFormat="1" spans="9:12">
      <c r="I1678" s="225"/>
      <c r="K1678" s="9"/>
      <c r="L1678" s="9"/>
    </row>
    <row r="1679" s="105" customFormat="1" spans="9:12">
      <c r="I1679" s="225"/>
      <c r="K1679" s="9"/>
      <c r="L1679" s="9"/>
    </row>
    <row r="1680" s="105" customFormat="1" spans="9:12">
      <c r="I1680" s="225"/>
      <c r="K1680" s="9"/>
      <c r="L1680" s="9"/>
    </row>
    <row r="1681" s="105" customFormat="1" spans="9:12">
      <c r="I1681" s="225"/>
      <c r="K1681" s="9"/>
      <c r="L1681" s="9"/>
    </row>
    <row r="1682" s="105" customFormat="1" spans="9:12">
      <c r="I1682" s="225"/>
      <c r="K1682" s="9"/>
      <c r="L1682" s="9"/>
    </row>
    <row r="1683" s="105" customFormat="1" spans="9:12">
      <c r="I1683" s="225"/>
      <c r="K1683" s="9"/>
      <c r="L1683" s="9"/>
    </row>
    <row r="1684" s="105" customFormat="1" spans="9:12">
      <c r="I1684" s="225"/>
      <c r="K1684" s="9"/>
      <c r="L1684" s="9"/>
    </row>
    <row r="1685" s="105" customFormat="1" spans="9:12">
      <c r="I1685" s="225"/>
      <c r="K1685" s="9"/>
      <c r="L1685" s="9"/>
    </row>
    <row r="1686" s="105" customFormat="1" spans="9:12">
      <c r="I1686" s="225"/>
      <c r="K1686" s="9"/>
      <c r="L1686" s="9"/>
    </row>
    <row r="1687" s="105" customFormat="1" spans="9:12">
      <c r="I1687" s="225"/>
      <c r="K1687" s="9"/>
      <c r="L1687" s="9"/>
    </row>
    <row r="1688" s="105" customFormat="1" spans="9:12">
      <c r="I1688" s="225"/>
      <c r="K1688" s="9"/>
      <c r="L1688" s="9"/>
    </row>
    <row r="1689" s="105" customFormat="1" spans="9:12">
      <c r="I1689" s="225"/>
      <c r="K1689" s="9"/>
      <c r="L1689" s="9"/>
    </row>
    <row r="1690" s="105" customFormat="1" spans="9:12">
      <c r="I1690" s="225"/>
      <c r="K1690" s="9"/>
      <c r="L1690" s="9"/>
    </row>
    <row r="1691" s="105" customFormat="1" spans="9:12">
      <c r="I1691" s="225"/>
      <c r="K1691" s="9"/>
      <c r="L1691" s="9"/>
    </row>
    <row r="1692" s="105" customFormat="1" spans="9:12">
      <c r="I1692" s="225"/>
      <c r="K1692" s="9"/>
      <c r="L1692" s="9"/>
    </row>
    <row r="1693" s="105" customFormat="1" spans="9:12">
      <c r="I1693" s="225"/>
      <c r="K1693" s="9"/>
      <c r="L1693" s="9"/>
    </row>
    <row r="1694" s="105" customFormat="1" spans="9:12">
      <c r="I1694" s="225"/>
      <c r="K1694" s="9"/>
      <c r="L1694" s="9"/>
    </row>
    <row r="1695" s="105" customFormat="1" spans="9:12">
      <c r="I1695" s="225"/>
      <c r="K1695" s="9"/>
      <c r="L1695" s="9"/>
    </row>
    <row r="1696" s="105" customFormat="1" spans="9:12">
      <c r="I1696" s="225"/>
      <c r="K1696" s="9"/>
      <c r="L1696" s="9"/>
    </row>
    <row r="1697" s="105" customFormat="1" spans="9:12">
      <c r="I1697" s="225"/>
      <c r="K1697" s="9"/>
      <c r="L1697" s="9"/>
    </row>
    <row r="1698" s="105" customFormat="1" spans="9:12">
      <c r="I1698" s="225"/>
      <c r="K1698" s="9"/>
      <c r="L1698" s="9"/>
    </row>
    <row r="1699" s="105" customFormat="1" spans="9:12">
      <c r="I1699" s="225"/>
      <c r="K1699" s="9"/>
      <c r="L1699" s="9"/>
    </row>
    <row r="1700" s="105" customFormat="1" spans="9:12">
      <c r="I1700" s="225"/>
      <c r="K1700" s="9"/>
      <c r="L1700" s="9"/>
    </row>
    <row r="1701" s="105" customFormat="1" spans="9:12">
      <c r="I1701" s="225"/>
      <c r="K1701" s="9"/>
      <c r="L1701" s="9"/>
    </row>
    <row r="1702" s="105" customFormat="1" spans="9:12">
      <c r="I1702" s="225"/>
      <c r="K1702" s="9"/>
      <c r="L1702" s="9"/>
    </row>
    <row r="1703" s="105" customFormat="1" spans="9:12">
      <c r="I1703" s="225"/>
      <c r="K1703" s="9"/>
      <c r="L1703" s="9"/>
    </row>
    <row r="1704" s="105" customFormat="1" spans="9:12">
      <c r="I1704" s="225"/>
      <c r="K1704" s="9"/>
      <c r="L1704" s="9"/>
    </row>
    <row r="1705" s="105" customFormat="1" spans="9:12">
      <c r="I1705" s="225"/>
      <c r="K1705" s="9"/>
      <c r="L1705" s="9"/>
    </row>
    <row r="1706" s="105" customFormat="1" spans="9:12">
      <c r="I1706" s="225"/>
      <c r="K1706" s="9"/>
      <c r="L1706" s="9"/>
    </row>
    <row r="1707" s="105" customFormat="1" spans="9:12">
      <c r="I1707" s="225"/>
      <c r="K1707" s="9"/>
      <c r="L1707" s="9"/>
    </row>
    <row r="1708" s="105" customFormat="1" spans="9:12">
      <c r="I1708" s="225"/>
      <c r="K1708" s="9"/>
      <c r="L1708" s="9"/>
    </row>
    <row r="1709" s="105" customFormat="1" spans="9:12">
      <c r="I1709" s="225"/>
      <c r="K1709" s="9"/>
      <c r="L1709" s="9"/>
    </row>
    <row r="1710" s="105" customFormat="1" spans="9:12">
      <c r="I1710" s="225"/>
      <c r="K1710" s="9"/>
      <c r="L1710" s="9"/>
    </row>
    <row r="1711" s="105" customFormat="1" spans="9:12">
      <c r="I1711" s="225"/>
      <c r="K1711" s="9"/>
      <c r="L1711" s="9"/>
    </row>
    <row r="1712" s="105" customFormat="1" spans="9:12">
      <c r="I1712" s="225"/>
      <c r="K1712" s="9"/>
      <c r="L1712" s="9"/>
    </row>
    <row r="1713" s="105" customFormat="1" spans="9:12">
      <c r="I1713" s="225"/>
      <c r="K1713" s="9"/>
      <c r="L1713" s="9"/>
    </row>
    <row r="1714" s="105" customFormat="1" spans="9:12">
      <c r="I1714" s="225"/>
      <c r="K1714" s="9"/>
      <c r="L1714" s="9"/>
    </row>
    <row r="1715" s="105" customFormat="1" spans="9:12">
      <c r="I1715" s="225"/>
      <c r="K1715" s="9"/>
      <c r="L1715" s="9"/>
    </row>
    <row r="1716" s="105" customFormat="1" spans="9:12">
      <c r="I1716" s="225"/>
      <c r="K1716" s="9"/>
      <c r="L1716" s="9"/>
    </row>
    <row r="1717" s="105" customFormat="1" spans="9:12">
      <c r="I1717" s="225"/>
      <c r="K1717" s="9"/>
      <c r="L1717" s="9"/>
    </row>
    <row r="1718" s="105" customFormat="1" spans="9:12">
      <c r="I1718" s="225"/>
      <c r="K1718" s="9"/>
      <c r="L1718" s="9"/>
    </row>
    <row r="1719" s="105" customFormat="1" spans="9:12">
      <c r="I1719" s="225"/>
      <c r="K1719" s="9"/>
      <c r="L1719" s="9"/>
    </row>
    <row r="1720" s="105" customFormat="1" spans="9:12">
      <c r="I1720" s="225"/>
      <c r="K1720" s="9"/>
      <c r="L1720" s="9"/>
    </row>
    <row r="1721" s="105" customFormat="1" spans="9:12">
      <c r="I1721" s="225"/>
      <c r="K1721" s="9"/>
      <c r="L1721" s="9"/>
    </row>
    <row r="1722" s="105" customFormat="1" spans="9:12">
      <c r="I1722" s="225"/>
      <c r="K1722" s="9"/>
      <c r="L1722" s="9"/>
    </row>
    <row r="1723" s="105" customFormat="1" spans="9:12">
      <c r="I1723" s="225"/>
      <c r="K1723" s="9"/>
      <c r="L1723" s="9"/>
    </row>
    <row r="1724" s="105" customFormat="1" spans="9:12">
      <c r="I1724" s="225"/>
      <c r="K1724" s="9"/>
      <c r="L1724" s="9"/>
    </row>
    <row r="1725" s="105" customFormat="1" spans="9:12">
      <c r="I1725" s="225"/>
      <c r="K1725" s="9"/>
      <c r="L1725" s="9"/>
    </row>
    <row r="1726" s="105" customFormat="1" spans="9:12">
      <c r="I1726" s="225"/>
      <c r="K1726" s="9"/>
      <c r="L1726" s="9"/>
    </row>
    <row r="1727" s="105" customFormat="1" spans="9:12">
      <c r="I1727" s="225"/>
      <c r="K1727" s="9"/>
      <c r="L1727" s="9"/>
    </row>
    <row r="1728" s="105" customFormat="1" spans="9:12">
      <c r="I1728" s="225"/>
      <c r="K1728" s="9"/>
      <c r="L1728" s="9"/>
    </row>
    <row r="1729" s="105" customFormat="1" spans="9:12">
      <c r="I1729" s="225"/>
      <c r="K1729" s="9"/>
      <c r="L1729" s="9"/>
    </row>
    <row r="1730" s="105" customFormat="1" spans="9:12">
      <c r="I1730" s="225"/>
      <c r="K1730" s="9"/>
      <c r="L1730" s="9"/>
    </row>
    <row r="1731" s="105" customFormat="1" spans="9:12">
      <c r="I1731" s="225"/>
      <c r="K1731" s="9"/>
      <c r="L1731" s="9"/>
    </row>
    <row r="1732" s="105" customFormat="1" spans="9:12">
      <c r="I1732" s="225"/>
      <c r="K1732" s="9"/>
      <c r="L1732" s="9"/>
    </row>
    <row r="1733" s="105" customFormat="1" spans="9:12">
      <c r="I1733" s="225"/>
      <c r="K1733" s="9"/>
      <c r="L1733" s="9"/>
    </row>
    <row r="1734" s="105" customFormat="1" spans="9:12">
      <c r="I1734" s="225"/>
      <c r="K1734" s="9"/>
      <c r="L1734" s="9"/>
    </row>
    <row r="1735" s="105" customFormat="1" spans="9:12">
      <c r="I1735" s="225"/>
      <c r="K1735" s="9"/>
      <c r="L1735" s="9"/>
    </row>
    <row r="1736" s="105" customFormat="1" spans="9:12">
      <c r="I1736" s="225"/>
      <c r="K1736" s="9"/>
      <c r="L1736" s="9"/>
    </row>
    <row r="1737" s="105" customFormat="1" spans="9:12">
      <c r="I1737" s="225"/>
      <c r="K1737" s="9"/>
      <c r="L1737" s="9"/>
    </row>
    <row r="1738" s="105" customFormat="1" spans="9:12">
      <c r="I1738" s="225"/>
      <c r="K1738" s="9"/>
      <c r="L1738" s="9"/>
    </row>
    <row r="1739" s="105" customFormat="1" spans="9:12">
      <c r="I1739" s="225"/>
      <c r="K1739" s="9"/>
      <c r="L1739" s="9"/>
    </row>
    <row r="1740" s="105" customFormat="1" spans="9:12">
      <c r="I1740" s="225"/>
      <c r="K1740" s="9"/>
      <c r="L1740" s="9"/>
    </row>
    <row r="1741" s="105" customFormat="1" spans="9:12">
      <c r="I1741" s="225"/>
      <c r="K1741" s="9"/>
      <c r="L1741" s="9"/>
    </row>
    <row r="1742" s="105" customFormat="1" spans="9:12">
      <c r="I1742" s="225"/>
      <c r="K1742" s="9"/>
      <c r="L1742" s="9"/>
    </row>
    <row r="1743" s="105" customFormat="1" spans="9:12">
      <c r="I1743" s="225"/>
      <c r="K1743" s="9"/>
      <c r="L1743" s="9"/>
    </row>
    <row r="1744" s="105" customFormat="1" spans="9:12">
      <c r="I1744" s="225"/>
      <c r="K1744" s="9"/>
      <c r="L1744" s="9"/>
    </row>
    <row r="1745" s="105" customFormat="1" spans="9:12">
      <c r="I1745" s="225"/>
      <c r="K1745" s="9"/>
      <c r="L1745" s="9"/>
    </row>
    <row r="1746" s="105" customFormat="1" spans="9:12">
      <c r="I1746" s="225"/>
      <c r="K1746" s="9"/>
      <c r="L1746" s="9"/>
    </row>
    <row r="1747" s="105" customFormat="1" spans="9:12">
      <c r="I1747" s="225"/>
      <c r="K1747" s="9"/>
      <c r="L1747" s="9"/>
    </row>
    <row r="1748" s="105" customFormat="1" spans="9:12">
      <c r="I1748" s="225"/>
      <c r="K1748" s="9"/>
      <c r="L1748" s="9"/>
    </row>
    <row r="1749" s="105" customFormat="1" spans="9:12">
      <c r="I1749" s="225"/>
      <c r="K1749" s="9"/>
      <c r="L1749" s="9"/>
    </row>
    <row r="1750" s="105" customFormat="1" spans="9:12">
      <c r="I1750" s="225"/>
      <c r="K1750" s="9"/>
      <c r="L1750" s="9"/>
    </row>
    <row r="1751" s="105" customFormat="1" spans="9:12">
      <c r="I1751" s="225"/>
      <c r="K1751" s="9"/>
      <c r="L1751" s="9"/>
    </row>
    <row r="1752" s="105" customFormat="1" spans="9:12">
      <c r="I1752" s="225"/>
      <c r="K1752" s="9"/>
      <c r="L1752" s="9"/>
    </row>
    <row r="1753" s="105" customFormat="1" spans="9:12">
      <c r="I1753" s="225"/>
      <c r="K1753" s="9"/>
      <c r="L1753" s="9"/>
    </row>
    <row r="1754" s="105" customFormat="1" spans="9:12">
      <c r="I1754" s="225"/>
      <c r="K1754" s="9"/>
      <c r="L1754" s="9"/>
    </row>
    <row r="1755" s="105" customFormat="1" spans="9:12">
      <c r="I1755" s="225"/>
      <c r="K1755" s="9"/>
      <c r="L1755" s="9"/>
    </row>
    <row r="1756" s="105" customFormat="1" spans="9:12">
      <c r="I1756" s="225"/>
      <c r="K1756" s="9"/>
      <c r="L1756" s="9"/>
    </row>
    <row r="1757" s="105" customFormat="1" spans="9:12">
      <c r="I1757" s="225"/>
      <c r="K1757" s="9"/>
      <c r="L1757" s="9"/>
    </row>
    <row r="1758" s="105" customFormat="1" spans="9:12">
      <c r="I1758" s="225"/>
      <c r="K1758" s="9"/>
      <c r="L1758" s="9"/>
    </row>
    <row r="1759" s="105" customFormat="1" spans="9:12">
      <c r="I1759" s="225"/>
      <c r="K1759" s="9"/>
      <c r="L1759" s="9"/>
    </row>
    <row r="1760" s="105" customFormat="1" spans="9:12">
      <c r="I1760" s="225"/>
      <c r="K1760" s="9"/>
      <c r="L1760" s="9"/>
    </row>
    <row r="1761" s="105" customFormat="1" spans="9:12">
      <c r="I1761" s="225"/>
      <c r="K1761" s="9"/>
      <c r="L1761" s="9"/>
    </row>
    <row r="1762" s="105" customFormat="1" spans="9:12">
      <c r="I1762" s="225"/>
      <c r="K1762" s="9"/>
      <c r="L1762" s="9"/>
    </row>
    <row r="1763" s="105" customFormat="1" spans="9:12">
      <c r="I1763" s="225"/>
      <c r="K1763" s="9"/>
      <c r="L1763" s="9"/>
    </row>
    <row r="1764" s="105" customFormat="1" spans="9:12">
      <c r="I1764" s="225"/>
      <c r="K1764" s="9"/>
      <c r="L1764" s="9"/>
    </row>
    <row r="1765" s="105" customFormat="1" spans="9:12">
      <c r="I1765" s="225"/>
      <c r="K1765" s="9"/>
      <c r="L1765" s="9"/>
    </row>
    <row r="1766" s="105" customFormat="1" spans="9:12">
      <c r="I1766" s="225"/>
      <c r="K1766" s="9"/>
      <c r="L1766" s="9"/>
    </row>
    <row r="1767" s="105" customFormat="1" spans="9:12">
      <c r="I1767" s="225"/>
      <c r="K1767" s="9"/>
      <c r="L1767" s="9"/>
    </row>
    <row r="1768" s="105" customFormat="1" spans="9:12">
      <c r="I1768" s="225"/>
      <c r="K1768" s="9"/>
      <c r="L1768" s="9"/>
    </row>
    <row r="1769" s="105" customFormat="1" spans="9:12">
      <c r="I1769" s="225"/>
      <c r="K1769" s="9"/>
      <c r="L1769" s="9"/>
    </row>
    <row r="1770" s="105" customFormat="1" spans="9:12">
      <c r="I1770" s="225"/>
      <c r="K1770" s="9"/>
      <c r="L1770" s="9"/>
    </row>
    <row r="1771" s="105" customFormat="1" spans="9:12">
      <c r="I1771" s="225"/>
      <c r="K1771" s="9"/>
      <c r="L1771" s="9"/>
    </row>
    <row r="1772" s="105" customFormat="1" spans="9:12">
      <c r="I1772" s="225"/>
      <c r="K1772" s="9"/>
      <c r="L1772" s="9"/>
    </row>
    <row r="1773" s="105" customFormat="1" spans="9:12">
      <c r="I1773" s="225"/>
      <c r="K1773" s="9"/>
      <c r="L1773" s="9"/>
    </row>
    <row r="1774" s="105" customFormat="1" spans="9:12">
      <c r="I1774" s="225"/>
      <c r="K1774" s="9"/>
      <c r="L1774" s="9"/>
    </row>
    <row r="1775" s="105" customFormat="1" spans="9:12">
      <c r="I1775" s="225"/>
      <c r="K1775" s="9"/>
      <c r="L1775" s="9"/>
    </row>
    <row r="1776" s="105" customFormat="1" spans="9:12">
      <c r="I1776" s="225"/>
      <c r="K1776" s="9"/>
      <c r="L1776" s="9"/>
    </row>
    <row r="1777" s="105" customFormat="1" spans="9:12">
      <c r="I1777" s="225"/>
      <c r="K1777" s="9"/>
      <c r="L1777" s="9"/>
    </row>
    <row r="1778" s="105" customFormat="1" spans="9:12">
      <c r="I1778" s="225"/>
      <c r="K1778" s="9"/>
      <c r="L1778" s="9"/>
    </row>
    <row r="1779" s="105" customFormat="1" spans="9:12">
      <c r="I1779" s="225"/>
      <c r="K1779" s="9"/>
      <c r="L1779" s="9"/>
    </row>
    <row r="1780" s="105" customFormat="1" spans="9:12">
      <c r="I1780" s="225"/>
      <c r="K1780" s="9"/>
      <c r="L1780" s="9"/>
    </row>
    <row r="1781" s="105" customFormat="1" spans="9:12">
      <c r="I1781" s="225"/>
      <c r="K1781" s="9"/>
      <c r="L1781" s="9"/>
    </row>
    <row r="1782" s="105" customFormat="1" spans="9:12">
      <c r="I1782" s="225"/>
      <c r="K1782" s="9"/>
      <c r="L1782" s="9"/>
    </row>
    <row r="1783" s="105" customFormat="1" spans="9:12">
      <c r="I1783" s="225"/>
      <c r="K1783" s="9"/>
      <c r="L1783" s="9"/>
    </row>
    <row r="1784" s="105" customFormat="1" spans="9:12">
      <c r="I1784" s="225"/>
      <c r="K1784" s="9"/>
      <c r="L1784" s="9"/>
    </row>
    <row r="1785" s="105" customFormat="1" spans="9:12">
      <c r="I1785" s="225"/>
      <c r="K1785" s="9"/>
      <c r="L1785" s="9"/>
    </row>
    <row r="1786" s="105" customFormat="1" spans="9:12">
      <c r="I1786" s="225"/>
      <c r="K1786" s="9"/>
      <c r="L1786" s="9"/>
    </row>
    <row r="1787" s="105" customFormat="1" spans="9:12">
      <c r="I1787" s="225"/>
      <c r="K1787" s="9"/>
      <c r="L1787" s="9"/>
    </row>
    <row r="1788" s="105" customFormat="1" spans="9:12">
      <c r="I1788" s="225"/>
      <c r="K1788" s="9"/>
      <c r="L1788" s="9"/>
    </row>
    <row r="1789" s="105" customFormat="1" spans="9:12">
      <c r="I1789" s="225"/>
      <c r="K1789" s="9"/>
      <c r="L1789" s="9"/>
    </row>
    <row r="1790" s="105" customFormat="1" spans="9:12">
      <c r="I1790" s="225"/>
      <c r="K1790" s="9"/>
      <c r="L1790" s="9"/>
    </row>
    <row r="1791" s="105" customFormat="1" spans="9:12">
      <c r="I1791" s="225"/>
      <c r="K1791" s="9"/>
      <c r="L1791" s="9"/>
    </row>
    <row r="1792" s="105" customFormat="1" spans="9:12">
      <c r="I1792" s="225"/>
      <c r="K1792" s="9"/>
      <c r="L1792" s="9"/>
    </row>
    <row r="1793" s="105" customFormat="1" spans="9:12">
      <c r="I1793" s="225"/>
      <c r="K1793" s="9"/>
      <c r="L1793" s="9"/>
    </row>
    <row r="1794" s="105" customFormat="1" spans="9:12">
      <c r="I1794" s="225"/>
      <c r="K1794" s="9"/>
      <c r="L1794" s="9"/>
    </row>
    <row r="1795" s="105" customFormat="1" spans="9:12">
      <c r="I1795" s="225"/>
      <c r="K1795" s="9"/>
      <c r="L1795" s="9"/>
    </row>
    <row r="1796" s="105" customFormat="1" spans="9:12">
      <c r="I1796" s="225"/>
      <c r="K1796" s="9"/>
      <c r="L1796" s="9"/>
    </row>
    <row r="1797" s="105" customFormat="1" spans="9:12">
      <c r="I1797" s="225"/>
      <c r="K1797" s="9"/>
      <c r="L1797" s="9"/>
    </row>
    <row r="1798" s="105" customFormat="1" spans="9:12">
      <c r="I1798" s="225"/>
      <c r="K1798" s="9"/>
      <c r="L1798" s="9"/>
    </row>
    <row r="1799" s="105" customFormat="1" spans="9:12">
      <c r="I1799" s="225"/>
      <c r="K1799" s="9"/>
      <c r="L1799" s="9"/>
    </row>
    <row r="1800" s="105" customFormat="1" spans="9:12">
      <c r="I1800" s="225"/>
      <c r="K1800" s="9"/>
      <c r="L1800" s="9"/>
    </row>
    <row r="1801" s="105" customFormat="1" spans="9:12">
      <c r="I1801" s="225"/>
      <c r="K1801" s="9"/>
      <c r="L1801" s="9"/>
    </row>
    <row r="1802" s="105" customFormat="1" spans="9:12">
      <c r="I1802" s="225"/>
      <c r="K1802" s="9"/>
      <c r="L1802" s="9"/>
    </row>
    <row r="1803" s="105" customFormat="1" spans="9:12">
      <c r="I1803" s="225"/>
      <c r="K1803" s="9"/>
      <c r="L1803" s="9"/>
    </row>
    <row r="1804" s="105" customFormat="1" spans="9:12">
      <c r="I1804" s="225"/>
      <c r="K1804" s="9"/>
      <c r="L1804" s="9"/>
    </row>
    <row r="1805" s="105" customFormat="1" spans="9:12">
      <c r="I1805" s="225"/>
      <c r="K1805" s="9"/>
      <c r="L1805" s="9"/>
    </row>
    <row r="1806" s="105" customFormat="1" spans="9:12">
      <c r="I1806" s="225"/>
      <c r="K1806" s="9"/>
      <c r="L1806" s="9"/>
    </row>
    <row r="1807" s="105" customFormat="1" spans="9:12">
      <c r="I1807" s="225"/>
      <c r="K1807" s="9"/>
      <c r="L1807" s="9"/>
    </row>
    <row r="1808" s="105" customFormat="1" spans="9:12">
      <c r="I1808" s="225"/>
      <c r="K1808" s="9"/>
      <c r="L1808" s="9"/>
    </row>
    <row r="1809" s="105" customFormat="1" spans="9:12">
      <c r="I1809" s="225"/>
      <c r="K1809" s="9"/>
      <c r="L1809" s="9"/>
    </row>
    <row r="1810" s="105" customFormat="1" spans="9:12">
      <c r="I1810" s="225"/>
      <c r="K1810" s="9"/>
      <c r="L1810" s="9"/>
    </row>
    <row r="1811" s="105" customFormat="1" spans="9:12">
      <c r="I1811" s="225"/>
      <c r="K1811" s="9"/>
      <c r="L1811" s="9"/>
    </row>
    <row r="1812" s="105" customFormat="1" spans="9:12">
      <c r="I1812" s="225"/>
      <c r="K1812" s="9"/>
      <c r="L1812" s="9"/>
    </row>
    <row r="1813" s="105" customFormat="1" spans="9:12">
      <c r="I1813" s="225"/>
      <c r="K1813" s="9"/>
      <c r="L1813" s="9"/>
    </row>
    <row r="1814" s="105" customFormat="1" spans="9:12">
      <c r="I1814" s="225"/>
      <c r="K1814" s="9"/>
      <c r="L1814" s="9"/>
    </row>
    <row r="1815" s="105" customFormat="1" spans="9:12">
      <c r="I1815" s="225"/>
      <c r="K1815" s="9"/>
      <c r="L1815" s="9"/>
    </row>
    <row r="1816" s="105" customFormat="1" spans="9:12">
      <c r="I1816" s="225"/>
      <c r="K1816" s="9"/>
      <c r="L1816" s="9"/>
    </row>
    <row r="1817" s="105" customFormat="1" spans="9:12">
      <c r="I1817" s="225"/>
      <c r="K1817" s="9"/>
      <c r="L1817" s="9"/>
    </row>
    <row r="1818" s="105" customFormat="1" spans="9:12">
      <c r="I1818" s="225"/>
      <c r="K1818" s="9"/>
      <c r="L1818" s="9"/>
    </row>
    <row r="1819" s="105" customFormat="1" spans="9:12">
      <c r="I1819" s="225"/>
      <c r="K1819" s="9"/>
      <c r="L1819" s="9"/>
    </row>
    <row r="1820" s="105" customFormat="1" spans="9:12">
      <c r="I1820" s="225"/>
      <c r="K1820" s="9"/>
      <c r="L1820" s="9"/>
    </row>
    <row r="1821" s="105" customFormat="1" spans="9:12">
      <c r="I1821" s="225"/>
      <c r="K1821" s="9"/>
      <c r="L1821" s="9"/>
    </row>
    <row r="1822" s="105" customFormat="1" spans="9:12">
      <c r="I1822" s="225"/>
      <c r="K1822" s="9"/>
      <c r="L1822" s="9"/>
    </row>
    <row r="1823" s="105" customFormat="1" spans="9:12">
      <c r="I1823" s="225"/>
      <c r="K1823" s="9"/>
      <c r="L1823" s="9"/>
    </row>
    <row r="1824" s="105" customFormat="1" spans="9:12">
      <c r="I1824" s="225"/>
      <c r="K1824" s="9"/>
      <c r="L1824" s="9"/>
    </row>
    <row r="1825" s="105" customFormat="1" spans="9:12">
      <c r="I1825" s="225"/>
      <c r="K1825" s="9"/>
      <c r="L1825" s="9"/>
    </row>
    <row r="1826" s="105" customFormat="1" spans="9:12">
      <c r="I1826" s="225"/>
      <c r="K1826" s="9"/>
      <c r="L1826" s="9"/>
    </row>
    <row r="1827" s="105" customFormat="1" spans="9:12">
      <c r="I1827" s="225"/>
      <c r="K1827" s="9"/>
      <c r="L1827" s="9"/>
    </row>
    <row r="1828" s="105" customFormat="1" spans="9:12">
      <c r="I1828" s="225"/>
      <c r="K1828" s="9"/>
      <c r="L1828" s="9"/>
    </row>
    <row r="1829" s="105" customFormat="1" spans="9:12">
      <c r="I1829" s="225"/>
      <c r="K1829" s="9"/>
      <c r="L1829" s="9"/>
    </row>
    <row r="1830" s="105" customFormat="1" spans="9:12">
      <c r="I1830" s="225"/>
      <c r="K1830" s="9"/>
      <c r="L1830" s="9"/>
    </row>
    <row r="1831" s="105" customFormat="1" spans="9:12">
      <c r="I1831" s="225"/>
      <c r="K1831" s="9"/>
      <c r="L1831" s="9"/>
    </row>
    <row r="1832" s="105" customFormat="1" spans="9:12">
      <c r="I1832" s="225"/>
      <c r="K1832" s="9"/>
      <c r="L1832" s="9"/>
    </row>
    <row r="1833" s="105" customFormat="1" spans="9:12">
      <c r="I1833" s="225"/>
      <c r="K1833" s="9"/>
      <c r="L1833" s="9"/>
    </row>
    <row r="1834" s="105" customFormat="1" spans="9:12">
      <c r="I1834" s="225"/>
      <c r="K1834" s="9"/>
      <c r="L1834" s="9"/>
    </row>
    <row r="1835" s="105" customFormat="1" spans="9:12">
      <c r="I1835" s="225"/>
      <c r="K1835" s="9"/>
      <c r="L1835" s="9"/>
    </row>
    <row r="1836" s="105" customFormat="1" spans="9:12">
      <c r="I1836" s="225"/>
      <c r="K1836" s="9"/>
      <c r="L1836" s="9"/>
    </row>
    <row r="1837" s="105" customFormat="1" spans="9:12">
      <c r="I1837" s="225"/>
      <c r="K1837" s="9"/>
      <c r="L1837" s="9"/>
    </row>
    <row r="1838" s="105" customFormat="1" spans="9:12">
      <c r="I1838" s="225"/>
      <c r="K1838" s="9"/>
      <c r="L1838" s="9"/>
    </row>
    <row r="1839" s="105" customFormat="1" spans="9:12">
      <c r="I1839" s="225"/>
      <c r="K1839" s="9"/>
      <c r="L1839" s="9"/>
    </row>
    <row r="1840" s="105" customFormat="1" spans="9:12">
      <c r="I1840" s="225"/>
      <c r="K1840" s="9"/>
      <c r="L1840" s="9"/>
    </row>
    <row r="1841" s="105" customFormat="1" spans="9:12">
      <c r="I1841" s="225"/>
      <c r="K1841" s="9"/>
      <c r="L1841" s="9"/>
    </row>
    <row r="1842" s="105" customFormat="1" spans="9:12">
      <c r="I1842" s="225"/>
      <c r="K1842" s="9"/>
      <c r="L1842" s="9"/>
    </row>
    <row r="1843" s="105" customFormat="1" spans="9:12">
      <c r="I1843" s="225"/>
      <c r="K1843" s="9"/>
      <c r="L1843" s="9"/>
    </row>
    <row r="1844" s="105" customFormat="1" spans="9:12">
      <c r="I1844" s="225"/>
      <c r="K1844" s="9"/>
      <c r="L1844" s="9"/>
    </row>
    <row r="1845" s="105" customFormat="1" spans="9:12">
      <c r="I1845" s="225"/>
      <c r="K1845" s="9"/>
      <c r="L1845" s="9"/>
    </row>
    <row r="1846" s="105" customFormat="1" spans="9:12">
      <c r="I1846" s="225"/>
      <c r="K1846" s="9"/>
      <c r="L1846" s="9"/>
    </row>
    <row r="1847" s="105" customFormat="1" spans="9:12">
      <c r="I1847" s="225"/>
      <c r="K1847" s="9"/>
      <c r="L1847" s="9"/>
    </row>
    <row r="1848" s="105" customFormat="1" spans="9:12">
      <c r="I1848" s="225"/>
      <c r="K1848" s="9"/>
      <c r="L1848" s="9"/>
    </row>
    <row r="1849" s="105" customFormat="1" spans="9:12">
      <c r="I1849" s="225"/>
      <c r="K1849" s="9"/>
      <c r="L1849" s="9"/>
    </row>
    <row r="1850" s="105" customFormat="1" spans="9:12">
      <c r="I1850" s="225"/>
      <c r="K1850" s="9"/>
      <c r="L1850" s="9"/>
    </row>
    <row r="1851" s="105" customFormat="1" spans="9:12">
      <c r="I1851" s="225"/>
      <c r="K1851" s="9"/>
      <c r="L1851" s="9"/>
    </row>
    <row r="1852" s="105" customFormat="1" spans="9:12">
      <c r="I1852" s="225"/>
      <c r="K1852" s="9"/>
      <c r="L1852" s="9"/>
    </row>
    <row r="1853" s="105" customFormat="1" spans="9:12">
      <c r="I1853" s="225"/>
      <c r="K1853" s="9"/>
      <c r="L1853" s="9"/>
    </row>
    <row r="1854" s="105" customFormat="1" spans="9:12">
      <c r="I1854" s="225"/>
      <c r="K1854" s="9"/>
      <c r="L1854" s="9"/>
    </row>
    <row r="1855" s="105" customFormat="1" spans="9:12">
      <c r="I1855" s="225"/>
      <c r="K1855" s="9"/>
      <c r="L1855" s="9"/>
    </row>
    <row r="1856" s="105" customFormat="1" spans="9:12">
      <c r="I1856" s="225"/>
      <c r="K1856" s="9"/>
      <c r="L1856" s="9"/>
    </row>
    <row r="1857" s="105" customFormat="1" spans="9:12">
      <c r="I1857" s="225"/>
      <c r="K1857" s="9"/>
      <c r="L1857" s="9"/>
    </row>
    <row r="1858" s="105" customFormat="1" spans="9:12">
      <c r="I1858" s="225"/>
      <c r="K1858" s="9"/>
      <c r="L1858" s="9"/>
    </row>
    <row r="1859" s="105" customFormat="1" spans="9:12">
      <c r="I1859" s="225"/>
      <c r="K1859" s="9"/>
      <c r="L1859" s="9"/>
    </row>
    <row r="1860" s="105" customFormat="1" spans="9:12">
      <c r="I1860" s="225"/>
      <c r="K1860" s="9"/>
      <c r="L1860" s="9"/>
    </row>
    <row r="1861" s="105" customFormat="1" spans="9:12">
      <c r="I1861" s="225"/>
      <c r="K1861" s="9"/>
      <c r="L1861" s="9"/>
    </row>
    <row r="1862" s="105" customFormat="1" spans="9:12">
      <c r="I1862" s="225"/>
      <c r="K1862" s="9"/>
      <c r="L1862" s="9"/>
    </row>
    <row r="1863" s="105" customFormat="1" spans="9:12">
      <c r="I1863" s="225"/>
      <c r="K1863" s="9"/>
      <c r="L1863" s="9"/>
    </row>
    <row r="1864" s="105" customFormat="1" spans="9:12">
      <c r="I1864" s="225"/>
      <c r="K1864" s="9"/>
      <c r="L1864" s="9"/>
    </row>
    <row r="1865" s="105" customFormat="1" spans="9:12">
      <c r="I1865" s="225"/>
      <c r="K1865" s="9"/>
      <c r="L1865" s="9"/>
    </row>
    <row r="1866" s="105" customFormat="1" spans="9:12">
      <c r="I1866" s="225"/>
      <c r="K1866" s="9"/>
      <c r="L1866" s="9"/>
    </row>
    <row r="1867" s="105" customFormat="1" spans="9:12">
      <c r="I1867" s="225"/>
      <c r="K1867" s="9"/>
      <c r="L1867" s="9"/>
    </row>
    <row r="1868" s="105" customFormat="1" spans="9:12">
      <c r="I1868" s="225"/>
      <c r="K1868" s="9"/>
      <c r="L1868" s="9"/>
    </row>
    <row r="1869" s="105" customFormat="1" spans="9:12">
      <c r="I1869" s="225"/>
      <c r="K1869" s="9"/>
      <c r="L1869" s="9"/>
    </row>
    <row r="1870" s="105" customFormat="1" spans="9:12">
      <c r="I1870" s="225"/>
      <c r="K1870" s="9"/>
      <c r="L1870" s="9"/>
    </row>
    <row r="1871" s="105" customFormat="1" spans="9:12">
      <c r="I1871" s="225"/>
      <c r="K1871" s="9"/>
      <c r="L1871" s="9"/>
    </row>
    <row r="1872" s="105" customFormat="1" spans="9:12">
      <c r="I1872" s="225"/>
      <c r="K1872" s="9"/>
      <c r="L1872" s="9"/>
    </row>
    <row r="1873" s="105" customFormat="1" spans="9:12">
      <c r="I1873" s="225"/>
      <c r="K1873" s="9"/>
      <c r="L1873" s="9"/>
    </row>
    <row r="1874" s="105" customFormat="1" spans="9:12">
      <c r="I1874" s="225"/>
      <c r="K1874" s="9"/>
      <c r="L1874" s="9"/>
    </row>
    <row r="1875" s="105" customFormat="1" spans="9:12">
      <c r="I1875" s="225"/>
      <c r="K1875" s="9"/>
      <c r="L1875" s="9"/>
    </row>
    <row r="1876" s="105" customFormat="1" spans="9:12">
      <c r="I1876" s="225"/>
      <c r="K1876" s="9"/>
      <c r="L1876" s="9"/>
    </row>
    <row r="1877" s="105" customFormat="1" spans="9:12">
      <c r="I1877" s="225"/>
      <c r="K1877" s="9"/>
      <c r="L1877" s="9"/>
    </row>
    <row r="1878" s="105" customFormat="1" spans="9:12">
      <c r="I1878" s="225"/>
      <c r="K1878" s="9"/>
      <c r="L1878" s="9"/>
    </row>
    <row r="1879" s="105" customFormat="1" spans="9:12">
      <c r="I1879" s="225"/>
      <c r="K1879" s="9"/>
      <c r="L1879" s="9"/>
    </row>
    <row r="1880" s="105" customFormat="1" spans="9:12">
      <c r="I1880" s="225"/>
      <c r="K1880" s="9"/>
      <c r="L1880" s="9"/>
    </row>
    <row r="1881" s="105" customFormat="1" spans="9:12">
      <c r="I1881" s="225"/>
      <c r="K1881" s="9"/>
      <c r="L1881" s="9"/>
    </row>
    <row r="1882" s="105" customFormat="1" spans="9:12">
      <c r="I1882" s="225"/>
      <c r="K1882" s="9"/>
      <c r="L1882" s="9"/>
    </row>
    <row r="1883" s="105" customFormat="1" spans="9:12">
      <c r="I1883" s="225"/>
      <c r="K1883" s="9"/>
      <c r="L1883" s="9"/>
    </row>
    <row r="1884" s="105" customFormat="1" spans="9:12">
      <c r="I1884" s="225"/>
      <c r="K1884" s="9"/>
      <c r="L1884" s="9"/>
    </row>
    <row r="1885" s="105" customFormat="1" spans="9:12">
      <c r="I1885" s="225"/>
      <c r="K1885" s="9"/>
      <c r="L1885" s="9"/>
    </row>
    <row r="1886" s="105" customFormat="1" spans="9:12">
      <c r="I1886" s="225"/>
      <c r="K1886" s="9"/>
      <c r="L1886" s="9"/>
    </row>
    <row r="1887" s="105" customFormat="1" spans="9:12">
      <c r="I1887" s="225"/>
      <c r="K1887" s="9"/>
      <c r="L1887" s="9"/>
    </row>
    <row r="1888" s="105" customFormat="1" spans="9:12">
      <c r="I1888" s="225"/>
      <c r="K1888" s="9"/>
      <c r="L1888" s="9"/>
    </row>
    <row r="1889" s="105" customFormat="1" spans="9:12">
      <c r="I1889" s="225"/>
      <c r="K1889" s="9"/>
      <c r="L1889" s="9"/>
    </row>
    <row r="1890" s="105" customFormat="1" spans="9:12">
      <c r="I1890" s="225"/>
      <c r="K1890" s="9"/>
      <c r="L1890" s="9"/>
    </row>
    <row r="1891" s="105" customFormat="1" spans="9:12">
      <c r="I1891" s="225"/>
      <c r="K1891" s="9"/>
      <c r="L1891" s="9"/>
    </row>
    <row r="1892" s="105" customFormat="1" spans="9:12">
      <c r="I1892" s="225"/>
      <c r="K1892" s="9"/>
      <c r="L1892" s="9"/>
    </row>
    <row r="1893" s="105" customFormat="1" spans="9:12">
      <c r="I1893" s="225"/>
      <c r="K1893" s="9"/>
      <c r="L1893" s="9"/>
    </row>
    <row r="1894" s="105" customFormat="1" spans="9:12">
      <c r="I1894" s="225"/>
      <c r="K1894" s="9"/>
      <c r="L1894" s="9"/>
    </row>
    <row r="1895" s="105" customFormat="1" spans="9:12">
      <c r="I1895" s="225"/>
      <c r="K1895" s="9"/>
      <c r="L1895" s="9"/>
    </row>
    <row r="1896" s="105" customFormat="1" spans="9:12">
      <c r="I1896" s="225"/>
      <c r="K1896" s="9"/>
      <c r="L1896" s="9"/>
    </row>
    <row r="1897" s="105" customFormat="1" spans="9:12">
      <c r="I1897" s="225"/>
      <c r="K1897" s="9"/>
      <c r="L1897" s="9"/>
    </row>
    <row r="1898" s="105" customFormat="1" spans="9:12">
      <c r="I1898" s="225"/>
      <c r="K1898" s="9"/>
      <c r="L1898" s="9"/>
    </row>
    <row r="1899" s="105" customFormat="1" spans="9:12">
      <c r="I1899" s="225"/>
      <c r="K1899" s="9"/>
      <c r="L1899" s="9"/>
    </row>
    <row r="1900" s="105" customFormat="1" spans="9:12">
      <c r="I1900" s="225"/>
      <c r="K1900" s="9"/>
      <c r="L1900" s="9"/>
    </row>
    <row r="1901" s="105" customFormat="1" spans="9:12">
      <c r="I1901" s="225"/>
      <c r="K1901" s="9"/>
      <c r="L1901" s="9"/>
    </row>
    <row r="1902" s="105" customFormat="1" spans="9:12">
      <c r="I1902" s="225"/>
      <c r="K1902" s="9"/>
      <c r="L1902" s="9"/>
    </row>
    <row r="1903" s="105" customFormat="1" spans="9:12">
      <c r="I1903" s="225"/>
      <c r="K1903" s="9"/>
      <c r="L1903" s="9"/>
    </row>
    <row r="1904" s="105" customFormat="1" spans="9:12">
      <c r="I1904" s="225"/>
      <c r="K1904" s="9"/>
      <c r="L1904" s="9"/>
    </row>
    <row r="1905" s="105" customFormat="1" spans="9:12">
      <c r="I1905" s="225"/>
      <c r="K1905" s="9"/>
      <c r="L1905" s="9"/>
    </row>
    <row r="1906" s="105" customFormat="1" spans="9:12">
      <c r="I1906" s="225"/>
      <c r="K1906" s="9"/>
      <c r="L1906" s="9"/>
    </row>
    <row r="1907" s="105" customFormat="1" spans="9:12">
      <c r="I1907" s="225"/>
      <c r="K1907" s="9"/>
      <c r="L1907" s="9"/>
    </row>
    <row r="1908" s="105" customFormat="1" spans="9:12">
      <c r="I1908" s="225"/>
      <c r="K1908" s="9"/>
      <c r="L1908" s="9"/>
    </row>
    <row r="1909" s="105" customFormat="1" spans="9:12">
      <c r="I1909" s="225"/>
      <c r="K1909" s="9"/>
      <c r="L1909" s="9"/>
    </row>
    <row r="1910" s="105" customFormat="1" spans="9:12">
      <c r="I1910" s="225"/>
      <c r="K1910" s="9"/>
      <c r="L1910" s="9"/>
    </row>
    <row r="1911" s="105" customFormat="1" spans="9:12">
      <c r="I1911" s="225"/>
      <c r="K1911" s="9"/>
      <c r="L1911" s="9"/>
    </row>
    <row r="1912" s="105" customFormat="1" spans="9:12">
      <c r="I1912" s="225"/>
      <c r="K1912" s="9"/>
      <c r="L1912" s="9"/>
    </row>
    <row r="1913" s="105" customFormat="1" spans="9:12">
      <c r="I1913" s="225"/>
      <c r="K1913" s="9"/>
      <c r="L1913" s="9"/>
    </row>
    <row r="1914" s="105" customFormat="1" spans="9:12">
      <c r="I1914" s="225"/>
      <c r="K1914" s="9"/>
      <c r="L1914" s="9"/>
    </row>
    <row r="1915" s="105" customFormat="1" spans="9:12">
      <c r="I1915" s="225"/>
      <c r="K1915" s="9"/>
      <c r="L1915" s="9"/>
    </row>
    <row r="1916" s="105" customFormat="1" spans="9:12">
      <c r="I1916" s="225"/>
      <c r="K1916" s="9"/>
      <c r="L1916" s="9"/>
    </row>
    <row r="1917" s="105" customFormat="1" spans="9:12">
      <c r="I1917" s="225"/>
      <c r="K1917" s="9"/>
      <c r="L1917" s="9"/>
    </row>
    <row r="1918" s="105" customFormat="1" spans="9:12">
      <c r="I1918" s="225"/>
      <c r="K1918" s="9"/>
      <c r="L1918" s="9"/>
    </row>
    <row r="1919" s="105" customFormat="1" spans="9:12">
      <c r="I1919" s="225"/>
      <c r="K1919" s="9"/>
      <c r="L1919" s="9"/>
    </row>
    <row r="1920" s="105" customFormat="1" spans="9:12">
      <c r="I1920" s="225"/>
      <c r="K1920" s="9"/>
      <c r="L1920" s="9"/>
    </row>
    <row r="1921" s="105" customFormat="1" spans="9:12">
      <c r="I1921" s="225"/>
      <c r="K1921" s="9"/>
      <c r="L1921" s="9"/>
    </row>
    <row r="1922" s="105" customFormat="1" spans="9:12">
      <c r="I1922" s="225"/>
      <c r="K1922" s="9"/>
      <c r="L1922" s="9"/>
    </row>
    <row r="1923" s="105" customFormat="1" spans="9:12">
      <c r="I1923" s="225"/>
      <c r="K1923" s="9"/>
      <c r="L1923" s="9"/>
    </row>
    <row r="1924" s="105" customFormat="1" spans="9:12">
      <c r="I1924" s="225"/>
      <c r="K1924" s="9"/>
      <c r="L1924" s="9"/>
    </row>
    <row r="1925" s="105" customFormat="1" spans="9:12">
      <c r="I1925" s="225"/>
      <c r="K1925" s="9"/>
      <c r="L1925" s="9"/>
    </row>
    <row r="1926" s="105" customFormat="1" spans="9:12">
      <c r="I1926" s="225"/>
      <c r="K1926" s="9"/>
      <c r="L1926" s="9"/>
    </row>
    <row r="1927" s="105" customFormat="1" spans="9:12">
      <c r="I1927" s="225"/>
      <c r="K1927" s="9"/>
      <c r="L1927" s="9"/>
    </row>
    <row r="1928" s="105" customFormat="1" spans="9:12">
      <c r="I1928" s="225"/>
      <c r="K1928" s="9"/>
      <c r="L1928" s="9"/>
    </row>
    <row r="1929" s="105" customFormat="1" spans="9:12">
      <c r="I1929" s="225"/>
      <c r="K1929" s="9"/>
      <c r="L1929" s="9"/>
    </row>
    <row r="1930" s="105" customFormat="1" spans="9:12">
      <c r="I1930" s="225"/>
      <c r="K1930" s="9"/>
      <c r="L1930" s="9"/>
    </row>
    <row r="1931" s="105" customFormat="1" spans="9:12">
      <c r="I1931" s="225"/>
      <c r="K1931" s="9"/>
      <c r="L1931" s="9"/>
    </row>
    <row r="1932" s="105" customFormat="1" spans="9:12">
      <c r="I1932" s="225"/>
      <c r="K1932" s="9"/>
      <c r="L1932" s="9"/>
    </row>
    <row r="1933" s="105" customFormat="1" spans="9:12">
      <c r="I1933" s="225"/>
      <c r="K1933" s="9"/>
      <c r="L1933" s="9"/>
    </row>
    <row r="1934" s="105" customFormat="1" spans="9:12">
      <c r="I1934" s="225"/>
      <c r="K1934" s="9"/>
      <c r="L1934" s="9"/>
    </row>
    <row r="1935" s="105" customFormat="1" spans="9:12">
      <c r="I1935" s="225"/>
      <c r="K1935" s="9"/>
      <c r="L1935" s="9"/>
    </row>
    <row r="1936" s="105" customFormat="1" spans="9:12">
      <c r="I1936" s="225"/>
      <c r="K1936" s="9"/>
      <c r="L1936" s="9"/>
    </row>
    <row r="1937" s="105" customFormat="1" spans="9:12">
      <c r="I1937" s="225"/>
      <c r="K1937" s="9"/>
      <c r="L1937" s="9"/>
    </row>
    <row r="1938" s="105" customFormat="1" spans="9:12">
      <c r="I1938" s="225"/>
      <c r="K1938" s="9"/>
      <c r="L1938" s="9"/>
    </row>
    <row r="1939" s="105" customFormat="1" spans="9:12">
      <c r="I1939" s="225"/>
      <c r="K1939" s="9"/>
      <c r="L1939" s="9"/>
    </row>
    <row r="1940" s="105" customFormat="1" spans="9:12">
      <c r="I1940" s="225"/>
      <c r="K1940" s="9"/>
      <c r="L1940" s="9"/>
    </row>
    <row r="1941" s="105" customFormat="1" spans="9:12">
      <c r="I1941" s="225"/>
      <c r="K1941" s="9"/>
      <c r="L1941" s="9"/>
    </row>
    <row r="1942" s="105" customFormat="1" spans="9:12">
      <c r="I1942" s="225"/>
      <c r="K1942" s="9"/>
      <c r="L1942" s="9"/>
    </row>
    <row r="1943" s="105" customFormat="1" spans="9:12">
      <c r="I1943" s="225"/>
      <c r="K1943" s="9"/>
      <c r="L1943" s="9"/>
    </row>
    <row r="1944" s="105" customFormat="1" spans="9:12">
      <c r="I1944" s="225"/>
      <c r="K1944" s="9"/>
      <c r="L1944" s="9"/>
    </row>
    <row r="1945" s="105" customFormat="1" spans="9:12">
      <c r="I1945" s="225"/>
      <c r="K1945" s="9"/>
      <c r="L1945" s="9"/>
    </row>
    <row r="1946" s="105" customFormat="1" spans="9:12">
      <c r="I1946" s="225"/>
      <c r="K1946" s="9"/>
      <c r="L1946" s="9"/>
    </row>
    <row r="1947" s="105" customFormat="1" spans="9:12">
      <c r="I1947" s="225"/>
      <c r="K1947" s="9"/>
      <c r="L1947" s="9"/>
    </row>
    <row r="1948" s="105" customFormat="1" spans="9:12">
      <c r="I1948" s="225"/>
      <c r="K1948" s="9"/>
      <c r="L1948" s="9"/>
    </row>
    <row r="1949" s="105" customFormat="1" spans="9:12">
      <c r="I1949" s="225"/>
      <c r="K1949" s="9"/>
      <c r="L1949" s="9"/>
    </row>
    <row r="1950" s="105" customFormat="1" spans="9:12">
      <c r="I1950" s="225"/>
      <c r="K1950" s="9"/>
      <c r="L1950" s="9"/>
    </row>
    <row r="1951" s="105" customFormat="1" spans="9:12">
      <c r="I1951" s="225"/>
      <c r="K1951" s="9"/>
      <c r="L1951" s="9"/>
    </row>
    <row r="1952" s="105" customFormat="1" spans="9:12">
      <c r="I1952" s="225"/>
      <c r="K1952" s="9"/>
      <c r="L1952" s="9"/>
    </row>
    <row r="1953" s="105" customFormat="1" spans="9:12">
      <c r="I1953" s="225"/>
      <c r="K1953" s="9"/>
      <c r="L1953" s="9"/>
    </row>
    <row r="1954" s="105" customFormat="1" spans="9:12">
      <c r="I1954" s="225"/>
      <c r="K1954" s="9"/>
      <c r="L1954" s="9"/>
    </row>
    <row r="1955" s="105" customFormat="1" spans="9:12">
      <c r="I1955" s="225"/>
      <c r="K1955" s="9"/>
      <c r="L1955" s="9"/>
    </row>
    <row r="1956" s="105" customFormat="1" spans="9:12">
      <c r="I1956" s="225"/>
      <c r="K1956" s="9"/>
      <c r="L1956" s="9"/>
    </row>
    <row r="1957" s="105" customFormat="1" spans="9:12">
      <c r="I1957" s="225"/>
      <c r="K1957" s="9"/>
      <c r="L1957" s="9"/>
    </row>
    <row r="1958" s="105" customFormat="1" spans="9:12">
      <c r="I1958" s="225"/>
      <c r="K1958" s="9"/>
      <c r="L1958" s="9"/>
    </row>
    <row r="1959" s="105" customFormat="1" spans="9:12">
      <c r="I1959" s="225"/>
      <c r="K1959" s="9"/>
      <c r="L1959" s="9"/>
    </row>
    <row r="1960" s="105" customFormat="1" spans="9:12">
      <c r="I1960" s="225"/>
      <c r="K1960" s="9"/>
      <c r="L1960" s="9"/>
    </row>
    <row r="1961" s="105" customFormat="1" spans="9:12">
      <c r="I1961" s="225"/>
      <c r="K1961" s="9"/>
      <c r="L1961" s="9"/>
    </row>
    <row r="1962" s="105" customFormat="1" spans="9:12">
      <c r="I1962" s="225"/>
      <c r="K1962" s="9"/>
      <c r="L1962" s="9"/>
    </row>
    <row r="1963" s="105" customFormat="1" spans="9:12">
      <c r="I1963" s="225"/>
      <c r="K1963" s="9"/>
      <c r="L1963" s="9"/>
    </row>
    <row r="1964" s="105" customFormat="1" spans="9:12">
      <c r="I1964" s="225"/>
      <c r="K1964" s="9"/>
      <c r="L1964" s="9"/>
    </row>
    <row r="1965" s="105" customFormat="1" spans="9:12">
      <c r="I1965" s="225"/>
      <c r="K1965" s="9"/>
      <c r="L1965" s="9"/>
    </row>
    <row r="1966" s="105" customFormat="1" spans="9:12">
      <c r="I1966" s="225"/>
      <c r="K1966" s="9"/>
      <c r="L1966" s="9"/>
    </row>
    <row r="1967" s="105" customFormat="1" spans="9:12">
      <c r="I1967" s="225"/>
      <c r="K1967" s="9"/>
      <c r="L1967" s="9"/>
    </row>
    <row r="1968" s="105" customFormat="1" spans="9:12">
      <c r="I1968" s="225"/>
      <c r="K1968" s="9"/>
      <c r="L1968" s="9"/>
    </row>
    <row r="1969" s="105" customFormat="1" spans="9:12">
      <c r="I1969" s="225"/>
      <c r="K1969" s="9"/>
      <c r="L1969" s="9"/>
    </row>
    <row r="1970" s="105" customFormat="1" spans="9:12">
      <c r="I1970" s="225"/>
      <c r="K1970" s="9"/>
      <c r="L1970" s="9"/>
    </row>
    <row r="1971" s="105" customFormat="1" spans="9:12">
      <c r="I1971" s="225"/>
      <c r="K1971" s="9"/>
      <c r="L1971" s="9"/>
    </row>
    <row r="1972" s="105" customFormat="1" spans="9:12">
      <c r="I1972" s="225"/>
      <c r="K1972" s="9"/>
      <c r="L1972" s="9"/>
    </row>
    <row r="1973" s="105" customFormat="1" spans="9:12">
      <c r="I1973" s="225"/>
      <c r="K1973" s="9"/>
      <c r="L1973" s="9"/>
    </row>
    <row r="1974" s="105" customFormat="1" spans="9:12">
      <c r="I1974" s="225"/>
      <c r="K1974" s="9"/>
      <c r="L1974" s="9"/>
    </row>
    <row r="1975" s="105" customFormat="1" spans="9:12">
      <c r="I1975" s="225"/>
      <c r="K1975" s="9"/>
      <c r="L1975" s="9"/>
    </row>
    <row r="1976" s="105" customFormat="1" spans="9:12">
      <c r="I1976" s="225"/>
      <c r="K1976" s="9"/>
      <c r="L1976" s="9"/>
    </row>
    <row r="1977" s="105" customFormat="1" spans="9:12">
      <c r="I1977" s="225"/>
      <c r="K1977" s="9"/>
      <c r="L1977" s="9"/>
    </row>
    <row r="1978" s="105" customFormat="1" spans="9:12">
      <c r="I1978" s="225"/>
      <c r="K1978" s="9"/>
      <c r="L1978" s="9"/>
    </row>
    <row r="1979" s="105" customFormat="1" spans="9:12">
      <c r="I1979" s="225"/>
      <c r="K1979" s="9"/>
      <c r="L1979" s="9"/>
    </row>
    <row r="1980" s="105" customFormat="1" spans="9:12">
      <c r="I1980" s="225"/>
      <c r="K1980" s="9"/>
      <c r="L1980" s="9"/>
    </row>
    <row r="1981" s="105" customFormat="1" spans="9:12">
      <c r="I1981" s="225"/>
      <c r="K1981" s="9"/>
      <c r="L1981" s="9"/>
    </row>
    <row r="1982" s="105" customFormat="1" spans="9:12">
      <c r="I1982" s="225"/>
      <c r="K1982" s="9"/>
      <c r="L1982" s="9"/>
    </row>
    <row r="1983" s="105" customFormat="1" spans="9:12">
      <c r="I1983" s="225"/>
      <c r="K1983" s="9"/>
      <c r="L1983" s="9"/>
    </row>
    <row r="1984" s="105" customFormat="1" spans="9:12">
      <c r="I1984" s="225"/>
      <c r="K1984" s="9"/>
      <c r="L1984" s="9"/>
    </row>
    <row r="1985" s="105" customFormat="1" spans="9:12">
      <c r="I1985" s="225"/>
      <c r="K1985" s="9"/>
      <c r="L1985" s="9"/>
    </row>
    <row r="1986" s="105" customFormat="1" spans="9:12">
      <c r="I1986" s="225"/>
      <c r="K1986" s="9"/>
      <c r="L1986" s="9"/>
    </row>
    <row r="1987" s="105" customFormat="1" spans="9:12">
      <c r="I1987" s="225"/>
      <c r="K1987" s="9"/>
      <c r="L1987" s="9"/>
    </row>
    <row r="1988" s="105" customFormat="1" spans="9:12">
      <c r="I1988" s="225"/>
      <c r="K1988" s="9"/>
      <c r="L1988" s="9"/>
    </row>
    <row r="1989" s="105" customFormat="1" spans="9:12">
      <c r="I1989" s="225"/>
      <c r="K1989" s="9"/>
      <c r="L1989" s="9"/>
    </row>
    <row r="1990" s="105" customFormat="1" spans="9:12">
      <c r="I1990" s="225"/>
      <c r="K1990" s="9"/>
      <c r="L1990" s="9"/>
    </row>
    <row r="1991" s="105" customFormat="1" spans="9:12">
      <c r="I1991" s="225"/>
      <c r="K1991" s="9"/>
      <c r="L1991" s="9"/>
    </row>
    <row r="1992" s="105" customFormat="1" spans="9:12">
      <c r="I1992" s="225"/>
      <c r="K1992" s="9"/>
      <c r="L1992" s="9"/>
    </row>
    <row r="1993" s="105" customFormat="1" spans="9:12">
      <c r="I1993" s="225"/>
      <c r="K1993" s="9"/>
      <c r="L1993" s="9"/>
    </row>
    <row r="1994" s="105" customFormat="1" spans="9:12">
      <c r="I1994" s="225"/>
      <c r="K1994" s="9"/>
      <c r="L1994" s="9"/>
    </row>
    <row r="1995" s="105" customFormat="1" spans="9:12">
      <c r="I1995" s="225"/>
      <c r="K1995" s="9"/>
      <c r="L1995" s="9"/>
    </row>
    <row r="1996" s="105" customFormat="1" spans="9:12">
      <c r="I1996" s="225"/>
      <c r="K1996" s="9"/>
      <c r="L1996" s="9"/>
    </row>
    <row r="1997" s="105" customFormat="1" spans="9:12">
      <c r="I1997" s="225"/>
      <c r="K1997" s="9"/>
      <c r="L1997" s="9"/>
    </row>
    <row r="1998" s="105" customFormat="1" spans="9:12">
      <c r="I1998" s="225"/>
      <c r="K1998" s="9"/>
      <c r="L1998" s="9"/>
    </row>
    <row r="1999" s="105" customFormat="1" spans="9:12">
      <c r="I1999" s="225"/>
      <c r="K1999" s="9"/>
      <c r="L1999" s="9"/>
    </row>
    <row r="2000" s="105" customFormat="1" spans="9:12">
      <c r="I2000" s="225"/>
      <c r="K2000" s="9"/>
      <c r="L2000" s="9"/>
    </row>
    <row r="2001" s="105" customFormat="1" spans="9:12">
      <c r="I2001" s="225"/>
      <c r="K2001" s="9"/>
      <c r="L2001" s="9"/>
    </row>
    <row r="2002" s="105" customFormat="1" spans="9:12">
      <c r="I2002" s="225"/>
      <c r="K2002" s="9"/>
      <c r="L2002" s="9"/>
    </row>
    <row r="2003" s="105" customFormat="1" spans="9:12">
      <c r="I2003" s="225"/>
      <c r="K2003" s="9"/>
      <c r="L2003" s="9"/>
    </row>
    <row r="2004" s="105" customFormat="1" spans="9:12">
      <c r="I2004" s="225"/>
      <c r="K2004" s="9"/>
      <c r="L2004" s="9"/>
    </row>
    <row r="2005" s="105" customFormat="1" spans="9:12">
      <c r="I2005" s="225"/>
      <c r="K2005" s="9"/>
      <c r="L2005" s="9"/>
    </row>
    <row r="2006" s="105" customFormat="1" spans="9:12">
      <c r="I2006" s="225"/>
      <c r="K2006" s="9"/>
      <c r="L2006" s="9"/>
    </row>
    <row r="2007" s="105" customFormat="1" spans="9:12">
      <c r="I2007" s="225"/>
      <c r="K2007" s="9"/>
      <c r="L2007" s="9"/>
    </row>
    <row r="2008" s="105" customFormat="1" spans="9:12">
      <c r="I2008" s="225"/>
      <c r="K2008" s="9"/>
      <c r="L2008" s="9"/>
    </row>
    <row r="2009" s="105" customFormat="1" spans="9:12">
      <c r="I2009" s="225"/>
      <c r="K2009" s="9"/>
      <c r="L2009" s="9"/>
    </row>
    <row r="2010" s="105" customFormat="1" spans="9:12">
      <c r="I2010" s="225"/>
      <c r="K2010" s="9"/>
      <c r="L2010" s="9"/>
    </row>
    <row r="2011" s="105" customFormat="1" spans="9:12">
      <c r="I2011" s="225"/>
      <c r="K2011" s="9"/>
      <c r="L2011" s="9"/>
    </row>
    <row r="2012" s="105" customFormat="1" spans="9:12">
      <c r="I2012" s="225"/>
      <c r="K2012" s="9"/>
      <c r="L2012" s="9"/>
    </row>
    <row r="2013" s="105" customFormat="1" spans="9:12">
      <c r="I2013" s="225"/>
      <c r="K2013" s="9"/>
      <c r="L2013" s="9"/>
    </row>
    <row r="2014" s="105" customFormat="1" spans="9:12">
      <c r="I2014" s="225"/>
      <c r="K2014" s="9"/>
      <c r="L2014" s="9"/>
    </row>
    <row r="2015" s="105" customFormat="1" spans="9:12">
      <c r="I2015" s="225"/>
      <c r="K2015" s="9"/>
      <c r="L2015" s="9"/>
    </row>
    <row r="2016" s="105" customFormat="1" spans="9:12">
      <c r="I2016" s="225"/>
      <c r="K2016" s="9"/>
      <c r="L2016" s="9"/>
    </row>
    <row r="2017" s="105" customFormat="1" spans="9:12">
      <c r="I2017" s="225"/>
      <c r="K2017" s="9"/>
      <c r="L2017" s="9"/>
    </row>
    <row r="2018" s="105" customFormat="1" spans="9:12">
      <c r="I2018" s="225"/>
      <c r="K2018" s="9"/>
      <c r="L2018" s="9"/>
    </row>
    <row r="2019" s="105" customFormat="1" spans="9:12">
      <c r="I2019" s="225"/>
      <c r="K2019" s="9"/>
      <c r="L2019" s="9"/>
    </row>
    <row r="2020" s="105" customFormat="1" spans="9:12">
      <c r="I2020" s="225"/>
      <c r="K2020" s="9"/>
      <c r="L2020" s="9"/>
    </row>
    <row r="2021" s="105" customFormat="1" spans="9:12">
      <c r="I2021" s="225"/>
      <c r="K2021" s="9"/>
      <c r="L2021" s="9"/>
    </row>
    <row r="2022" s="105" customFormat="1" spans="9:12">
      <c r="I2022" s="225"/>
      <c r="K2022" s="9"/>
      <c r="L2022" s="9"/>
    </row>
    <row r="2023" s="105" customFormat="1" spans="9:12">
      <c r="I2023" s="225"/>
      <c r="K2023" s="9"/>
      <c r="L2023" s="9"/>
    </row>
    <row r="2024" s="105" customFormat="1" spans="9:12">
      <c r="I2024" s="225"/>
      <c r="K2024" s="9"/>
      <c r="L2024" s="9"/>
    </row>
    <row r="2025" s="105" customFormat="1" spans="9:12">
      <c r="I2025" s="225"/>
      <c r="K2025" s="9"/>
      <c r="L2025" s="9"/>
    </row>
    <row r="2026" s="105" customFormat="1" spans="9:12">
      <c r="I2026" s="225"/>
      <c r="K2026" s="9"/>
      <c r="L2026" s="9"/>
    </row>
    <row r="2027" s="105" customFormat="1" spans="9:12">
      <c r="I2027" s="225"/>
      <c r="K2027" s="9"/>
      <c r="L2027" s="9"/>
    </row>
    <row r="2028" s="105" customFormat="1" spans="9:12">
      <c r="I2028" s="225"/>
      <c r="K2028" s="9"/>
      <c r="L2028" s="9"/>
    </row>
    <row r="2029" s="105" customFormat="1" spans="9:12">
      <c r="I2029" s="225"/>
      <c r="K2029" s="9"/>
      <c r="L2029" s="9"/>
    </row>
    <row r="2030" s="105" customFormat="1" spans="9:12">
      <c r="I2030" s="225"/>
      <c r="K2030" s="9"/>
      <c r="L2030" s="9"/>
    </row>
    <row r="2031" s="105" customFormat="1" spans="9:12">
      <c r="I2031" s="225"/>
      <c r="K2031" s="9"/>
      <c r="L2031" s="9"/>
    </row>
    <row r="2032" s="105" customFormat="1" spans="9:12">
      <c r="I2032" s="225"/>
      <c r="K2032" s="9"/>
      <c r="L2032" s="9"/>
    </row>
    <row r="2033" s="105" customFormat="1" spans="9:12">
      <c r="I2033" s="225"/>
      <c r="K2033" s="9"/>
      <c r="L2033" s="9"/>
    </row>
    <row r="2034" s="105" customFormat="1" spans="9:12">
      <c r="I2034" s="225"/>
      <c r="K2034" s="9"/>
      <c r="L2034" s="9"/>
    </row>
    <row r="2035" s="105" customFormat="1" spans="9:12">
      <c r="I2035" s="225"/>
      <c r="K2035" s="9"/>
      <c r="L2035" s="9"/>
    </row>
    <row r="2036" s="105" customFormat="1" spans="9:12">
      <c r="I2036" s="225"/>
      <c r="K2036" s="9"/>
      <c r="L2036" s="9"/>
    </row>
    <row r="2037" s="105" customFormat="1" spans="9:12">
      <c r="I2037" s="225"/>
      <c r="K2037" s="9"/>
      <c r="L2037" s="9"/>
    </row>
    <row r="2038" s="105" customFormat="1" spans="9:12">
      <c r="I2038" s="225"/>
      <c r="K2038" s="9"/>
      <c r="L2038" s="9"/>
    </row>
    <row r="2039" s="105" customFormat="1" spans="9:12">
      <c r="I2039" s="225"/>
      <c r="K2039" s="9"/>
      <c r="L2039" s="9"/>
    </row>
    <row r="2040" s="105" customFormat="1" spans="9:12">
      <c r="I2040" s="225"/>
      <c r="K2040" s="9"/>
      <c r="L2040" s="9"/>
    </row>
    <row r="2041" s="105" customFormat="1" spans="9:12">
      <c r="I2041" s="225"/>
      <c r="K2041" s="9"/>
      <c r="L2041" s="9"/>
    </row>
    <row r="2042" s="105" customFormat="1" spans="9:12">
      <c r="I2042" s="225"/>
      <c r="K2042" s="9"/>
      <c r="L2042" s="9"/>
    </row>
    <row r="2043" s="105" customFormat="1" spans="9:12">
      <c r="I2043" s="225"/>
      <c r="K2043" s="9"/>
      <c r="L2043" s="9"/>
    </row>
    <row r="2044" s="105" customFormat="1" spans="9:12">
      <c r="I2044" s="225"/>
      <c r="K2044" s="9"/>
      <c r="L2044" s="9"/>
    </row>
    <row r="2045" s="105" customFormat="1" spans="9:12">
      <c r="I2045" s="225"/>
      <c r="K2045" s="9"/>
      <c r="L2045" s="9"/>
    </row>
    <row r="2046" s="105" customFormat="1" spans="9:12">
      <c r="I2046" s="225"/>
      <c r="K2046" s="9"/>
      <c r="L2046" s="9"/>
    </row>
    <row r="2047" s="105" customFormat="1" spans="9:12">
      <c r="I2047" s="225"/>
      <c r="K2047" s="9"/>
      <c r="L2047" s="9"/>
    </row>
    <row r="2048" s="105" customFormat="1" spans="9:12">
      <c r="I2048" s="225"/>
      <c r="K2048" s="9"/>
      <c r="L2048" s="9"/>
    </row>
    <row r="2049" s="105" customFormat="1" spans="9:12">
      <c r="I2049" s="225"/>
      <c r="K2049" s="9"/>
      <c r="L2049" s="9"/>
    </row>
    <row r="2050" s="105" customFormat="1" spans="9:12">
      <c r="I2050" s="225"/>
      <c r="K2050" s="9"/>
      <c r="L2050" s="9"/>
    </row>
    <row r="2051" s="105" customFormat="1" spans="9:12">
      <c r="I2051" s="225"/>
      <c r="K2051" s="9"/>
      <c r="L2051" s="9"/>
    </row>
    <row r="2052" s="105" customFormat="1" spans="9:12">
      <c r="I2052" s="225"/>
      <c r="K2052" s="9"/>
      <c r="L2052" s="9"/>
    </row>
    <row r="2053" s="105" customFormat="1" spans="9:12">
      <c r="I2053" s="225"/>
      <c r="K2053" s="9"/>
      <c r="L2053" s="9"/>
    </row>
    <row r="2054" s="105" customFormat="1" spans="9:12">
      <c r="I2054" s="225"/>
      <c r="K2054" s="9"/>
      <c r="L2054" s="9"/>
    </row>
    <row r="2055" s="105" customFormat="1" spans="9:12">
      <c r="I2055" s="225"/>
      <c r="K2055" s="9"/>
      <c r="L2055" s="9"/>
    </row>
    <row r="2056" s="105" customFormat="1" spans="9:12">
      <c r="I2056" s="225"/>
      <c r="K2056" s="9"/>
      <c r="L2056" s="9"/>
    </row>
    <row r="2057" s="105" customFormat="1" spans="9:12">
      <c r="I2057" s="225"/>
      <c r="K2057" s="9"/>
      <c r="L2057" s="9"/>
    </row>
    <row r="2058" s="105" customFormat="1" spans="9:12">
      <c r="I2058" s="225"/>
      <c r="K2058" s="9"/>
      <c r="L2058" s="9"/>
    </row>
    <row r="2059" s="105" customFormat="1" spans="9:12">
      <c r="I2059" s="225"/>
      <c r="K2059" s="9"/>
      <c r="L2059" s="9"/>
    </row>
    <row r="2060" s="105" customFormat="1" spans="9:12">
      <c r="I2060" s="225"/>
      <c r="K2060" s="9"/>
      <c r="L2060" s="9"/>
    </row>
    <row r="2061" s="105" customFormat="1" spans="9:12">
      <c r="I2061" s="225"/>
      <c r="K2061" s="9"/>
      <c r="L2061" s="9"/>
    </row>
    <row r="2062" s="105" customFormat="1" spans="9:12">
      <c r="I2062" s="225"/>
      <c r="K2062" s="9"/>
      <c r="L2062" s="9"/>
    </row>
    <row r="2063" s="105" customFormat="1" spans="9:12">
      <c r="I2063" s="225"/>
      <c r="K2063" s="9"/>
      <c r="L2063" s="9"/>
    </row>
    <row r="2064" s="105" customFormat="1" spans="9:12">
      <c r="I2064" s="225"/>
      <c r="K2064" s="9"/>
      <c r="L2064" s="9"/>
    </row>
    <row r="2065" s="105" customFormat="1" spans="9:12">
      <c r="I2065" s="225"/>
      <c r="K2065" s="9"/>
      <c r="L2065" s="9"/>
    </row>
    <row r="2066" s="105" customFormat="1" spans="9:12">
      <c r="I2066" s="225"/>
      <c r="K2066" s="9"/>
      <c r="L2066" s="9"/>
    </row>
    <row r="2067" s="105" customFormat="1" spans="9:12">
      <c r="I2067" s="225"/>
      <c r="K2067" s="9"/>
      <c r="L2067" s="9"/>
    </row>
    <row r="2068" s="105" customFormat="1" spans="9:12">
      <c r="I2068" s="225"/>
      <c r="K2068" s="9"/>
      <c r="L2068" s="9"/>
    </row>
    <row r="2069" s="105" customFormat="1" spans="9:12">
      <c r="I2069" s="225"/>
      <c r="K2069" s="9"/>
      <c r="L2069" s="9"/>
    </row>
    <row r="2070" s="105" customFormat="1" spans="9:12">
      <c r="I2070" s="225"/>
      <c r="K2070" s="9"/>
      <c r="L2070" s="9"/>
    </row>
    <row r="2071" s="105" customFormat="1" spans="9:12">
      <c r="I2071" s="225"/>
      <c r="K2071" s="9"/>
      <c r="L2071" s="9"/>
    </row>
    <row r="2072" s="105" customFormat="1" spans="9:12">
      <c r="I2072" s="225"/>
      <c r="K2072" s="9"/>
      <c r="L2072" s="9"/>
    </row>
    <row r="2073" s="105" customFormat="1" spans="9:12">
      <c r="I2073" s="225"/>
      <c r="K2073" s="9"/>
      <c r="L2073" s="9"/>
    </row>
    <row r="2074" s="105" customFormat="1" spans="9:12">
      <c r="I2074" s="225"/>
      <c r="K2074" s="9"/>
      <c r="L2074" s="9"/>
    </row>
    <row r="2075" s="105" customFormat="1" spans="9:12">
      <c r="I2075" s="225"/>
      <c r="K2075" s="9"/>
      <c r="L2075" s="9"/>
    </row>
    <row r="2076" s="105" customFormat="1" spans="9:12">
      <c r="I2076" s="225"/>
      <c r="K2076" s="9"/>
      <c r="L2076" s="9"/>
    </row>
    <row r="2077" s="105" customFormat="1" spans="9:12">
      <c r="I2077" s="225"/>
      <c r="K2077" s="9"/>
      <c r="L2077" s="9"/>
    </row>
    <row r="2078" s="105" customFormat="1" spans="9:12">
      <c r="I2078" s="225"/>
      <c r="K2078" s="9"/>
      <c r="L2078" s="9"/>
    </row>
    <row r="2079" s="105" customFormat="1" spans="9:12">
      <c r="I2079" s="225"/>
      <c r="K2079" s="9"/>
      <c r="L2079" s="9"/>
    </row>
    <row r="2080" s="105" customFormat="1" spans="9:12">
      <c r="I2080" s="225"/>
      <c r="K2080" s="9"/>
      <c r="L2080" s="9"/>
    </row>
    <row r="2081" s="105" customFormat="1" spans="9:12">
      <c r="I2081" s="225"/>
      <c r="K2081" s="9"/>
      <c r="L2081" s="9"/>
    </row>
    <row r="2082" s="105" customFormat="1" spans="9:12">
      <c r="I2082" s="225"/>
      <c r="K2082" s="9"/>
      <c r="L2082" s="9"/>
    </row>
    <row r="2083" s="105" customFormat="1" spans="9:12">
      <c r="I2083" s="225"/>
      <c r="K2083" s="9"/>
      <c r="L2083" s="9"/>
    </row>
    <row r="2084" s="105" customFormat="1" spans="9:12">
      <c r="I2084" s="225"/>
      <c r="K2084" s="9"/>
      <c r="L2084" s="9"/>
    </row>
    <row r="2085" s="105" customFormat="1" spans="9:12">
      <c r="I2085" s="225"/>
      <c r="K2085" s="9"/>
      <c r="L2085" s="9"/>
    </row>
    <row r="2086" s="105" customFormat="1" spans="9:12">
      <c r="I2086" s="225"/>
      <c r="K2086" s="9"/>
      <c r="L2086" s="9"/>
    </row>
    <row r="2087" s="105" customFormat="1" spans="9:12">
      <c r="I2087" s="225"/>
      <c r="K2087" s="9"/>
      <c r="L2087" s="9"/>
    </row>
    <row r="2088" s="105" customFormat="1" spans="9:12">
      <c r="I2088" s="225"/>
      <c r="K2088" s="9"/>
      <c r="L2088" s="9"/>
    </row>
    <row r="2089" s="105" customFormat="1" spans="9:12">
      <c r="I2089" s="225"/>
      <c r="K2089" s="9"/>
      <c r="L2089" s="9"/>
    </row>
    <row r="2090" s="105" customFormat="1" spans="9:12">
      <c r="I2090" s="225"/>
      <c r="K2090" s="9"/>
      <c r="L2090" s="9"/>
    </row>
    <row r="2091" s="105" customFormat="1" spans="9:12">
      <c r="I2091" s="225"/>
      <c r="K2091" s="9"/>
      <c r="L2091" s="9"/>
    </row>
    <row r="2092" s="105" customFormat="1" spans="9:12">
      <c r="I2092" s="225"/>
      <c r="K2092" s="9"/>
      <c r="L2092" s="9"/>
    </row>
    <row r="2093" s="105" customFormat="1" spans="9:12">
      <c r="I2093" s="225"/>
      <c r="K2093" s="9"/>
      <c r="L2093" s="9"/>
    </row>
    <row r="2094" s="105" customFormat="1" spans="9:12">
      <c r="I2094" s="225"/>
      <c r="K2094" s="9"/>
      <c r="L2094" s="9"/>
    </row>
    <row r="2095" s="105" customFormat="1" spans="9:12">
      <c r="I2095" s="225"/>
      <c r="K2095" s="9"/>
      <c r="L2095" s="9"/>
    </row>
    <row r="2096" s="105" customFormat="1" spans="9:12">
      <c r="I2096" s="225"/>
      <c r="K2096" s="9"/>
      <c r="L2096" s="9"/>
    </row>
    <row r="2097" s="105" customFormat="1" spans="9:12">
      <c r="I2097" s="225"/>
      <c r="K2097" s="9"/>
      <c r="L2097" s="9"/>
    </row>
    <row r="2098" s="105" customFormat="1" spans="9:12">
      <c r="I2098" s="225"/>
      <c r="K2098" s="9"/>
      <c r="L2098" s="9"/>
    </row>
    <row r="2099" s="105" customFormat="1" spans="9:12">
      <c r="I2099" s="225"/>
      <c r="K2099" s="9"/>
      <c r="L2099" s="9"/>
    </row>
    <row r="2100" s="105" customFormat="1" spans="9:12">
      <c r="I2100" s="225"/>
      <c r="K2100" s="9"/>
      <c r="L2100" s="9"/>
    </row>
    <row r="2101" s="105" customFormat="1" spans="9:12">
      <c r="I2101" s="225"/>
      <c r="K2101" s="9"/>
      <c r="L2101" s="9"/>
    </row>
    <row r="2102" s="105" customFormat="1" spans="9:12">
      <c r="I2102" s="225"/>
      <c r="K2102" s="9"/>
      <c r="L2102" s="9"/>
    </row>
    <row r="2103" s="105" customFormat="1" spans="9:12">
      <c r="I2103" s="225"/>
      <c r="K2103" s="9"/>
      <c r="L2103" s="9"/>
    </row>
    <row r="2104" s="105" customFormat="1" spans="9:12">
      <c r="I2104" s="225"/>
      <c r="K2104" s="9"/>
      <c r="L2104" s="9"/>
    </row>
    <row r="2105" s="105" customFormat="1" spans="9:12">
      <c r="I2105" s="225"/>
      <c r="K2105" s="9"/>
      <c r="L2105" s="9"/>
    </row>
    <row r="2106" s="105" customFormat="1" spans="9:12">
      <c r="I2106" s="225"/>
      <c r="K2106" s="9"/>
      <c r="L2106" s="9"/>
    </row>
    <row r="2107" s="105" customFormat="1" spans="9:12">
      <c r="I2107" s="225"/>
      <c r="K2107" s="9"/>
      <c r="L2107" s="9"/>
    </row>
    <row r="2108" s="105" customFormat="1" spans="9:12">
      <c r="I2108" s="225"/>
      <c r="K2108" s="9"/>
      <c r="L2108" s="9"/>
    </row>
    <row r="2109" s="105" customFormat="1" spans="9:12">
      <c r="I2109" s="225"/>
      <c r="K2109" s="9"/>
      <c r="L2109" s="9"/>
    </row>
    <row r="2110" s="105" customFormat="1" spans="9:12">
      <c r="I2110" s="225"/>
      <c r="K2110" s="9"/>
      <c r="L2110" s="9"/>
    </row>
    <row r="2111" s="105" customFormat="1" spans="9:12">
      <c r="I2111" s="225"/>
      <c r="K2111" s="9"/>
      <c r="L2111" s="9"/>
    </row>
    <row r="2112" s="105" customFormat="1" spans="9:12">
      <c r="I2112" s="225"/>
      <c r="K2112" s="9"/>
      <c r="L2112" s="9"/>
    </row>
    <row r="2113" s="105" customFormat="1" spans="9:12">
      <c r="I2113" s="225"/>
      <c r="K2113" s="9"/>
      <c r="L2113" s="9"/>
    </row>
    <row r="2114" s="105" customFormat="1" spans="9:12">
      <c r="I2114" s="225"/>
      <c r="K2114" s="9"/>
      <c r="L2114" s="9"/>
    </row>
    <row r="2115" s="105" customFormat="1" spans="9:12">
      <c r="I2115" s="225"/>
      <c r="K2115" s="9"/>
      <c r="L2115" s="9"/>
    </row>
    <row r="2116" s="105" customFormat="1" spans="9:12">
      <c r="I2116" s="225"/>
      <c r="K2116" s="9"/>
      <c r="L2116" s="9"/>
    </row>
    <row r="2117" s="105" customFormat="1" spans="9:12">
      <c r="I2117" s="225"/>
      <c r="K2117" s="9"/>
      <c r="L2117" s="9"/>
    </row>
    <row r="2118" s="105" customFormat="1" spans="9:12">
      <c r="I2118" s="225"/>
      <c r="K2118" s="9"/>
      <c r="L2118" s="9"/>
    </row>
    <row r="2119" s="105" customFormat="1" spans="9:12">
      <c r="I2119" s="225"/>
      <c r="K2119" s="9"/>
      <c r="L2119" s="9"/>
    </row>
    <row r="2120" s="105" customFormat="1" spans="9:12">
      <c r="I2120" s="225"/>
      <c r="K2120" s="9"/>
      <c r="L2120" s="9"/>
    </row>
    <row r="2121" s="105" customFormat="1" spans="9:12">
      <c r="I2121" s="225"/>
      <c r="K2121" s="9"/>
      <c r="L2121" s="9"/>
    </row>
    <row r="2122" s="105" customFormat="1" spans="9:12">
      <c r="I2122" s="225"/>
      <c r="K2122" s="9"/>
      <c r="L2122" s="9"/>
    </row>
    <row r="2123" s="105" customFormat="1" spans="9:12">
      <c r="I2123" s="225"/>
      <c r="K2123" s="9"/>
      <c r="L2123" s="9"/>
    </row>
    <row r="2124" s="105" customFormat="1" spans="9:12">
      <c r="I2124" s="225"/>
      <c r="K2124" s="9"/>
      <c r="L2124" s="9"/>
    </row>
    <row r="2125" s="105" customFormat="1" spans="9:12">
      <c r="I2125" s="225"/>
      <c r="K2125" s="9"/>
      <c r="L2125" s="9"/>
    </row>
    <row r="2126" s="105" customFormat="1" spans="9:12">
      <c r="I2126" s="225"/>
      <c r="K2126" s="9"/>
      <c r="L2126" s="9"/>
    </row>
    <row r="2127" s="105" customFormat="1" spans="9:12">
      <c r="I2127" s="225"/>
      <c r="K2127" s="9"/>
      <c r="L2127" s="9"/>
    </row>
    <row r="2128" s="105" customFormat="1" spans="9:12">
      <c r="I2128" s="225"/>
      <c r="K2128" s="9"/>
      <c r="L2128" s="9"/>
    </row>
    <row r="2129" s="105" customFormat="1" spans="9:12">
      <c r="I2129" s="225"/>
      <c r="K2129" s="9"/>
      <c r="L2129" s="9"/>
    </row>
    <row r="2130" s="105" customFormat="1" spans="9:12">
      <c r="I2130" s="225"/>
      <c r="K2130" s="9"/>
      <c r="L2130" s="9"/>
    </row>
    <row r="2131" s="105" customFormat="1" spans="9:12">
      <c r="I2131" s="225"/>
      <c r="K2131" s="9"/>
      <c r="L2131" s="9"/>
    </row>
    <row r="2132" s="105" customFormat="1" spans="9:12">
      <c r="I2132" s="225"/>
      <c r="K2132" s="9"/>
      <c r="L2132" s="9"/>
    </row>
    <row r="2133" s="105" customFormat="1" spans="9:12">
      <c r="I2133" s="225"/>
      <c r="K2133" s="9"/>
      <c r="L2133" s="9"/>
    </row>
    <row r="2134" s="105" customFormat="1" spans="9:12">
      <c r="I2134" s="225"/>
      <c r="K2134" s="9"/>
      <c r="L2134" s="9"/>
    </row>
    <row r="2135" s="105" customFormat="1" spans="9:12">
      <c r="I2135" s="225"/>
      <c r="K2135" s="9"/>
      <c r="L2135" s="9"/>
    </row>
    <row r="2136" s="105" customFormat="1" spans="9:12">
      <c r="I2136" s="225"/>
      <c r="K2136" s="9"/>
      <c r="L2136" s="9"/>
    </row>
    <row r="2137" s="105" customFormat="1" spans="9:12">
      <c r="I2137" s="225"/>
      <c r="K2137" s="9"/>
      <c r="L2137" s="9"/>
    </row>
    <row r="2138" s="105" customFormat="1" spans="9:12">
      <c r="I2138" s="225"/>
      <c r="K2138" s="9"/>
      <c r="L2138" s="9"/>
    </row>
    <row r="2139" s="105" customFormat="1" spans="9:12">
      <c r="I2139" s="225"/>
      <c r="K2139" s="9"/>
      <c r="L2139" s="9"/>
    </row>
    <row r="2140" s="105" customFormat="1" spans="9:12">
      <c r="I2140" s="225"/>
      <c r="K2140" s="9"/>
      <c r="L2140" s="9"/>
    </row>
    <row r="2141" s="105" customFormat="1" spans="9:12">
      <c r="I2141" s="225"/>
      <c r="K2141" s="9"/>
      <c r="L2141" s="9"/>
    </row>
    <row r="2142" s="105" customFormat="1" spans="9:12">
      <c r="I2142" s="225"/>
      <c r="K2142" s="9"/>
      <c r="L2142" s="9"/>
    </row>
    <row r="2143" s="105" customFormat="1" spans="9:12">
      <c r="I2143" s="225"/>
      <c r="K2143" s="9"/>
      <c r="L2143" s="9"/>
    </row>
    <row r="2144" s="105" customFormat="1" spans="9:12">
      <c r="I2144" s="225"/>
      <c r="K2144" s="9"/>
      <c r="L2144" s="9"/>
    </row>
    <row r="2145" s="105" customFormat="1" spans="9:12">
      <c r="I2145" s="225"/>
      <c r="K2145" s="9"/>
      <c r="L2145" s="9"/>
    </row>
    <row r="2146" s="105" customFormat="1" spans="9:12">
      <c r="I2146" s="225"/>
      <c r="K2146" s="9"/>
      <c r="L2146" s="9"/>
    </row>
    <row r="2147" s="105" customFormat="1" spans="9:12">
      <c r="I2147" s="225"/>
      <c r="K2147" s="9"/>
      <c r="L2147" s="9"/>
    </row>
    <row r="2148" s="105" customFormat="1" spans="9:12">
      <c r="I2148" s="225"/>
      <c r="K2148" s="9"/>
      <c r="L2148" s="9"/>
    </row>
    <row r="2149" s="105" customFormat="1" spans="9:12">
      <c r="I2149" s="225"/>
      <c r="K2149" s="9"/>
      <c r="L2149" s="9"/>
    </row>
    <row r="2150" s="105" customFormat="1" spans="9:12">
      <c r="I2150" s="225"/>
      <c r="K2150" s="9"/>
      <c r="L2150" s="9"/>
    </row>
    <row r="2151" s="105" customFormat="1" spans="9:12">
      <c r="I2151" s="225"/>
      <c r="K2151" s="9"/>
      <c r="L2151" s="9"/>
    </row>
    <row r="2152" s="105" customFormat="1" spans="9:12">
      <c r="I2152" s="225"/>
      <c r="K2152" s="9"/>
      <c r="L2152" s="9"/>
    </row>
    <row r="2153" s="105" customFormat="1" spans="9:12">
      <c r="I2153" s="225"/>
      <c r="K2153" s="9"/>
      <c r="L2153" s="9"/>
    </row>
    <row r="2154" s="105" customFormat="1" spans="9:12">
      <c r="I2154" s="225"/>
      <c r="K2154" s="9"/>
      <c r="L2154" s="9"/>
    </row>
    <row r="2155" s="105" customFormat="1" spans="9:12">
      <c r="I2155" s="225"/>
      <c r="K2155" s="9"/>
      <c r="L2155" s="9"/>
    </row>
    <row r="2156" s="105" customFormat="1" spans="9:12">
      <c r="I2156" s="225"/>
      <c r="K2156" s="9"/>
      <c r="L2156" s="9"/>
    </row>
    <row r="2157" s="105" customFormat="1" spans="9:12">
      <c r="I2157" s="225"/>
      <c r="K2157" s="9"/>
      <c r="L2157" s="9"/>
    </row>
    <row r="2158" s="105" customFormat="1" spans="9:12">
      <c r="I2158" s="225"/>
      <c r="K2158" s="9"/>
      <c r="L2158" s="9"/>
    </row>
    <row r="2159" s="105" customFormat="1" spans="9:12">
      <c r="I2159" s="225"/>
      <c r="K2159" s="9"/>
      <c r="L2159" s="9"/>
    </row>
    <row r="2160" s="105" customFormat="1" spans="9:12">
      <c r="I2160" s="225"/>
      <c r="K2160" s="9"/>
      <c r="L2160" s="9"/>
    </row>
    <row r="2161" s="105" customFormat="1" spans="9:12">
      <c r="I2161" s="225"/>
      <c r="K2161" s="9"/>
      <c r="L2161" s="9"/>
    </row>
    <row r="2162" s="105" customFormat="1" spans="9:12">
      <c r="I2162" s="225"/>
      <c r="K2162" s="9"/>
      <c r="L2162" s="9"/>
    </row>
    <row r="2163" s="105" customFormat="1" spans="9:12">
      <c r="I2163" s="225"/>
      <c r="K2163" s="9"/>
      <c r="L2163" s="9"/>
    </row>
    <row r="2164" s="105" customFormat="1" spans="9:12">
      <c r="I2164" s="225"/>
      <c r="K2164" s="9"/>
      <c r="L2164" s="9"/>
    </row>
    <row r="2165" s="105" customFormat="1" spans="9:12">
      <c r="I2165" s="225"/>
      <c r="K2165" s="9"/>
      <c r="L2165" s="9"/>
    </row>
    <row r="2166" s="105" customFormat="1" spans="9:12">
      <c r="I2166" s="225"/>
      <c r="K2166" s="9"/>
      <c r="L2166" s="9"/>
    </row>
    <row r="2167" s="105" customFormat="1" spans="9:12">
      <c r="I2167" s="225"/>
      <c r="K2167" s="9"/>
      <c r="L2167" s="9"/>
    </row>
    <row r="2168" s="105" customFormat="1" spans="9:12">
      <c r="I2168" s="225"/>
      <c r="K2168" s="9"/>
      <c r="L2168" s="9"/>
    </row>
    <row r="2169" s="105" customFormat="1" spans="9:12">
      <c r="I2169" s="225"/>
      <c r="K2169" s="9"/>
      <c r="L2169" s="9"/>
    </row>
    <row r="2170" s="105" customFormat="1" spans="9:12">
      <c r="I2170" s="225"/>
      <c r="K2170" s="9"/>
      <c r="L2170" s="9"/>
    </row>
    <row r="2171" s="105" customFormat="1" spans="9:12">
      <c r="I2171" s="225"/>
      <c r="K2171" s="9"/>
      <c r="L2171" s="9"/>
    </row>
    <row r="2172" s="105" customFormat="1" spans="9:12">
      <c r="I2172" s="225"/>
      <c r="K2172" s="9"/>
      <c r="L2172" s="9"/>
    </row>
    <row r="2173" s="105" customFormat="1" spans="9:12">
      <c r="I2173" s="225"/>
      <c r="K2173" s="9"/>
      <c r="L2173" s="9"/>
    </row>
    <row r="2174" s="105" customFormat="1" spans="9:12">
      <c r="I2174" s="225"/>
      <c r="K2174" s="9"/>
      <c r="L2174" s="9"/>
    </row>
    <row r="2175" s="105" customFormat="1" spans="9:12">
      <c r="I2175" s="225"/>
      <c r="K2175" s="9"/>
      <c r="L2175" s="9"/>
    </row>
    <row r="2176" s="105" customFormat="1" spans="9:12">
      <c r="I2176" s="225"/>
      <c r="K2176" s="9"/>
      <c r="L2176" s="9"/>
    </row>
    <row r="2177" s="105" customFormat="1" spans="9:12">
      <c r="I2177" s="225"/>
      <c r="K2177" s="9"/>
      <c r="L2177" s="9"/>
    </row>
    <row r="2178" s="105" customFormat="1" spans="9:12">
      <c r="I2178" s="225"/>
      <c r="K2178" s="9"/>
      <c r="L2178" s="9"/>
    </row>
    <row r="2179" s="105" customFormat="1" spans="9:12">
      <c r="I2179" s="225"/>
      <c r="K2179" s="9"/>
      <c r="L2179" s="9"/>
    </row>
    <row r="2180" s="105" customFormat="1" spans="9:12">
      <c r="I2180" s="225"/>
      <c r="K2180" s="9"/>
      <c r="L2180" s="9"/>
    </row>
    <row r="2181" s="105" customFormat="1" spans="9:12">
      <c r="I2181" s="225"/>
      <c r="K2181" s="9"/>
      <c r="L2181" s="9"/>
    </row>
    <row r="2182" s="105" customFormat="1" spans="9:12">
      <c r="I2182" s="225"/>
      <c r="K2182" s="9"/>
      <c r="L2182" s="9"/>
    </row>
    <row r="2183" s="105" customFormat="1" spans="9:12">
      <c r="I2183" s="225"/>
      <c r="K2183" s="9"/>
      <c r="L2183" s="9"/>
    </row>
    <row r="2184" s="105" customFormat="1" spans="9:12">
      <c r="I2184" s="225"/>
      <c r="K2184" s="9"/>
      <c r="L2184" s="9"/>
    </row>
    <row r="2185" s="105" customFormat="1" spans="9:12">
      <c r="I2185" s="225"/>
      <c r="K2185" s="9"/>
      <c r="L2185" s="9"/>
    </row>
    <row r="2186" s="105" customFormat="1" spans="9:12">
      <c r="I2186" s="225"/>
      <c r="K2186" s="9"/>
      <c r="L2186" s="9"/>
    </row>
    <row r="2187" s="105" customFormat="1" spans="9:12">
      <c r="I2187" s="225"/>
      <c r="K2187" s="9"/>
      <c r="L2187" s="9"/>
    </row>
    <row r="2188" s="105" customFormat="1" spans="9:12">
      <c r="I2188" s="225"/>
      <c r="K2188" s="9"/>
      <c r="L2188" s="9"/>
    </row>
    <row r="2189" s="105" customFormat="1" spans="9:12">
      <c r="I2189" s="225"/>
      <c r="K2189" s="9"/>
      <c r="L2189" s="9"/>
    </row>
    <row r="2190" s="105" customFormat="1" spans="9:12">
      <c r="I2190" s="225"/>
      <c r="K2190" s="9"/>
      <c r="L2190" s="9"/>
    </row>
    <row r="2191" s="105" customFormat="1" spans="9:12">
      <c r="I2191" s="225"/>
      <c r="K2191" s="9"/>
      <c r="L2191" s="9"/>
    </row>
    <row r="2192" s="105" customFormat="1" spans="9:12">
      <c r="I2192" s="225"/>
      <c r="K2192" s="9"/>
      <c r="L2192" s="9"/>
    </row>
    <row r="2193" s="105" customFormat="1" spans="9:12">
      <c r="I2193" s="225"/>
      <c r="K2193" s="9"/>
      <c r="L2193" s="9"/>
    </row>
    <row r="2194" s="105" customFormat="1" spans="9:12">
      <c r="I2194" s="225"/>
      <c r="K2194" s="9"/>
      <c r="L2194" s="9"/>
    </row>
    <row r="2195" s="105" customFormat="1" spans="9:12">
      <c r="I2195" s="225"/>
      <c r="K2195" s="9"/>
      <c r="L2195" s="9"/>
    </row>
    <row r="2196" s="105" customFormat="1" spans="9:12">
      <c r="I2196" s="225"/>
      <c r="K2196" s="9"/>
      <c r="L2196" s="9"/>
    </row>
    <row r="2197" s="105" customFormat="1" spans="9:12">
      <c r="I2197" s="225"/>
      <c r="K2197" s="9"/>
      <c r="L2197" s="9"/>
    </row>
    <row r="2198" s="105" customFormat="1" spans="9:12">
      <c r="I2198" s="225"/>
      <c r="K2198" s="9"/>
      <c r="L2198" s="9"/>
    </row>
    <row r="2199" s="105" customFormat="1" spans="9:12">
      <c r="I2199" s="225"/>
      <c r="K2199" s="9"/>
      <c r="L2199" s="9"/>
    </row>
    <row r="2200" s="105" customFormat="1" spans="9:12">
      <c r="I2200" s="225"/>
      <c r="K2200" s="9"/>
      <c r="L2200" s="9"/>
    </row>
    <row r="2201" s="105" customFormat="1" spans="9:12">
      <c r="I2201" s="225"/>
      <c r="K2201" s="9"/>
      <c r="L2201" s="9"/>
    </row>
    <row r="2202" s="105" customFormat="1" spans="9:12">
      <c r="I2202" s="225"/>
      <c r="K2202" s="9"/>
      <c r="L2202" s="9"/>
    </row>
    <row r="2203" s="105" customFormat="1" spans="9:12">
      <c r="I2203" s="225"/>
      <c r="K2203" s="9"/>
      <c r="L2203" s="9"/>
    </row>
    <row r="2204" s="105" customFormat="1" spans="9:12">
      <c r="I2204" s="225"/>
      <c r="K2204" s="9"/>
      <c r="L2204" s="9"/>
    </row>
    <row r="2205" s="105" customFormat="1" spans="9:12">
      <c r="I2205" s="225"/>
      <c r="K2205" s="9"/>
      <c r="L2205" s="9"/>
    </row>
    <row r="2206" s="105" customFormat="1" spans="9:12">
      <c r="I2206" s="225"/>
      <c r="K2206" s="9"/>
      <c r="L2206" s="9"/>
    </row>
    <row r="2207" s="105" customFormat="1" spans="9:12">
      <c r="I2207" s="225"/>
      <c r="K2207" s="9"/>
      <c r="L2207" s="9"/>
    </row>
    <row r="2208" s="105" customFormat="1" spans="9:12">
      <c r="I2208" s="225"/>
      <c r="K2208" s="9"/>
      <c r="L2208" s="9"/>
    </row>
    <row r="2209" s="105" customFormat="1" spans="9:12">
      <c r="I2209" s="225"/>
      <c r="K2209" s="9"/>
      <c r="L2209" s="9"/>
    </row>
    <row r="2210" s="105" customFormat="1" spans="9:12">
      <c r="I2210" s="225"/>
      <c r="K2210" s="9"/>
      <c r="L2210" s="9"/>
    </row>
    <row r="2211" s="105" customFormat="1" spans="9:12">
      <c r="I2211" s="225"/>
      <c r="K2211" s="9"/>
      <c r="L2211" s="9"/>
    </row>
    <row r="2212" s="105" customFormat="1" spans="9:12">
      <c r="I2212" s="225"/>
      <c r="K2212" s="9"/>
      <c r="L2212" s="9"/>
    </row>
    <row r="2213" s="105" customFormat="1" spans="9:12">
      <c r="I2213" s="225"/>
      <c r="K2213" s="9"/>
      <c r="L2213" s="9"/>
    </row>
    <row r="2214" s="105" customFormat="1" spans="9:12">
      <c r="I2214" s="225"/>
      <c r="K2214" s="9"/>
      <c r="L2214" s="9"/>
    </row>
    <row r="2215" s="105" customFormat="1" spans="9:12">
      <c r="I2215" s="225"/>
      <c r="K2215" s="9"/>
      <c r="L2215" s="9"/>
    </row>
    <row r="2216" s="105" customFormat="1" spans="9:12">
      <c r="I2216" s="225"/>
      <c r="K2216" s="9"/>
      <c r="L2216" s="9"/>
    </row>
    <row r="2217" s="105" customFormat="1" spans="9:12">
      <c r="I2217" s="225"/>
      <c r="K2217" s="9"/>
      <c r="L2217" s="9"/>
    </row>
    <row r="2218" s="105" customFormat="1" spans="9:12">
      <c r="I2218" s="225"/>
      <c r="K2218" s="9"/>
      <c r="L2218" s="9"/>
    </row>
    <row r="2219" s="105" customFormat="1" spans="9:12">
      <c r="I2219" s="225"/>
      <c r="K2219" s="9"/>
      <c r="L2219" s="9"/>
    </row>
    <row r="2220" s="105" customFormat="1" spans="9:12">
      <c r="I2220" s="225"/>
      <c r="K2220" s="9"/>
      <c r="L2220" s="9"/>
    </row>
    <row r="2221" s="105" customFormat="1" spans="9:12">
      <c r="I2221" s="225"/>
      <c r="K2221" s="9"/>
      <c r="L2221" s="9"/>
    </row>
    <row r="2222" s="105" customFormat="1" spans="9:12">
      <c r="I2222" s="225"/>
      <c r="K2222" s="9"/>
      <c r="L2222" s="9"/>
    </row>
    <row r="2223" s="105" customFormat="1" spans="9:12">
      <c r="I2223" s="225"/>
      <c r="K2223" s="9"/>
      <c r="L2223" s="9"/>
    </row>
    <row r="2224" s="105" customFormat="1" spans="9:12">
      <c r="I2224" s="225"/>
      <c r="K2224" s="9"/>
      <c r="L2224" s="9"/>
    </row>
    <row r="2225" s="105" customFormat="1" spans="9:12">
      <c r="I2225" s="225"/>
      <c r="K2225" s="9"/>
      <c r="L2225" s="9"/>
    </row>
    <row r="2226" s="105" customFormat="1" spans="9:12">
      <c r="I2226" s="225"/>
      <c r="K2226" s="9"/>
      <c r="L2226" s="9"/>
    </row>
    <row r="2227" s="105" customFormat="1" spans="9:12">
      <c r="I2227" s="225"/>
      <c r="K2227" s="9"/>
      <c r="L2227" s="9"/>
    </row>
    <row r="2228" s="105" customFormat="1" spans="9:12">
      <c r="I2228" s="225"/>
      <c r="K2228" s="9"/>
      <c r="L2228" s="9"/>
    </row>
    <row r="2229" s="105" customFormat="1" spans="9:12">
      <c r="I2229" s="225"/>
      <c r="K2229" s="9"/>
      <c r="L2229" s="9"/>
    </row>
    <row r="2230" s="105" customFormat="1" spans="9:12">
      <c r="I2230" s="225"/>
      <c r="K2230" s="9"/>
      <c r="L2230" s="9"/>
    </row>
    <row r="2231" s="105" customFormat="1" spans="9:12">
      <c r="I2231" s="225"/>
      <c r="K2231" s="9"/>
      <c r="L2231" s="9"/>
    </row>
    <row r="2232" s="105" customFormat="1" spans="9:12">
      <c r="I2232" s="225"/>
      <c r="K2232" s="9"/>
      <c r="L2232" s="9"/>
    </row>
    <row r="2233" s="105" customFormat="1" spans="9:12">
      <c r="I2233" s="225"/>
      <c r="K2233" s="9"/>
      <c r="L2233" s="9"/>
    </row>
    <row r="2234" s="105" customFormat="1" spans="9:12">
      <c r="I2234" s="225"/>
      <c r="K2234" s="9"/>
      <c r="L2234" s="9"/>
    </row>
    <row r="2235" s="105" customFormat="1" spans="9:12">
      <c r="I2235" s="225"/>
      <c r="K2235" s="9"/>
      <c r="L2235" s="9"/>
    </row>
    <row r="2236" s="105" customFormat="1" spans="9:12">
      <c r="I2236" s="225"/>
      <c r="K2236" s="9"/>
      <c r="L2236" s="9"/>
    </row>
    <row r="2237" s="105" customFormat="1" spans="9:12">
      <c r="I2237" s="225"/>
      <c r="K2237" s="9"/>
      <c r="L2237" s="9"/>
    </row>
    <row r="2238" s="105" customFormat="1" spans="9:12">
      <c r="I2238" s="225"/>
      <c r="K2238" s="9"/>
      <c r="L2238" s="9"/>
    </row>
    <row r="2239" s="105" customFormat="1" spans="9:12">
      <c r="I2239" s="225"/>
      <c r="K2239" s="9"/>
      <c r="L2239" s="9"/>
    </row>
    <row r="2240" s="105" customFormat="1" spans="9:12">
      <c r="I2240" s="225"/>
      <c r="K2240" s="9"/>
      <c r="L2240" s="9"/>
    </row>
    <row r="2241" s="105" customFormat="1" spans="9:12">
      <c r="I2241" s="225"/>
      <c r="K2241" s="9"/>
      <c r="L2241" s="9"/>
    </row>
    <row r="2242" s="105" customFormat="1" spans="9:12">
      <c r="I2242" s="225"/>
      <c r="K2242" s="9"/>
      <c r="L2242" s="9"/>
    </row>
    <row r="2243" s="105" customFormat="1" spans="9:12">
      <c r="I2243" s="225"/>
      <c r="K2243" s="9"/>
      <c r="L2243" s="9"/>
    </row>
    <row r="2244" s="105" customFormat="1" spans="9:12">
      <c r="I2244" s="225"/>
      <c r="K2244" s="9"/>
      <c r="L2244" s="9"/>
    </row>
    <row r="2245" s="105" customFormat="1" spans="9:12">
      <c r="I2245" s="225"/>
      <c r="K2245" s="9"/>
      <c r="L2245" s="9"/>
    </row>
    <row r="2246" s="105" customFormat="1" spans="9:12">
      <c r="I2246" s="225"/>
      <c r="K2246" s="9"/>
      <c r="L2246" s="9"/>
    </row>
    <row r="2247" s="105" customFormat="1" spans="9:12">
      <c r="I2247" s="225"/>
      <c r="K2247" s="9"/>
      <c r="L2247" s="9"/>
    </row>
    <row r="2248" s="105" customFormat="1" spans="9:12">
      <c r="I2248" s="225"/>
      <c r="K2248" s="9"/>
      <c r="L2248" s="9"/>
    </row>
    <row r="2249" s="105" customFormat="1" spans="9:12">
      <c r="I2249" s="225"/>
      <c r="K2249" s="9"/>
      <c r="L2249" s="9"/>
    </row>
    <row r="2250" s="105" customFormat="1" spans="9:12">
      <c r="I2250" s="225"/>
      <c r="K2250" s="9"/>
      <c r="L2250" s="9"/>
    </row>
    <row r="2251" s="105" customFormat="1" spans="9:12">
      <c r="I2251" s="225"/>
      <c r="K2251" s="9"/>
      <c r="L2251" s="9"/>
    </row>
    <row r="2252" s="105" customFormat="1" spans="9:12">
      <c r="I2252" s="225"/>
      <c r="K2252" s="9"/>
      <c r="L2252" s="9"/>
    </row>
    <row r="2253" s="105" customFormat="1" spans="9:12">
      <c r="I2253" s="225"/>
      <c r="K2253" s="9"/>
      <c r="L2253" s="9"/>
    </row>
    <row r="2254" s="105" customFormat="1" spans="9:12">
      <c r="I2254" s="225"/>
      <c r="K2254" s="9"/>
      <c r="L2254" s="9"/>
    </row>
    <row r="2255" s="105" customFormat="1" spans="9:12">
      <c r="I2255" s="225"/>
      <c r="K2255" s="9"/>
      <c r="L2255" s="9"/>
    </row>
    <row r="2256" s="105" customFormat="1" spans="9:12">
      <c r="I2256" s="225"/>
      <c r="K2256" s="9"/>
      <c r="L2256" s="9"/>
    </row>
    <row r="2257" s="105" customFormat="1" spans="9:12">
      <c r="I2257" s="225"/>
      <c r="K2257" s="9"/>
      <c r="L2257" s="9"/>
    </row>
    <row r="2258" s="105" customFormat="1" spans="9:12">
      <c r="I2258" s="225"/>
      <c r="K2258" s="9"/>
      <c r="L2258" s="9"/>
    </row>
    <row r="2259" s="105" customFormat="1" spans="9:12">
      <c r="I2259" s="225"/>
      <c r="K2259" s="9"/>
      <c r="L2259" s="9"/>
    </row>
    <row r="2260" s="105" customFormat="1" spans="9:12">
      <c r="I2260" s="225"/>
      <c r="K2260" s="9"/>
      <c r="L2260" s="9"/>
    </row>
    <row r="2261" s="105" customFormat="1" spans="9:12">
      <c r="I2261" s="225"/>
      <c r="K2261" s="9"/>
      <c r="L2261" s="9"/>
    </row>
    <row r="2262" s="105" customFormat="1" spans="9:12">
      <c r="I2262" s="225"/>
      <c r="K2262" s="9"/>
      <c r="L2262" s="9"/>
    </row>
    <row r="2263" s="105" customFormat="1" spans="9:12">
      <c r="I2263" s="225"/>
      <c r="K2263" s="9"/>
      <c r="L2263" s="9"/>
    </row>
    <row r="2264" s="105" customFormat="1" spans="9:12">
      <c r="I2264" s="225"/>
      <c r="K2264" s="9"/>
      <c r="L2264" s="9"/>
    </row>
    <row r="2265" s="105" customFormat="1" spans="9:12">
      <c r="I2265" s="225"/>
      <c r="K2265" s="9"/>
      <c r="L2265" s="9"/>
    </row>
    <row r="2266" s="105" customFormat="1" spans="9:12">
      <c r="I2266" s="225"/>
      <c r="K2266" s="9"/>
      <c r="L2266" s="9"/>
    </row>
    <row r="2267" s="105" customFormat="1" spans="9:12">
      <c r="I2267" s="225"/>
      <c r="K2267" s="9"/>
      <c r="L2267" s="9"/>
    </row>
    <row r="2268" s="105" customFormat="1" spans="9:12">
      <c r="I2268" s="225"/>
      <c r="K2268" s="9"/>
      <c r="L2268" s="9"/>
    </row>
    <row r="2269" s="105" customFormat="1" spans="9:12">
      <c r="I2269" s="225"/>
      <c r="K2269" s="9"/>
      <c r="L2269" s="9"/>
    </row>
    <row r="2270" s="105" customFormat="1" spans="9:12">
      <c r="I2270" s="225"/>
      <c r="K2270" s="9"/>
      <c r="L2270" s="9"/>
    </row>
    <row r="2271" s="105" customFormat="1" spans="9:12">
      <c r="I2271" s="225"/>
      <c r="K2271" s="9"/>
      <c r="L2271" s="9"/>
    </row>
    <row r="2272" s="105" customFormat="1" spans="9:12">
      <c r="I2272" s="225"/>
      <c r="K2272" s="9"/>
      <c r="L2272" s="9"/>
    </row>
    <row r="2273" s="105" customFormat="1" spans="9:12">
      <c r="I2273" s="225"/>
      <c r="K2273" s="9"/>
      <c r="L2273" s="9"/>
    </row>
    <row r="2274" s="105" customFormat="1" spans="9:12">
      <c r="I2274" s="225"/>
      <c r="K2274" s="9"/>
      <c r="L2274" s="9"/>
    </row>
    <row r="2275" s="105" customFormat="1" spans="9:12">
      <c r="I2275" s="225"/>
      <c r="K2275" s="9"/>
      <c r="L2275" s="9"/>
    </row>
    <row r="2276" s="105" customFormat="1" spans="9:12">
      <c r="I2276" s="225"/>
      <c r="K2276" s="9"/>
      <c r="L2276" s="9"/>
    </row>
    <row r="2277" s="105" customFormat="1" spans="9:12">
      <c r="I2277" s="225"/>
      <c r="K2277" s="9"/>
      <c r="L2277" s="9"/>
    </row>
    <row r="2278" s="105" customFormat="1" spans="9:12">
      <c r="I2278" s="225"/>
      <c r="K2278" s="9"/>
      <c r="L2278" s="9"/>
    </row>
    <row r="2279" s="105" customFormat="1" spans="9:12">
      <c r="I2279" s="225"/>
      <c r="K2279" s="9"/>
      <c r="L2279" s="9"/>
    </row>
    <row r="2280" s="105" customFormat="1" spans="9:12">
      <c r="I2280" s="225"/>
      <c r="K2280" s="9"/>
      <c r="L2280" s="9"/>
    </row>
    <row r="2281" s="105" customFormat="1" spans="9:12">
      <c r="I2281" s="225"/>
      <c r="K2281" s="9"/>
      <c r="L2281" s="9"/>
    </row>
    <row r="2282" s="105" customFormat="1" spans="9:12">
      <c r="I2282" s="225"/>
      <c r="K2282" s="9"/>
      <c r="L2282" s="9"/>
    </row>
    <row r="2283" s="105" customFormat="1" spans="9:12">
      <c r="I2283" s="225"/>
      <c r="K2283" s="9"/>
      <c r="L2283" s="9"/>
    </row>
    <row r="2284" s="105" customFormat="1" spans="9:12">
      <c r="I2284" s="225"/>
      <c r="K2284" s="9"/>
      <c r="L2284" s="9"/>
    </row>
    <row r="2285" s="105" customFormat="1" spans="9:12">
      <c r="I2285" s="225"/>
      <c r="K2285" s="9"/>
      <c r="L2285" s="9"/>
    </row>
    <row r="2286" s="105" customFormat="1" spans="9:12">
      <c r="I2286" s="225"/>
      <c r="K2286" s="9"/>
      <c r="L2286" s="9"/>
    </row>
    <row r="2287" s="105" customFormat="1" spans="9:12">
      <c r="I2287" s="225"/>
      <c r="K2287" s="9"/>
      <c r="L2287" s="9"/>
    </row>
    <row r="2288" s="105" customFormat="1" spans="9:12">
      <c r="I2288" s="225"/>
      <c r="K2288" s="9"/>
      <c r="L2288" s="9"/>
    </row>
    <row r="2289" s="105" customFormat="1" spans="9:12">
      <c r="I2289" s="225"/>
      <c r="K2289" s="9"/>
      <c r="L2289" s="9"/>
    </row>
    <row r="2290" s="105" customFormat="1" spans="9:12">
      <c r="I2290" s="225"/>
      <c r="K2290" s="9"/>
      <c r="L2290" s="9"/>
    </row>
    <row r="2291" s="105" customFormat="1" spans="9:12">
      <c r="I2291" s="225"/>
      <c r="K2291" s="9"/>
      <c r="L2291" s="9"/>
    </row>
    <row r="2292" s="105" customFormat="1" spans="9:12">
      <c r="I2292" s="225"/>
      <c r="K2292" s="9"/>
      <c r="L2292" s="9"/>
    </row>
    <row r="2293" s="105" customFormat="1" spans="9:12">
      <c r="I2293" s="225"/>
      <c r="K2293" s="9"/>
      <c r="L2293" s="9"/>
    </row>
    <row r="2294" s="105" customFormat="1" spans="9:12">
      <c r="I2294" s="225"/>
      <c r="K2294" s="9"/>
      <c r="L2294" s="9"/>
    </row>
    <row r="2295" s="105" customFormat="1" spans="9:12">
      <c r="I2295" s="225"/>
      <c r="K2295" s="9"/>
      <c r="L2295" s="9"/>
    </row>
    <row r="2296" s="105" customFormat="1" spans="9:12">
      <c r="I2296" s="225"/>
      <c r="K2296" s="9"/>
      <c r="L2296" s="9"/>
    </row>
    <row r="2297" s="105" customFormat="1" spans="9:12">
      <c r="I2297" s="225"/>
      <c r="K2297" s="9"/>
      <c r="L2297" s="9"/>
    </row>
    <row r="2298" s="105" customFormat="1" spans="9:12">
      <c r="I2298" s="225"/>
      <c r="K2298" s="9"/>
      <c r="L2298" s="9"/>
    </row>
    <row r="2299" s="105" customFormat="1" spans="9:12">
      <c r="I2299" s="225"/>
      <c r="K2299" s="9"/>
      <c r="L2299" s="9"/>
    </row>
    <row r="2300" s="105" customFormat="1" spans="9:12">
      <c r="I2300" s="225"/>
      <c r="K2300" s="9"/>
      <c r="L2300" s="9"/>
    </row>
    <row r="2301" s="105" customFormat="1" spans="9:12">
      <c r="I2301" s="225"/>
      <c r="K2301" s="9"/>
      <c r="L2301" s="9"/>
    </row>
    <row r="2302" s="105" customFormat="1" spans="9:12">
      <c r="I2302" s="225"/>
      <c r="K2302" s="9"/>
      <c r="L2302" s="9"/>
    </row>
    <row r="2303" s="105" customFormat="1" spans="9:12">
      <c r="I2303" s="225"/>
      <c r="K2303" s="9"/>
      <c r="L2303" s="9"/>
    </row>
    <row r="2304" s="105" customFormat="1" spans="9:12">
      <c r="I2304" s="225"/>
      <c r="K2304" s="9"/>
      <c r="L2304" s="9"/>
    </row>
    <row r="2305" s="105" customFormat="1" spans="9:12">
      <c r="I2305" s="225"/>
      <c r="K2305" s="9"/>
      <c r="L2305" s="9"/>
    </row>
    <row r="2306" s="105" customFormat="1" spans="9:12">
      <c r="I2306" s="225"/>
      <c r="K2306" s="9"/>
      <c r="L2306" s="9"/>
    </row>
    <row r="2307" s="105" customFormat="1" spans="9:12">
      <c r="I2307" s="225"/>
      <c r="K2307" s="9"/>
      <c r="L2307" s="9"/>
    </row>
    <row r="2308" s="105" customFormat="1" spans="9:12">
      <c r="I2308" s="225"/>
      <c r="K2308" s="9"/>
      <c r="L2308" s="9"/>
    </row>
    <row r="2309" s="105" customFormat="1" spans="9:12">
      <c r="I2309" s="225"/>
      <c r="K2309" s="9"/>
      <c r="L2309" s="9"/>
    </row>
    <row r="2310" s="105" customFormat="1" spans="9:12">
      <c r="I2310" s="225"/>
      <c r="K2310" s="9"/>
      <c r="L2310" s="9"/>
    </row>
    <row r="2311" s="105" customFormat="1" spans="9:12">
      <c r="I2311" s="225"/>
      <c r="K2311" s="9"/>
      <c r="L2311" s="9"/>
    </row>
    <row r="2312" s="105" customFormat="1" spans="9:12">
      <c r="I2312" s="225"/>
      <c r="K2312" s="9"/>
      <c r="L2312" s="9"/>
    </row>
    <row r="2313" s="105" customFormat="1" spans="9:12">
      <c r="I2313" s="225"/>
      <c r="K2313" s="9"/>
      <c r="L2313" s="9"/>
    </row>
    <row r="2314" s="105" customFormat="1" spans="9:12">
      <c r="I2314" s="225"/>
      <c r="K2314" s="9"/>
      <c r="L2314" s="9"/>
    </row>
    <row r="2315" s="105" customFormat="1" spans="9:12">
      <c r="I2315" s="225"/>
      <c r="K2315" s="9"/>
      <c r="L2315" s="9"/>
    </row>
    <row r="2316" s="105" customFormat="1" spans="9:12">
      <c r="I2316" s="225"/>
      <c r="K2316" s="9"/>
      <c r="L2316" s="9"/>
    </row>
    <row r="2317" s="105" customFormat="1" spans="9:12">
      <c r="I2317" s="225"/>
      <c r="K2317" s="9"/>
      <c r="L2317" s="9"/>
    </row>
    <row r="2318" s="105" customFormat="1" spans="9:12">
      <c r="I2318" s="225"/>
      <c r="K2318" s="9"/>
      <c r="L2318" s="9"/>
    </row>
    <row r="2319" s="105" customFormat="1" spans="9:12">
      <c r="I2319" s="225"/>
      <c r="K2319" s="9"/>
      <c r="L2319" s="9"/>
    </row>
    <row r="2320" s="105" customFormat="1" spans="9:12">
      <c r="I2320" s="225"/>
      <c r="K2320" s="9"/>
      <c r="L2320" s="9"/>
    </row>
    <row r="2321" s="105" customFormat="1" spans="9:12">
      <c r="I2321" s="225"/>
      <c r="K2321" s="9"/>
      <c r="L2321" s="9"/>
    </row>
    <row r="2322" s="105" customFormat="1" spans="9:12">
      <c r="I2322" s="225"/>
      <c r="K2322" s="9"/>
      <c r="L2322" s="9"/>
    </row>
    <row r="2323" s="105" customFormat="1" spans="9:12">
      <c r="I2323" s="225"/>
      <c r="K2323" s="9"/>
      <c r="L2323" s="9"/>
    </row>
    <row r="2324" s="105" customFormat="1" spans="9:12">
      <c r="I2324" s="225"/>
      <c r="K2324" s="9"/>
      <c r="L2324" s="9"/>
    </row>
    <row r="2325" s="105" customFormat="1" spans="9:12">
      <c r="I2325" s="225"/>
      <c r="K2325" s="9"/>
      <c r="L2325" s="9"/>
    </row>
    <row r="2326" s="105" customFormat="1" spans="9:12">
      <c r="I2326" s="225"/>
      <c r="K2326" s="9"/>
      <c r="L2326" s="9"/>
    </row>
    <row r="2327" s="105" customFormat="1" spans="9:12">
      <c r="I2327" s="225"/>
      <c r="K2327" s="9"/>
      <c r="L2327" s="9"/>
    </row>
    <row r="2328" s="105" customFormat="1" spans="9:12">
      <c r="I2328" s="225"/>
      <c r="K2328" s="9"/>
      <c r="L2328" s="9"/>
    </row>
    <row r="2329" s="105" customFormat="1" spans="9:12">
      <c r="I2329" s="225"/>
      <c r="K2329" s="9"/>
      <c r="L2329" s="9"/>
    </row>
    <row r="2330" s="105" customFormat="1" spans="9:12">
      <c r="I2330" s="225"/>
      <c r="K2330" s="9"/>
      <c r="L2330" s="9"/>
    </row>
    <row r="2331" s="105" customFormat="1" spans="9:12">
      <c r="I2331" s="225"/>
      <c r="K2331" s="9"/>
      <c r="L2331" s="9"/>
    </row>
    <row r="2332" s="105" customFormat="1" spans="9:12">
      <c r="I2332" s="225"/>
      <c r="K2332" s="9"/>
      <c r="L2332" s="9"/>
    </row>
    <row r="2333" s="105" customFormat="1" spans="9:12">
      <c r="I2333" s="225"/>
      <c r="K2333" s="9"/>
      <c r="L2333" s="9"/>
    </row>
    <row r="2334" s="105" customFormat="1" spans="9:12">
      <c r="I2334" s="225"/>
      <c r="K2334" s="9"/>
      <c r="L2334" s="9"/>
    </row>
    <row r="2335" s="105" customFormat="1" spans="9:12">
      <c r="I2335" s="225"/>
      <c r="K2335" s="9"/>
      <c r="L2335" s="9"/>
    </row>
    <row r="2336" s="105" customFormat="1" spans="9:12">
      <c r="I2336" s="225"/>
      <c r="K2336" s="9"/>
      <c r="L2336" s="9"/>
    </row>
    <row r="2337" s="105" customFormat="1" spans="9:12">
      <c r="I2337" s="225"/>
      <c r="K2337" s="9"/>
      <c r="L2337" s="9"/>
    </row>
    <row r="2338" s="105" customFormat="1" spans="9:12">
      <c r="I2338" s="225"/>
      <c r="K2338" s="9"/>
      <c r="L2338" s="9"/>
    </row>
    <row r="2339" s="105" customFormat="1" spans="9:12">
      <c r="I2339" s="225"/>
      <c r="K2339" s="9"/>
      <c r="L2339" s="9"/>
    </row>
    <row r="2340" s="105" customFormat="1" spans="9:12">
      <c r="I2340" s="225"/>
      <c r="K2340" s="9"/>
      <c r="L2340" s="9"/>
    </row>
    <row r="2341" s="105" customFormat="1" spans="9:12">
      <c r="I2341" s="225"/>
      <c r="K2341" s="9"/>
      <c r="L2341" s="9"/>
    </row>
    <row r="2342" s="105" customFormat="1" spans="9:12">
      <c r="I2342" s="225"/>
      <c r="K2342" s="9"/>
      <c r="L2342" s="9"/>
    </row>
    <row r="2343" s="105" customFormat="1" spans="9:12">
      <c r="I2343" s="225"/>
      <c r="K2343" s="9"/>
      <c r="L2343" s="9"/>
    </row>
    <row r="2344" s="105" customFormat="1" spans="9:12">
      <c r="I2344" s="225"/>
      <c r="K2344" s="9"/>
      <c r="L2344" s="9"/>
    </row>
    <row r="2345" s="105" customFormat="1" spans="9:12">
      <c r="I2345" s="225"/>
      <c r="K2345" s="9"/>
      <c r="L2345" s="9"/>
    </row>
    <row r="2346" s="105" customFormat="1" spans="9:12">
      <c r="I2346" s="225"/>
      <c r="K2346" s="9"/>
      <c r="L2346" s="9"/>
    </row>
    <row r="2347" s="105" customFormat="1" spans="9:12">
      <c r="I2347" s="225"/>
      <c r="K2347" s="9"/>
      <c r="L2347" s="9"/>
    </row>
    <row r="2348" s="105" customFormat="1" spans="9:12">
      <c r="I2348" s="225"/>
      <c r="K2348" s="9"/>
      <c r="L2348" s="9"/>
    </row>
    <row r="2349" s="105" customFormat="1" spans="9:12">
      <c r="I2349" s="225"/>
      <c r="K2349" s="9"/>
      <c r="L2349" s="9"/>
    </row>
    <row r="2350" s="105" customFormat="1" spans="9:12">
      <c r="I2350" s="225"/>
      <c r="K2350" s="9"/>
      <c r="L2350" s="9"/>
    </row>
    <row r="2351" s="105" customFormat="1" spans="9:12">
      <c r="I2351" s="225"/>
      <c r="K2351" s="9"/>
      <c r="L2351" s="9"/>
    </row>
    <row r="2352" s="105" customFormat="1" spans="9:12">
      <c r="I2352" s="225"/>
      <c r="K2352" s="9"/>
      <c r="L2352" s="9"/>
    </row>
    <row r="2353" s="105" customFormat="1" spans="9:12">
      <c r="I2353" s="225"/>
      <c r="K2353" s="9"/>
      <c r="L2353" s="9"/>
    </row>
    <row r="2354" s="105" customFormat="1" spans="9:12">
      <c r="I2354" s="225"/>
      <c r="K2354" s="9"/>
      <c r="L2354" s="9"/>
    </row>
    <row r="2355" s="105" customFormat="1" spans="9:12">
      <c r="I2355" s="225"/>
      <c r="K2355" s="9"/>
      <c r="L2355" s="9"/>
    </row>
    <row r="2356" s="105" customFormat="1" spans="9:12">
      <c r="I2356" s="225"/>
      <c r="K2356" s="9"/>
      <c r="L2356" s="9"/>
    </row>
    <row r="2357" s="105" customFormat="1" spans="9:12">
      <c r="I2357" s="225"/>
      <c r="K2357" s="9"/>
      <c r="L2357" s="9"/>
    </row>
    <row r="2358" s="105" customFormat="1" spans="9:12">
      <c r="I2358" s="225"/>
      <c r="K2358" s="9"/>
      <c r="L2358" s="9"/>
    </row>
    <row r="2359" s="105" customFormat="1" spans="9:12">
      <c r="I2359" s="225"/>
      <c r="K2359" s="9"/>
      <c r="L2359" s="9"/>
    </row>
    <row r="2360" s="105" customFormat="1" spans="9:12">
      <c r="I2360" s="225"/>
      <c r="K2360" s="9"/>
      <c r="L2360" s="9"/>
    </row>
    <row r="2361" s="105" customFormat="1" spans="9:12">
      <c r="I2361" s="225"/>
      <c r="K2361" s="9"/>
      <c r="L2361" s="9"/>
    </row>
    <row r="2362" s="105" customFormat="1" spans="9:12">
      <c r="I2362" s="225"/>
      <c r="K2362" s="9"/>
      <c r="L2362" s="9"/>
    </row>
    <row r="2363" s="105" customFormat="1" spans="9:12">
      <c r="I2363" s="225"/>
      <c r="K2363" s="9"/>
      <c r="L2363" s="9"/>
    </row>
    <row r="2364" s="105" customFormat="1" spans="9:12">
      <c r="I2364" s="225"/>
      <c r="K2364" s="9"/>
      <c r="L2364" s="9"/>
    </row>
    <row r="2365" s="105" customFormat="1" spans="9:12">
      <c r="I2365" s="225"/>
      <c r="K2365" s="9"/>
      <c r="L2365" s="9"/>
    </row>
    <row r="2366" s="105" customFormat="1" spans="9:12">
      <c r="I2366" s="225"/>
      <c r="K2366" s="9"/>
      <c r="L2366" s="9"/>
    </row>
    <row r="2367" s="105" customFormat="1" spans="9:12">
      <c r="I2367" s="225"/>
      <c r="K2367" s="9"/>
      <c r="L2367" s="9"/>
    </row>
    <row r="2368" s="105" customFormat="1" spans="9:12">
      <c r="I2368" s="225"/>
      <c r="K2368" s="9"/>
      <c r="L2368" s="9"/>
    </row>
    <row r="2369" s="105" customFormat="1" spans="9:12">
      <c r="I2369" s="225"/>
      <c r="K2369" s="9"/>
      <c r="L2369" s="9"/>
    </row>
    <row r="2370" s="105" customFormat="1" spans="9:12">
      <c r="I2370" s="225"/>
      <c r="K2370" s="9"/>
      <c r="L2370" s="9"/>
    </row>
    <row r="2371" s="105" customFormat="1" spans="9:12">
      <c r="I2371" s="225"/>
      <c r="K2371" s="9"/>
      <c r="L2371" s="9"/>
    </row>
    <row r="2372" s="105" customFormat="1" spans="9:12">
      <c r="I2372" s="225"/>
      <c r="K2372" s="9"/>
      <c r="L2372" s="9"/>
    </row>
    <row r="2373" s="105" customFormat="1" spans="9:12">
      <c r="I2373" s="225"/>
      <c r="K2373" s="9"/>
      <c r="L2373" s="9"/>
    </row>
    <row r="2374" s="105" customFormat="1" spans="9:12">
      <c r="I2374" s="225"/>
      <c r="K2374" s="9"/>
      <c r="L2374" s="9"/>
    </row>
    <row r="2375" s="105" customFormat="1" spans="9:12">
      <c r="I2375" s="225"/>
      <c r="K2375" s="9"/>
      <c r="L2375" s="9"/>
    </row>
    <row r="2376" s="105" customFormat="1" spans="9:12">
      <c r="I2376" s="225"/>
      <c r="K2376" s="9"/>
      <c r="L2376" s="9"/>
    </row>
    <row r="2377" s="105" customFormat="1" spans="9:12">
      <c r="I2377" s="225"/>
      <c r="K2377" s="9"/>
      <c r="L2377" s="9"/>
    </row>
    <row r="2378" s="105" customFormat="1" spans="9:12">
      <c r="I2378" s="225"/>
      <c r="K2378" s="9"/>
      <c r="L2378" s="9"/>
    </row>
    <row r="2379" s="105" customFormat="1" spans="9:12">
      <c r="I2379" s="225"/>
      <c r="K2379" s="9"/>
      <c r="L2379" s="9"/>
    </row>
    <row r="2380" s="105" customFormat="1" spans="9:12">
      <c r="I2380" s="225"/>
      <c r="K2380" s="9"/>
      <c r="L2380" s="9"/>
    </row>
    <row r="2381" s="105" customFormat="1" spans="9:12">
      <c r="I2381" s="225"/>
      <c r="K2381" s="9"/>
      <c r="L2381" s="9"/>
    </row>
    <row r="2382" s="105" customFormat="1" spans="9:12">
      <c r="I2382" s="225"/>
      <c r="K2382" s="9"/>
      <c r="L2382" s="9"/>
    </row>
    <row r="2383" s="105" customFormat="1" spans="9:12">
      <c r="I2383" s="225"/>
      <c r="K2383" s="9"/>
      <c r="L2383" s="9"/>
    </row>
    <row r="2384" s="105" customFormat="1" spans="9:12">
      <c r="I2384" s="225"/>
      <c r="K2384" s="9"/>
      <c r="L2384" s="9"/>
    </row>
    <row r="2385" s="105" customFormat="1" spans="9:12">
      <c r="I2385" s="225"/>
      <c r="K2385" s="9"/>
      <c r="L2385" s="9"/>
    </row>
    <row r="2386" s="105" customFormat="1" spans="9:12">
      <c r="I2386" s="225"/>
      <c r="K2386" s="9"/>
      <c r="L2386" s="9"/>
    </row>
    <row r="2387" s="105" customFormat="1" spans="9:12">
      <c r="I2387" s="225"/>
      <c r="K2387" s="9"/>
      <c r="L2387" s="9"/>
    </row>
    <row r="2388" s="105" customFormat="1" spans="9:12">
      <c r="I2388" s="225"/>
      <c r="K2388" s="9"/>
      <c r="L2388" s="9"/>
    </row>
    <row r="2389" s="105" customFormat="1" spans="9:12">
      <c r="I2389" s="225"/>
      <c r="K2389" s="9"/>
      <c r="L2389" s="9"/>
    </row>
    <row r="2390" s="105" customFormat="1" spans="9:12">
      <c r="I2390" s="225"/>
      <c r="K2390" s="9"/>
      <c r="L2390" s="9"/>
    </row>
    <row r="2391" s="105" customFormat="1" spans="9:12">
      <c r="I2391" s="225"/>
      <c r="K2391" s="9"/>
      <c r="L2391" s="9"/>
    </row>
    <row r="2392" s="105" customFormat="1" spans="9:12">
      <c r="I2392" s="225"/>
      <c r="K2392" s="9"/>
      <c r="L2392" s="9"/>
    </row>
    <row r="2393" s="105" customFormat="1" spans="9:12">
      <c r="I2393" s="225"/>
      <c r="K2393" s="9"/>
      <c r="L2393" s="9"/>
    </row>
    <row r="2394" s="105" customFormat="1" spans="9:12">
      <c r="I2394" s="225"/>
      <c r="K2394" s="9"/>
      <c r="L2394" s="9"/>
    </row>
    <row r="2395" s="105" customFormat="1" spans="9:12">
      <c r="I2395" s="225"/>
      <c r="K2395" s="9"/>
      <c r="L2395" s="9"/>
    </row>
    <row r="2396" s="105" customFormat="1" spans="9:12">
      <c r="I2396" s="225"/>
      <c r="K2396" s="9"/>
      <c r="L2396" s="9"/>
    </row>
    <row r="2397" s="105" customFormat="1" spans="9:12">
      <c r="I2397" s="225"/>
      <c r="K2397" s="9"/>
      <c r="L2397" s="9"/>
    </row>
    <row r="2398" s="105" customFormat="1" spans="9:12">
      <c r="I2398" s="225"/>
      <c r="K2398" s="9"/>
      <c r="L2398" s="9"/>
    </row>
    <row r="2399" s="105" customFormat="1" spans="9:12">
      <c r="I2399" s="225"/>
      <c r="K2399" s="9"/>
      <c r="L2399" s="9"/>
    </row>
    <row r="2400" s="105" customFormat="1" spans="9:12">
      <c r="I2400" s="225"/>
      <c r="K2400" s="9"/>
      <c r="L2400" s="9"/>
    </row>
    <row r="2401" s="105" customFormat="1" spans="9:12">
      <c r="I2401" s="225"/>
      <c r="K2401" s="9"/>
      <c r="L2401" s="9"/>
    </row>
    <row r="2402" s="105" customFormat="1" spans="9:12">
      <c r="I2402" s="225"/>
      <c r="K2402" s="9"/>
      <c r="L2402" s="9"/>
    </row>
    <row r="2403" s="105" customFormat="1" spans="9:12">
      <c r="I2403" s="225"/>
      <c r="K2403" s="9"/>
      <c r="L2403" s="9"/>
    </row>
    <row r="2404" s="105" customFormat="1" spans="9:12">
      <c r="I2404" s="225"/>
      <c r="K2404" s="9"/>
      <c r="L2404" s="9"/>
    </row>
    <row r="2405" s="105" customFormat="1" spans="9:12">
      <c r="I2405" s="225"/>
      <c r="K2405" s="9"/>
      <c r="L2405" s="9"/>
    </row>
    <row r="2406" s="105" customFormat="1" spans="9:12">
      <c r="I2406" s="225"/>
      <c r="K2406" s="9"/>
      <c r="L2406" s="9"/>
    </row>
    <row r="2407" s="105" customFormat="1" spans="9:12">
      <c r="I2407" s="225"/>
      <c r="K2407" s="9"/>
      <c r="L2407" s="9"/>
    </row>
    <row r="2408" s="105" customFormat="1" spans="9:12">
      <c r="I2408" s="225"/>
      <c r="K2408" s="9"/>
      <c r="L2408" s="9"/>
    </row>
    <row r="2409" s="105" customFormat="1" spans="9:12">
      <c r="I2409" s="225"/>
      <c r="K2409" s="9"/>
      <c r="L2409" s="9"/>
    </row>
    <row r="2410" s="105" customFormat="1" spans="9:12">
      <c r="I2410" s="225"/>
      <c r="K2410" s="9"/>
      <c r="L2410" s="9"/>
    </row>
    <row r="2411" s="105" customFormat="1" spans="9:12">
      <c r="I2411" s="225"/>
      <c r="K2411" s="9"/>
      <c r="L2411" s="9"/>
    </row>
    <row r="2412" s="105" customFormat="1" spans="9:12">
      <c r="I2412" s="225"/>
      <c r="K2412" s="9"/>
      <c r="L2412" s="9"/>
    </row>
    <row r="2413" s="105" customFormat="1" spans="9:12">
      <c r="I2413" s="225"/>
      <c r="K2413" s="9"/>
      <c r="L2413" s="9"/>
    </row>
    <row r="2414" s="105" customFormat="1" spans="9:12">
      <c r="I2414" s="225"/>
      <c r="K2414" s="9"/>
      <c r="L2414" s="9"/>
    </row>
    <row r="2415" s="105" customFormat="1" spans="9:12">
      <c r="I2415" s="225"/>
      <c r="K2415" s="9"/>
      <c r="L2415" s="9"/>
    </row>
    <row r="2416" s="105" customFormat="1" spans="9:12">
      <c r="I2416" s="225"/>
      <c r="K2416" s="9"/>
      <c r="L2416" s="9"/>
    </row>
    <row r="2417" s="105" customFormat="1" spans="9:12">
      <c r="I2417" s="225"/>
      <c r="K2417" s="9"/>
      <c r="L2417" s="9"/>
    </row>
    <row r="2418" s="105" customFormat="1" spans="9:12">
      <c r="I2418" s="225"/>
      <c r="K2418" s="9"/>
      <c r="L2418" s="9"/>
    </row>
    <row r="2419" s="105" customFormat="1" spans="9:12">
      <c r="I2419" s="225"/>
      <c r="K2419" s="9"/>
      <c r="L2419" s="9"/>
    </row>
    <row r="2420" s="105" customFormat="1" spans="9:12">
      <c r="I2420" s="225"/>
      <c r="K2420" s="9"/>
      <c r="L2420" s="9"/>
    </row>
    <row r="2421" s="105" customFormat="1" spans="9:12">
      <c r="I2421" s="225"/>
      <c r="K2421" s="9"/>
      <c r="L2421" s="9"/>
    </row>
    <row r="2422" s="105" customFormat="1" spans="9:12">
      <c r="I2422" s="225"/>
      <c r="K2422" s="9"/>
      <c r="L2422" s="9"/>
    </row>
    <row r="2423" s="105" customFormat="1" spans="9:12">
      <c r="I2423" s="225"/>
      <c r="K2423" s="9"/>
      <c r="L2423" s="9"/>
    </row>
    <row r="2424" s="105" customFormat="1" spans="9:12">
      <c r="I2424" s="225"/>
      <c r="K2424" s="9"/>
      <c r="L2424" s="9"/>
    </row>
    <row r="2425" s="105" customFormat="1" spans="9:12">
      <c r="I2425" s="225"/>
      <c r="K2425" s="9"/>
      <c r="L2425" s="9"/>
    </row>
    <row r="2426" s="105" customFormat="1" spans="9:12">
      <c r="I2426" s="225"/>
      <c r="K2426" s="9"/>
      <c r="L2426" s="9"/>
    </row>
    <row r="2427" s="105" customFormat="1" spans="9:12">
      <c r="I2427" s="225"/>
      <c r="K2427" s="9"/>
      <c r="L2427" s="9"/>
    </row>
    <row r="2428" s="105" customFormat="1" spans="9:12">
      <c r="I2428" s="225"/>
      <c r="K2428" s="9"/>
      <c r="L2428" s="9"/>
    </row>
    <row r="2429" s="105" customFormat="1" spans="9:12">
      <c r="I2429" s="225"/>
      <c r="K2429" s="9"/>
      <c r="L2429" s="9"/>
    </row>
    <row r="2430" s="105" customFormat="1" spans="9:12">
      <c r="I2430" s="225"/>
      <c r="K2430" s="9"/>
      <c r="L2430" s="9"/>
    </row>
    <row r="2431" s="105" customFormat="1" spans="9:12">
      <c r="I2431" s="225"/>
      <c r="K2431" s="9"/>
      <c r="L2431" s="9"/>
    </row>
    <row r="2432" s="105" customFormat="1" spans="9:12">
      <c r="I2432" s="225"/>
      <c r="K2432" s="9"/>
      <c r="L2432" s="9"/>
    </row>
    <row r="2433" s="105" customFormat="1" spans="9:12">
      <c r="I2433" s="225"/>
      <c r="K2433" s="9"/>
      <c r="L2433" s="9"/>
    </row>
    <row r="2434" s="105" customFormat="1" spans="9:12">
      <c r="I2434" s="225"/>
      <c r="K2434" s="9"/>
      <c r="L2434" s="9"/>
    </row>
    <row r="2435" s="105" customFormat="1" spans="9:12">
      <c r="I2435" s="225"/>
      <c r="K2435" s="9"/>
      <c r="L2435" s="9"/>
    </row>
    <row r="2436" s="105" customFormat="1" spans="9:12">
      <c r="I2436" s="225"/>
      <c r="K2436" s="9"/>
      <c r="L2436" s="9"/>
    </row>
    <row r="2437" s="105" customFormat="1" spans="9:12">
      <c r="I2437" s="225"/>
      <c r="K2437" s="9"/>
      <c r="L2437" s="9"/>
    </row>
    <row r="2438" s="105" customFormat="1" spans="9:12">
      <c r="I2438" s="225"/>
      <c r="K2438" s="9"/>
      <c r="L2438" s="9"/>
    </row>
    <row r="2439" s="105" customFormat="1" spans="9:12">
      <c r="I2439" s="225"/>
      <c r="K2439" s="9"/>
      <c r="L2439" s="9"/>
    </row>
    <row r="2440" s="105" customFormat="1" spans="9:12">
      <c r="I2440" s="225"/>
      <c r="K2440" s="9"/>
      <c r="L2440" s="9"/>
    </row>
    <row r="2441" s="105" customFormat="1" spans="9:12">
      <c r="I2441" s="225"/>
      <c r="K2441" s="9"/>
      <c r="L2441" s="9"/>
    </row>
    <row r="2442" s="105" customFormat="1" spans="9:12">
      <c r="I2442" s="225"/>
      <c r="K2442" s="9"/>
      <c r="L2442" s="9"/>
    </row>
    <row r="2443" s="105" customFormat="1" spans="9:12">
      <c r="I2443" s="225"/>
      <c r="K2443" s="9"/>
      <c r="L2443" s="9"/>
    </row>
    <row r="2444" s="105" customFormat="1" spans="9:12">
      <c r="I2444" s="225"/>
      <c r="K2444" s="9"/>
      <c r="L2444" s="9"/>
    </row>
    <row r="2445" s="105" customFormat="1" spans="9:12">
      <c r="I2445" s="225"/>
      <c r="K2445" s="9"/>
      <c r="L2445" s="9"/>
    </row>
    <row r="2446" s="105" customFormat="1" spans="9:12">
      <c r="I2446" s="225"/>
      <c r="K2446" s="9"/>
      <c r="L2446" s="9"/>
    </row>
    <row r="2447" s="105" customFormat="1" spans="9:12">
      <c r="I2447" s="225"/>
      <c r="K2447" s="9"/>
      <c r="L2447" s="9"/>
    </row>
    <row r="2448" s="105" customFormat="1" spans="9:12">
      <c r="I2448" s="225"/>
      <c r="K2448" s="9"/>
      <c r="L2448" s="9"/>
    </row>
    <row r="2449" s="105" customFormat="1" spans="9:12">
      <c r="I2449" s="225"/>
      <c r="K2449" s="9"/>
      <c r="L2449" s="9"/>
    </row>
    <row r="2450" s="105" customFormat="1" spans="9:12">
      <c r="I2450" s="225"/>
      <c r="K2450" s="9"/>
      <c r="L2450" s="9"/>
    </row>
    <row r="2451" s="105" customFormat="1" spans="9:12">
      <c r="I2451" s="225"/>
      <c r="K2451" s="9"/>
      <c r="L2451" s="9"/>
    </row>
    <row r="2452" s="105" customFormat="1" spans="9:12">
      <c r="I2452" s="225"/>
      <c r="K2452" s="9"/>
      <c r="L2452" s="9"/>
    </row>
    <row r="2453" s="105" customFormat="1" spans="9:12">
      <c r="I2453" s="225"/>
      <c r="K2453" s="9"/>
      <c r="L2453" s="9"/>
    </row>
    <row r="2454" s="105" customFormat="1" spans="9:12">
      <c r="I2454" s="225"/>
      <c r="K2454" s="9"/>
      <c r="L2454" s="9"/>
    </row>
    <row r="2455" s="105" customFormat="1" spans="9:12">
      <c r="I2455" s="225"/>
      <c r="K2455" s="9"/>
      <c r="L2455" s="9"/>
    </row>
    <row r="2456" s="105" customFormat="1" spans="9:12">
      <c r="I2456" s="225"/>
      <c r="K2456" s="9"/>
      <c r="L2456" s="9"/>
    </row>
    <row r="2457" s="105" customFormat="1" spans="9:12">
      <c r="I2457" s="225"/>
      <c r="K2457" s="9"/>
      <c r="L2457" s="9"/>
    </row>
    <row r="2458" s="105" customFormat="1" spans="9:12">
      <c r="I2458" s="225"/>
      <c r="K2458" s="9"/>
      <c r="L2458" s="9"/>
    </row>
    <row r="2459" s="105" customFormat="1" spans="9:12">
      <c r="I2459" s="225"/>
      <c r="K2459" s="9"/>
      <c r="L2459" s="9"/>
    </row>
    <row r="2460" s="105" customFormat="1" spans="9:12">
      <c r="I2460" s="225"/>
      <c r="K2460" s="9"/>
      <c r="L2460" s="9"/>
    </row>
    <row r="2461" s="105" customFormat="1" spans="9:12">
      <c r="I2461" s="225"/>
      <c r="K2461" s="9"/>
      <c r="L2461" s="9"/>
    </row>
    <row r="2462" s="105" customFormat="1" spans="9:12">
      <c r="I2462" s="225"/>
      <c r="K2462" s="9"/>
      <c r="L2462" s="9"/>
    </row>
    <row r="2463" s="105" customFormat="1" spans="9:12">
      <c r="I2463" s="225"/>
      <c r="K2463" s="9"/>
      <c r="L2463" s="9"/>
    </row>
    <row r="2464" s="105" customFormat="1" spans="9:12">
      <c r="I2464" s="225"/>
      <c r="K2464" s="9"/>
      <c r="L2464" s="9"/>
    </row>
    <row r="2465" s="105" customFormat="1" spans="9:12">
      <c r="I2465" s="225"/>
      <c r="K2465" s="9"/>
      <c r="L2465" s="9"/>
    </row>
    <row r="2466" s="105" customFormat="1" spans="9:12">
      <c r="I2466" s="225"/>
      <c r="K2466" s="9"/>
      <c r="L2466" s="9"/>
    </row>
    <row r="2467" s="105" customFormat="1" spans="9:12">
      <c r="I2467" s="225"/>
      <c r="K2467" s="9"/>
      <c r="L2467" s="9"/>
    </row>
    <row r="2468" s="105" customFormat="1" spans="9:12">
      <c r="I2468" s="225"/>
      <c r="K2468" s="9"/>
      <c r="L2468" s="9"/>
    </row>
    <row r="2469" s="105" customFormat="1" spans="9:12">
      <c r="I2469" s="225"/>
      <c r="K2469" s="9"/>
      <c r="L2469" s="9"/>
    </row>
    <row r="2470" s="105" customFormat="1" spans="9:12">
      <c r="I2470" s="225"/>
      <c r="K2470" s="9"/>
      <c r="L2470" s="9"/>
    </row>
    <row r="2471" s="105" customFormat="1" spans="9:12">
      <c r="I2471" s="225"/>
      <c r="K2471" s="9"/>
      <c r="L2471" s="9"/>
    </row>
    <row r="2472" s="105" customFormat="1" spans="9:12">
      <c r="I2472" s="225"/>
      <c r="K2472" s="9"/>
      <c r="L2472" s="9"/>
    </row>
    <row r="2473" s="105" customFormat="1" spans="9:12">
      <c r="I2473" s="225"/>
      <c r="K2473" s="9"/>
      <c r="L2473" s="9"/>
    </row>
    <row r="2474" s="105" customFormat="1" spans="9:12">
      <c r="I2474" s="225"/>
      <c r="K2474" s="9"/>
      <c r="L2474" s="9"/>
    </row>
    <row r="2475" s="105" customFormat="1" spans="9:12">
      <c r="I2475" s="225"/>
      <c r="K2475" s="9"/>
      <c r="L2475" s="9"/>
    </row>
    <row r="2476" s="105" customFormat="1" spans="9:12">
      <c r="I2476" s="225"/>
      <c r="K2476" s="9"/>
      <c r="L2476" s="9"/>
    </row>
    <row r="2477" s="105" customFormat="1" spans="9:12">
      <c r="I2477" s="225"/>
      <c r="K2477" s="9"/>
      <c r="L2477" s="9"/>
    </row>
    <row r="2478" s="105" customFormat="1" spans="9:12">
      <c r="I2478" s="225"/>
      <c r="K2478" s="9"/>
      <c r="L2478" s="9"/>
    </row>
    <row r="2479" s="105" customFormat="1" spans="9:12">
      <c r="I2479" s="225"/>
      <c r="K2479" s="9"/>
      <c r="L2479" s="9"/>
    </row>
    <row r="2480" s="105" customFormat="1" spans="9:12">
      <c r="I2480" s="225"/>
      <c r="K2480" s="9"/>
      <c r="L2480" s="9"/>
    </row>
    <row r="2481" s="105" customFormat="1" spans="9:12">
      <c r="I2481" s="225"/>
      <c r="K2481" s="9"/>
      <c r="L2481" s="9"/>
    </row>
    <row r="2482" s="105" customFormat="1" spans="9:12">
      <c r="I2482" s="225"/>
      <c r="K2482" s="9"/>
      <c r="L2482" s="9"/>
    </row>
    <row r="2483" s="105" customFormat="1" spans="9:12">
      <c r="I2483" s="225"/>
      <c r="K2483" s="9"/>
      <c r="L2483" s="9"/>
    </row>
    <row r="2484" s="105" customFormat="1" spans="9:12">
      <c r="I2484" s="225"/>
      <c r="K2484" s="9"/>
      <c r="L2484" s="9"/>
    </row>
    <row r="2485" s="105" customFormat="1" spans="9:12">
      <c r="I2485" s="225"/>
      <c r="K2485" s="9"/>
      <c r="L2485" s="9"/>
    </row>
    <row r="2486" s="105" customFormat="1" spans="9:12">
      <c r="I2486" s="225"/>
      <c r="K2486" s="9"/>
      <c r="L2486" s="9"/>
    </row>
    <row r="2487" s="105" customFormat="1" spans="9:12">
      <c r="I2487" s="225"/>
      <c r="K2487" s="9"/>
      <c r="L2487" s="9"/>
    </row>
    <row r="2488" s="105" customFormat="1" spans="9:12">
      <c r="I2488" s="225"/>
      <c r="K2488" s="9"/>
      <c r="L2488" s="9"/>
    </row>
    <row r="2489" s="105" customFormat="1" spans="9:12">
      <c r="I2489" s="225"/>
      <c r="K2489" s="9"/>
      <c r="L2489" s="9"/>
    </row>
    <row r="2490" s="105" customFormat="1" spans="9:12">
      <c r="I2490" s="225"/>
      <c r="K2490" s="9"/>
      <c r="L2490" s="9"/>
    </row>
    <row r="2491" s="105" customFormat="1" spans="9:12">
      <c r="I2491" s="225"/>
      <c r="K2491" s="9"/>
      <c r="L2491" s="9"/>
    </row>
    <row r="2492" s="105" customFormat="1" spans="9:12">
      <c r="I2492" s="225"/>
      <c r="K2492" s="9"/>
      <c r="L2492" s="9"/>
    </row>
    <row r="2493" s="105" customFormat="1" spans="9:12">
      <c r="I2493" s="225"/>
      <c r="K2493" s="9"/>
      <c r="L2493" s="9"/>
    </row>
    <row r="2494" s="105" customFormat="1" spans="9:12">
      <c r="I2494" s="225"/>
      <c r="K2494" s="9"/>
      <c r="L2494" s="9"/>
    </row>
    <row r="2495" s="105" customFormat="1" spans="9:12">
      <c r="I2495" s="225"/>
      <c r="K2495" s="9"/>
      <c r="L2495" s="9"/>
    </row>
    <row r="2496" s="105" customFormat="1" spans="9:12">
      <c r="I2496" s="225"/>
      <c r="K2496" s="9"/>
      <c r="L2496" s="9"/>
    </row>
    <row r="2497" s="105" customFormat="1" spans="9:12">
      <c r="I2497" s="225"/>
      <c r="K2497" s="9"/>
      <c r="L2497" s="9"/>
    </row>
    <row r="2498" s="105" customFormat="1" spans="9:12">
      <c r="I2498" s="225"/>
      <c r="K2498" s="9"/>
      <c r="L2498" s="9"/>
    </row>
    <row r="2499" s="105" customFormat="1" spans="9:12">
      <c r="I2499" s="225"/>
      <c r="K2499" s="9"/>
      <c r="L2499" s="9"/>
    </row>
    <row r="2500" s="105" customFormat="1" spans="9:12">
      <c r="I2500" s="225"/>
      <c r="K2500" s="9"/>
      <c r="L2500" s="9"/>
    </row>
    <row r="2501" s="105" customFormat="1" spans="9:12">
      <c r="I2501" s="225"/>
      <c r="K2501" s="9"/>
      <c r="L2501" s="9"/>
    </row>
    <row r="2502" s="105" customFormat="1" spans="9:12">
      <c r="I2502" s="225"/>
      <c r="K2502" s="9"/>
      <c r="L2502" s="9"/>
    </row>
    <row r="2503" s="105" customFormat="1" spans="9:12">
      <c r="I2503" s="225"/>
      <c r="K2503" s="9"/>
      <c r="L2503" s="9"/>
    </row>
    <row r="2504" s="105" customFormat="1" spans="9:12">
      <c r="I2504" s="225"/>
      <c r="K2504" s="9"/>
      <c r="L2504" s="9"/>
    </row>
    <row r="2505" s="105" customFormat="1" spans="9:12">
      <c r="I2505" s="225"/>
      <c r="K2505" s="9"/>
      <c r="L2505" s="9"/>
    </row>
    <row r="2506" s="105" customFormat="1" spans="9:12">
      <c r="I2506" s="225"/>
      <c r="K2506" s="9"/>
      <c r="L2506" s="9"/>
    </row>
    <row r="2507" s="105" customFormat="1" spans="9:12">
      <c r="I2507" s="225"/>
      <c r="K2507" s="9"/>
      <c r="L2507" s="9"/>
    </row>
    <row r="2508" s="105" customFormat="1" spans="9:12">
      <c r="I2508" s="225"/>
      <c r="K2508" s="9"/>
      <c r="L2508" s="9"/>
    </row>
    <row r="2509" s="105" customFormat="1" spans="9:12">
      <c r="I2509" s="225"/>
      <c r="K2509" s="9"/>
      <c r="L2509" s="9"/>
    </row>
    <row r="2510" s="105" customFormat="1" spans="9:12">
      <c r="I2510" s="225"/>
      <c r="K2510" s="9"/>
      <c r="L2510" s="9"/>
    </row>
    <row r="2511" s="105" customFormat="1" spans="9:12">
      <c r="I2511" s="225"/>
      <c r="K2511" s="9"/>
      <c r="L2511" s="9"/>
    </row>
    <row r="2512" s="105" customFormat="1" spans="9:12">
      <c r="I2512" s="225"/>
      <c r="K2512" s="9"/>
      <c r="L2512" s="9"/>
    </row>
    <row r="2513" s="105" customFormat="1" spans="9:12">
      <c r="I2513" s="225"/>
      <c r="K2513" s="9"/>
      <c r="L2513" s="9"/>
    </row>
    <row r="2514" s="105" customFormat="1" spans="9:12">
      <c r="I2514" s="225"/>
      <c r="K2514" s="9"/>
      <c r="L2514" s="9"/>
    </row>
    <row r="2515" s="105" customFormat="1" spans="9:12">
      <c r="I2515" s="225"/>
      <c r="K2515" s="9"/>
      <c r="L2515" s="9"/>
    </row>
    <row r="2516" s="105" customFormat="1" spans="9:12">
      <c r="I2516" s="225"/>
      <c r="K2516" s="9"/>
      <c r="L2516" s="9"/>
    </row>
    <row r="2517" s="105" customFormat="1" spans="9:12">
      <c r="I2517" s="225"/>
      <c r="K2517" s="9"/>
      <c r="L2517" s="9"/>
    </row>
    <row r="2518" s="105" customFormat="1" spans="9:12">
      <c r="I2518" s="225"/>
      <c r="K2518" s="9"/>
      <c r="L2518" s="9"/>
    </row>
    <row r="2519" s="105" customFormat="1" spans="9:12">
      <c r="I2519" s="225"/>
      <c r="K2519" s="9"/>
      <c r="L2519" s="9"/>
    </row>
    <row r="2520" s="105" customFormat="1" spans="9:12">
      <c r="I2520" s="225"/>
      <c r="K2520" s="9"/>
      <c r="L2520" s="9"/>
    </row>
    <row r="2521" s="105" customFormat="1" spans="9:12">
      <c r="I2521" s="225"/>
      <c r="K2521" s="9"/>
      <c r="L2521" s="9"/>
    </row>
    <row r="2522" s="105" customFormat="1" spans="9:12">
      <c r="I2522" s="225"/>
      <c r="K2522" s="9"/>
      <c r="L2522" s="9"/>
    </row>
    <row r="2523" s="105" customFormat="1" spans="9:12">
      <c r="I2523" s="225"/>
      <c r="K2523" s="9"/>
      <c r="L2523" s="9"/>
    </row>
    <row r="2524" s="105" customFormat="1" spans="9:12">
      <c r="I2524" s="225"/>
      <c r="K2524" s="9"/>
      <c r="L2524" s="9"/>
    </row>
    <row r="2525" s="105" customFormat="1" spans="9:12">
      <c r="I2525" s="225"/>
      <c r="K2525" s="9"/>
      <c r="L2525" s="9"/>
    </row>
    <row r="2526" s="105" customFormat="1" spans="9:12">
      <c r="I2526" s="225"/>
      <c r="K2526" s="9"/>
      <c r="L2526" s="9"/>
    </row>
    <row r="2527" s="105" customFormat="1" spans="9:12">
      <c r="I2527" s="225"/>
      <c r="K2527" s="9"/>
      <c r="L2527" s="9"/>
    </row>
    <row r="2528" s="105" customFormat="1" spans="9:12">
      <c r="I2528" s="225"/>
      <c r="K2528" s="9"/>
      <c r="L2528" s="9"/>
    </row>
    <row r="2529" s="105" customFormat="1" spans="9:12">
      <c r="I2529" s="225"/>
      <c r="K2529" s="9"/>
      <c r="L2529" s="9"/>
    </row>
    <row r="2530" s="105" customFormat="1" spans="9:12">
      <c r="I2530" s="225"/>
      <c r="K2530" s="9"/>
      <c r="L2530" s="9"/>
    </row>
    <row r="2531" s="105" customFormat="1" spans="9:12">
      <c r="I2531" s="225"/>
      <c r="K2531" s="9"/>
      <c r="L2531" s="9"/>
    </row>
    <row r="2532" s="105" customFormat="1" spans="9:12">
      <c r="I2532" s="225"/>
      <c r="K2532" s="9"/>
      <c r="L2532" s="9"/>
    </row>
    <row r="2533" s="105" customFormat="1" spans="9:12">
      <c r="I2533" s="225"/>
      <c r="K2533" s="9"/>
      <c r="L2533" s="9"/>
    </row>
    <row r="2534" s="105" customFormat="1" spans="9:12">
      <c r="I2534" s="225"/>
      <c r="K2534" s="9"/>
      <c r="L2534" s="9"/>
    </row>
    <row r="2535" s="105" customFormat="1" spans="9:12">
      <c r="I2535" s="225"/>
      <c r="K2535" s="9"/>
      <c r="L2535" s="9"/>
    </row>
    <row r="2536" s="105" customFormat="1" spans="9:12">
      <c r="I2536" s="225"/>
      <c r="K2536" s="9"/>
      <c r="L2536" s="9"/>
    </row>
    <row r="2537" s="105" customFormat="1" spans="9:12">
      <c r="I2537" s="225"/>
      <c r="K2537" s="9"/>
      <c r="L2537" s="9"/>
    </row>
    <row r="2538" s="105" customFormat="1" spans="9:12">
      <c r="I2538" s="225"/>
      <c r="K2538" s="9"/>
      <c r="L2538" s="9"/>
    </row>
    <row r="2539" s="105" customFormat="1" spans="9:12">
      <c r="I2539" s="225"/>
      <c r="K2539" s="9"/>
      <c r="L2539" s="9"/>
    </row>
    <row r="2540" s="105" customFormat="1" spans="9:12">
      <c r="I2540" s="225"/>
      <c r="K2540" s="9"/>
      <c r="L2540" s="9"/>
    </row>
    <row r="2541" s="105" customFormat="1" spans="9:12">
      <c r="I2541" s="225"/>
      <c r="K2541" s="9"/>
      <c r="L2541" s="9"/>
    </row>
    <row r="2542" s="105" customFormat="1" spans="9:12">
      <c r="I2542" s="225"/>
      <c r="K2542" s="9"/>
      <c r="L2542" s="9"/>
    </row>
    <row r="2543" s="105" customFormat="1" spans="9:12">
      <c r="I2543" s="225"/>
      <c r="K2543" s="9"/>
      <c r="L2543" s="9"/>
    </row>
    <row r="2544" s="105" customFormat="1" spans="9:12">
      <c r="I2544" s="225"/>
      <c r="K2544" s="9"/>
      <c r="L2544" s="9"/>
    </row>
    <row r="2545" s="105" customFormat="1" spans="9:12">
      <c r="I2545" s="225"/>
      <c r="K2545" s="9"/>
      <c r="L2545" s="9"/>
    </row>
    <row r="2546" s="105" customFormat="1" spans="9:12">
      <c r="I2546" s="225"/>
      <c r="K2546" s="9"/>
      <c r="L2546" s="9"/>
    </row>
    <row r="2547" s="105" customFormat="1" spans="9:12">
      <c r="I2547" s="225"/>
      <c r="K2547" s="9"/>
      <c r="L2547" s="9"/>
    </row>
    <row r="2548" s="105" customFormat="1" spans="9:12">
      <c r="I2548" s="225"/>
      <c r="K2548" s="9"/>
      <c r="L2548" s="9"/>
    </row>
    <row r="2549" s="105" customFormat="1" spans="9:12">
      <c r="I2549" s="225"/>
      <c r="K2549" s="9"/>
      <c r="L2549" s="9"/>
    </row>
    <row r="2550" s="105" customFormat="1" spans="9:12">
      <c r="I2550" s="225"/>
      <c r="K2550" s="9"/>
      <c r="L2550" s="9"/>
    </row>
    <row r="2551" s="105" customFormat="1" spans="9:12">
      <c r="I2551" s="225"/>
      <c r="K2551" s="9"/>
      <c r="L2551" s="9"/>
    </row>
    <row r="2552" s="105" customFormat="1" spans="9:12">
      <c r="I2552" s="225"/>
      <c r="K2552" s="9"/>
      <c r="L2552" s="9"/>
    </row>
    <row r="2553" s="105" customFormat="1" spans="9:12">
      <c r="I2553" s="225"/>
      <c r="K2553" s="9"/>
      <c r="L2553" s="9"/>
    </row>
    <row r="2554" s="105" customFormat="1" spans="9:12">
      <c r="I2554" s="225"/>
      <c r="K2554" s="9"/>
      <c r="L2554" s="9"/>
    </row>
    <row r="2555" s="105" customFormat="1" spans="9:12">
      <c r="I2555" s="225"/>
      <c r="K2555" s="9"/>
      <c r="L2555" s="9"/>
    </row>
    <row r="2556" s="105" customFormat="1" spans="9:12">
      <c r="I2556" s="225"/>
      <c r="K2556" s="9"/>
      <c r="L2556" s="9"/>
    </row>
    <row r="2557" s="105" customFormat="1" spans="9:12">
      <c r="I2557" s="225"/>
      <c r="K2557" s="9"/>
      <c r="L2557" s="9"/>
    </row>
    <row r="2558" s="105" customFormat="1" spans="9:12">
      <c r="I2558" s="225"/>
      <c r="K2558" s="9"/>
      <c r="L2558" s="9"/>
    </row>
    <row r="2559" s="105" customFormat="1" spans="9:12">
      <c r="I2559" s="225"/>
      <c r="K2559" s="9"/>
      <c r="L2559" s="9"/>
    </row>
    <row r="2560" s="105" customFormat="1" spans="9:12">
      <c r="I2560" s="225"/>
      <c r="K2560" s="9"/>
      <c r="L2560" s="9"/>
    </row>
    <row r="2561" s="105" customFormat="1" spans="9:12">
      <c r="I2561" s="225"/>
      <c r="K2561" s="9"/>
      <c r="L2561" s="9"/>
    </row>
    <row r="2562" s="105" customFormat="1" spans="9:12">
      <c r="I2562" s="225"/>
      <c r="K2562" s="9"/>
      <c r="L2562" s="9"/>
    </row>
    <row r="2563" s="105" customFormat="1" spans="9:12">
      <c r="I2563" s="225"/>
      <c r="K2563" s="9"/>
      <c r="L2563" s="9"/>
    </row>
    <row r="2564" s="105" customFormat="1" spans="9:12">
      <c r="I2564" s="225"/>
      <c r="K2564" s="9"/>
      <c r="L2564" s="9"/>
    </row>
    <row r="2565" s="105" customFormat="1" spans="9:12">
      <c r="I2565" s="225"/>
      <c r="K2565" s="9"/>
      <c r="L2565" s="9"/>
    </row>
    <row r="2566" s="105" customFormat="1" spans="9:12">
      <c r="I2566" s="225"/>
      <c r="K2566" s="9"/>
      <c r="L2566" s="9"/>
    </row>
    <row r="2567" s="105" customFormat="1" spans="9:12">
      <c r="I2567" s="225"/>
      <c r="K2567" s="9"/>
      <c r="L2567" s="9"/>
    </row>
    <row r="2568" s="105" customFormat="1" spans="9:12">
      <c r="I2568" s="225"/>
      <c r="K2568" s="9"/>
      <c r="L2568" s="9"/>
    </row>
    <row r="2569" s="105" customFormat="1" spans="9:12">
      <c r="I2569" s="225"/>
      <c r="K2569" s="9"/>
      <c r="L2569" s="9"/>
    </row>
    <row r="2570" s="105" customFormat="1" spans="9:12">
      <c r="I2570" s="225"/>
      <c r="K2570" s="9"/>
      <c r="L2570" s="9"/>
    </row>
    <row r="2571" s="105" customFormat="1" spans="9:12">
      <c r="I2571" s="225"/>
      <c r="K2571" s="9"/>
      <c r="L2571" s="9"/>
    </row>
    <row r="2572" s="105" customFormat="1" spans="9:12">
      <c r="I2572" s="225"/>
      <c r="K2572" s="9"/>
      <c r="L2572" s="9"/>
    </row>
    <row r="2573" s="105" customFormat="1" spans="9:12">
      <c r="I2573" s="225"/>
      <c r="K2573" s="9"/>
      <c r="L2573" s="9"/>
    </row>
    <row r="2574" s="105" customFormat="1" spans="9:12">
      <c r="I2574" s="225"/>
      <c r="K2574" s="9"/>
      <c r="L2574" s="9"/>
    </row>
    <row r="2575" s="105" customFormat="1" spans="9:12">
      <c r="I2575" s="225"/>
      <c r="K2575" s="9"/>
      <c r="L2575" s="9"/>
    </row>
    <row r="2576" s="105" customFormat="1" spans="9:12">
      <c r="I2576" s="225"/>
      <c r="K2576" s="9"/>
      <c r="L2576" s="9"/>
    </row>
    <row r="2577" s="105" customFormat="1" spans="9:12">
      <c r="I2577" s="225"/>
      <c r="K2577" s="9"/>
      <c r="L2577" s="9"/>
    </row>
    <row r="2578" s="105" customFormat="1" spans="9:12">
      <c r="I2578" s="225"/>
      <c r="K2578" s="9"/>
      <c r="L2578" s="9"/>
    </row>
    <row r="2579" s="105" customFormat="1" spans="9:12">
      <c r="I2579" s="225"/>
      <c r="K2579" s="9"/>
      <c r="L2579" s="9"/>
    </row>
    <row r="2580" s="105" customFormat="1" spans="9:12">
      <c r="I2580" s="225"/>
      <c r="K2580" s="9"/>
      <c r="L2580" s="9"/>
    </row>
    <row r="2581" s="105" customFormat="1" spans="9:12">
      <c r="I2581" s="225"/>
      <c r="K2581" s="9"/>
      <c r="L2581" s="9"/>
    </row>
    <row r="2582" s="105" customFormat="1" spans="9:12">
      <c r="I2582" s="225"/>
      <c r="K2582" s="9"/>
      <c r="L2582" s="9"/>
    </row>
    <row r="2583" s="105" customFormat="1" spans="9:12">
      <c r="I2583" s="225"/>
      <c r="K2583" s="9"/>
      <c r="L2583" s="9"/>
    </row>
    <row r="2584" s="105" customFormat="1" spans="9:12">
      <c r="I2584" s="225"/>
      <c r="K2584" s="9"/>
      <c r="L2584" s="9"/>
    </row>
    <row r="2585" s="105" customFormat="1" spans="9:12">
      <c r="I2585" s="225"/>
      <c r="K2585" s="9"/>
      <c r="L2585" s="9"/>
    </row>
    <row r="2586" s="105" customFormat="1" spans="9:12">
      <c r="I2586" s="225"/>
      <c r="K2586" s="9"/>
      <c r="L2586" s="9"/>
    </row>
    <row r="2587" s="105" customFormat="1" spans="9:12">
      <c r="I2587" s="225"/>
      <c r="K2587" s="9"/>
      <c r="L2587" s="9"/>
    </row>
    <row r="2588" s="105" customFormat="1" spans="9:12">
      <c r="I2588" s="225"/>
      <c r="K2588" s="9"/>
      <c r="L2588" s="9"/>
    </row>
    <row r="2589" s="105" customFormat="1" spans="9:12">
      <c r="I2589" s="225"/>
      <c r="K2589" s="9"/>
      <c r="L2589" s="9"/>
    </row>
    <row r="2590" s="105" customFormat="1" spans="9:12">
      <c r="I2590" s="225"/>
      <c r="K2590" s="9"/>
      <c r="L2590" s="9"/>
    </row>
    <row r="2591" s="105" customFormat="1" spans="9:12">
      <c r="I2591" s="225"/>
      <c r="K2591" s="9"/>
      <c r="L2591" s="9"/>
    </row>
    <row r="2592" s="105" customFormat="1" spans="9:12">
      <c r="I2592" s="225"/>
      <c r="K2592" s="9"/>
      <c r="L2592" s="9"/>
    </row>
    <row r="2593" s="105" customFormat="1" spans="9:12">
      <c r="I2593" s="225"/>
      <c r="K2593" s="9"/>
      <c r="L2593" s="9"/>
    </row>
    <row r="2594" s="105" customFormat="1" spans="9:12">
      <c r="I2594" s="225"/>
      <c r="K2594" s="9"/>
      <c r="L2594" s="9"/>
    </row>
    <row r="2595" s="105" customFormat="1" spans="9:12">
      <c r="I2595" s="225"/>
      <c r="K2595" s="9"/>
      <c r="L2595" s="9"/>
    </row>
    <row r="2596" s="105" customFormat="1" spans="9:12">
      <c r="I2596" s="225"/>
      <c r="K2596" s="9"/>
      <c r="L2596" s="9"/>
    </row>
    <row r="2597" s="105" customFormat="1" spans="9:12">
      <c r="I2597" s="225"/>
      <c r="K2597" s="9"/>
      <c r="L2597" s="9"/>
    </row>
    <row r="2598" s="105" customFormat="1" spans="9:12">
      <c r="I2598" s="225"/>
      <c r="K2598" s="9"/>
      <c r="L2598" s="9"/>
    </row>
    <row r="2599" s="105" customFormat="1" spans="9:12">
      <c r="I2599" s="225"/>
      <c r="K2599" s="9"/>
      <c r="L2599" s="9"/>
    </row>
    <row r="2600" s="105" customFormat="1" spans="9:12">
      <c r="I2600" s="225"/>
      <c r="K2600" s="9"/>
      <c r="L2600" s="9"/>
    </row>
    <row r="2601" s="105" customFormat="1" spans="9:12">
      <c r="I2601" s="225"/>
      <c r="K2601" s="9"/>
      <c r="L2601" s="9"/>
    </row>
    <row r="2602" s="105" customFormat="1" spans="9:12">
      <c r="I2602" s="225"/>
      <c r="K2602" s="9"/>
      <c r="L2602" s="9"/>
    </row>
    <row r="2603" s="105" customFormat="1" spans="9:12">
      <c r="I2603" s="225"/>
      <c r="K2603" s="9"/>
      <c r="L2603" s="9"/>
    </row>
    <row r="2604" s="105" customFormat="1" spans="9:12">
      <c r="I2604" s="225"/>
      <c r="K2604" s="9"/>
      <c r="L2604" s="9"/>
    </row>
    <row r="2605" s="105" customFormat="1" spans="9:12">
      <c r="I2605" s="225"/>
      <c r="K2605" s="9"/>
      <c r="L2605" s="9"/>
    </row>
    <row r="2606" s="105" customFormat="1" spans="9:12">
      <c r="I2606" s="225"/>
      <c r="K2606" s="9"/>
      <c r="L2606" s="9"/>
    </row>
    <row r="2607" s="105" customFormat="1" spans="9:12">
      <c r="I2607" s="225"/>
      <c r="K2607" s="9"/>
      <c r="L2607" s="9"/>
    </row>
    <row r="2608" s="105" customFormat="1" spans="9:12">
      <c r="I2608" s="225"/>
      <c r="K2608" s="9"/>
      <c r="L2608" s="9"/>
    </row>
    <row r="2609" s="105" customFormat="1" spans="9:12">
      <c r="I2609" s="225"/>
      <c r="K2609" s="9"/>
      <c r="L2609" s="9"/>
    </row>
    <row r="2610" s="105" customFormat="1" spans="9:12">
      <c r="I2610" s="225"/>
      <c r="K2610" s="9"/>
      <c r="L2610" s="9"/>
    </row>
    <row r="2611" s="105" customFormat="1" spans="9:12">
      <c r="I2611" s="225"/>
      <c r="K2611" s="9"/>
      <c r="L2611" s="9"/>
    </row>
    <row r="2612" s="105" customFormat="1" spans="9:12">
      <c r="I2612" s="225"/>
      <c r="K2612" s="9"/>
      <c r="L2612" s="9"/>
    </row>
    <row r="2613" s="105" customFormat="1" spans="9:12">
      <c r="I2613" s="225"/>
      <c r="K2613" s="9"/>
      <c r="L2613" s="9"/>
    </row>
    <row r="2614" s="105" customFormat="1" spans="9:12">
      <c r="I2614" s="225"/>
      <c r="K2614" s="9"/>
      <c r="L2614" s="9"/>
    </row>
    <row r="2615" s="105" customFormat="1" spans="9:12">
      <c r="I2615" s="225"/>
      <c r="K2615" s="9"/>
      <c r="L2615" s="9"/>
    </row>
    <row r="2616" s="105" customFormat="1" spans="9:12">
      <c r="I2616" s="225"/>
      <c r="K2616" s="9"/>
      <c r="L2616" s="9"/>
    </row>
    <row r="2617" s="105" customFormat="1" spans="9:12">
      <c r="I2617" s="225"/>
      <c r="K2617" s="9"/>
      <c r="L2617" s="9"/>
    </row>
    <row r="2618" s="105" customFormat="1" spans="9:12">
      <c r="I2618" s="225"/>
      <c r="K2618" s="9"/>
      <c r="L2618" s="9"/>
    </row>
    <row r="2619" s="105" customFormat="1" spans="9:12">
      <c r="I2619" s="225"/>
      <c r="K2619" s="9"/>
      <c r="L2619" s="9"/>
    </row>
    <row r="2620" s="105" customFormat="1" spans="9:12">
      <c r="I2620" s="225"/>
      <c r="K2620" s="9"/>
      <c r="L2620" s="9"/>
    </row>
    <row r="2621" s="105" customFormat="1" spans="9:12">
      <c r="I2621" s="225"/>
      <c r="K2621" s="9"/>
      <c r="L2621" s="9"/>
    </row>
    <row r="2622" s="105" customFormat="1" spans="9:12">
      <c r="I2622" s="225"/>
      <c r="K2622" s="9"/>
      <c r="L2622" s="9"/>
    </row>
    <row r="2623" s="105" customFormat="1" spans="9:12">
      <c r="I2623" s="225"/>
      <c r="K2623" s="9"/>
      <c r="L2623" s="9"/>
    </row>
    <row r="2624" s="105" customFormat="1" spans="9:12">
      <c r="I2624" s="225"/>
      <c r="K2624" s="9"/>
      <c r="L2624" s="9"/>
    </row>
    <row r="2625" s="105" customFormat="1" spans="9:12">
      <c r="I2625" s="225"/>
      <c r="K2625" s="9"/>
      <c r="L2625" s="9"/>
    </row>
    <row r="2626" s="105" customFormat="1" spans="9:12">
      <c r="I2626" s="225"/>
      <c r="K2626" s="9"/>
      <c r="L2626" s="9"/>
    </row>
    <row r="2627" s="105" customFormat="1" spans="9:12">
      <c r="I2627" s="225"/>
      <c r="K2627" s="9"/>
      <c r="L2627" s="9"/>
    </row>
    <row r="2628" s="105" customFormat="1" spans="9:12">
      <c r="I2628" s="225"/>
      <c r="K2628" s="9"/>
      <c r="L2628" s="9"/>
    </row>
    <row r="2629" s="105" customFormat="1" spans="9:12">
      <c r="I2629" s="225"/>
      <c r="K2629" s="9"/>
      <c r="L2629" s="9"/>
    </row>
    <row r="2630" s="105" customFormat="1" spans="9:12">
      <c r="I2630" s="225"/>
      <c r="K2630" s="9"/>
      <c r="L2630" s="9"/>
    </row>
    <row r="2631" s="105" customFormat="1" spans="9:12">
      <c r="I2631" s="225"/>
      <c r="K2631" s="9"/>
      <c r="L2631" s="9"/>
    </row>
    <row r="2632" s="105" customFormat="1" spans="9:12">
      <c r="I2632" s="225"/>
      <c r="K2632" s="9"/>
      <c r="L2632" s="9"/>
    </row>
    <row r="2633" s="105" customFormat="1" spans="9:12">
      <c r="I2633" s="225"/>
      <c r="K2633" s="9"/>
      <c r="L2633" s="9"/>
    </row>
    <row r="2634" s="105" customFormat="1" spans="9:12">
      <c r="I2634" s="225"/>
      <c r="K2634" s="9"/>
      <c r="L2634" s="9"/>
    </row>
    <row r="2635" s="105" customFormat="1" spans="9:12">
      <c r="I2635" s="225"/>
      <c r="K2635" s="9"/>
      <c r="L2635" s="9"/>
    </row>
    <row r="2636" s="105" customFormat="1" spans="9:12">
      <c r="I2636" s="225"/>
      <c r="K2636" s="9"/>
      <c r="L2636" s="9"/>
    </row>
    <row r="2637" s="105" customFormat="1" spans="9:12">
      <c r="I2637" s="225"/>
      <c r="K2637" s="9"/>
      <c r="L2637" s="9"/>
    </row>
    <row r="2638" s="105" customFormat="1" spans="9:12">
      <c r="I2638" s="225"/>
      <c r="K2638" s="9"/>
      <c r="L2638" s="9"/>
    </row>
    <row r="2639" s="105" customFormat="1" spans="9:12">
      <c r="I2639" s="225"/>
      <c r="K2639" s="9"/>
      <c r="L2639" s="9"/>
    </row>
    <row r="2640" s="105" customFormat="1" spans="9:12">
      <c r="I2640" s="225"/>
      <c r="K2640" s="9"/>
      <c r="L2640" s="9"/>
    </row>
    <row r="2641" s="105" customFormat="1" spans="9:12">
      <c r="I2641" s="225"/>
      <c r="K2641" s="9"/>
      <c r="L2641" s="9"/>
    </row>
    <row r="2642" s="105" customFormat="1" spans="9:12">
      <c r="I2642" s="225"/>
      <c r="K2642" s="9"/>
      <c r="L2642" s="9"/>
    </row>
    <row r="2643" s="105" customFormat="1" spans="9:12">
      <c r="I2643" s="225"/>
      <c r="K2643" s="9"/>
      <c r="L2643" s="9"/>
    </row>
    <row r="2644" s="105" customFormat="1" spans="9:12">
      <c r="I2644" s="225"/>
      <c r="K2644" s="9"/>
      <c r="L2644" s="9"/>
    </row>
    <row r="2645" s="105" customFormat="1" spans="9:12">
      <c r="I2645" s="225"/>
      <c r="K2645" s="9"/>
      <c r="L2645" s="9"/>
    </row>
    <row r="2646" s="105" customFormat="1" spans="9:12">
      <c r="I2646" s="225"/>
      <c r="K2646" s="9"/>
      <c r="L2646" s="9"/>
    </row>
    <row r="2647" s="105" customFormat="1" spans="9:12">
      <c r="I2647" s="225"/>
      <c r="K2647" s="9"/>
      <c r="L2647" s="9"/>
    </row>
    <row r="2648" s="105" customFormat="1" spans="9:12">
      <c r="I2648" s="225"/>
      <c r="K2648" s="9"/>
      <c r="L2648" s="9"/>
    </row>
    <row r="2649" s="105" customFormat="1" spans="9:12">
      <c r="I2649" s="225"/>
      <c r="K2649" s="9"/>
      <c r="L2649" s="9"/>
    </row>
    <row r="2650" s="105" customFormat="1" spans="9:12">
      <c r="I2650" s="225"/>
      <c r="K2650" s="9"/>
      <c r="L2650" s="9"/>
    </row>
    <row r="2651" s="105" customFormat="1" spans="9:12">
      <c r="I2651" s="225"/>
      <c r="K2651" s="9"/>
      <c r="L2651" s="9"/>
    </row>
    <row r="2652" s="105" customFormat="1" spans="9:12">
      <c r="I2652" s="225"/>
      <c r="K2652" s="9"/>
      <c r="L2652" s="9"/>
    </row>
    <row r="2653" s="105" customFormat="1" spans="9:12">
      <c r="I2653" s="225"/>
      <c r="K2653" s="9"/>
      <c r="L2653" s="9"/>
    </row>
    <row r="2654" s="105" customFormat="1" spans="9:12">
      <c r="I2654" s="225"/>
      <c r="K2654" s="9"/>
      <c r="L2654" s="9"/>
    </row>
    <row r="2655" s="105" customFormat="1" spans="9:12">
      <c r="I2655" s="225"/>
      <c r="K2655" s="9"/>
      <c r="L2655" s="9"/>
    </row>
    <row r="2656" s="105" customFormat="1" spans="9:12">
      <c r="I2656" s="225"/>
      <c r="K2656" s="9"/>
      <c r="L2656" s="9"/>
    </row>
    <row r="2657" s="105" customFormat="1" spans="9:12">
      <c r="I2657" s="225"/>
      <c r="K2657" s="9"/>
      <c r="L2657" s="9"/>
    </row>
    <row r="2658" s="105" customFormat="1" spans="9:12">
      <c r="I2658" s="225"/>
      <c r="K2658" s="9"/>
      <c r="L2658" s="9"/>
    </row>
    <row r="2659" s="105" customFormat="1" spans="9:12">
      <c r="I2659" s="225"/>
      <c r="K2659" s="9"/>
      <c r="L2659" s="9"/>
    </row>
    <row r="2660" s="105" customFormat="1" spans="9:12">
      <c r="I2660" s="225"/>
      <c r="K2660" s="9"/>
      <c r="L2660" s="9"/>
    </row>
    <row r="2661" s="105" customFormat="1" spans="9:12">
      <c r="I2661" s="225"/>
      <c r="K2661" s="9"/>
      <c r="L2661" s="9"/>
    </row>
    <row r="2662" s="105" customFormat="1" spans="9:12">
      <c r="I2662" s="225"/>
      <c r="K2662" s="9"/>
      <c r="L2662" s="9"/>
    </row>
    <row r="2663" s="105" customFormat="1" spans="9:12">
      <c r="I2663" s="225"/>
      <c r="K2663" s="9"/>
      <c r="L2663" s="9"/>
    </row>
    <row r="2664" s="105" customFormat="1" spans="9:12">
      <c r="I2664" s="225"/>
      <c r="K2664" s="9"/>
      <c r="L2664" s="9"/>
    </row>
    <row r="2665" s="105" customFormat="1" spans="9:12">
      <c r="I2665" s="225"/>
      <c r="K2665" s="9"/>
      <c r="L2665" s="9"/>
    </row>
    <row r="2666" s="105" customFormat="1" spans="9:12">
      <c r="I2666" s="225"/>
      <c r="K2666" s="9"/>
      <c r="L2666" s="9"/>
    </row>
    <row r="2667" s="105" customFormat="1" spans="9:12">
      <c r="I2667" s="225"/>
      <c r="K2667" s="9"/>
      <c r="L2667" s="9"/>
    </row>
    <row r="2668" s="105" customFormat="1" spans="9:12">
      <c r="I2668" s="225"/>
      <c r="K2668" s="9"/>
      <c r="L2668" s="9"/>
    </row>
    <row r="2669" s="105" customFormat="1" spans="9:12">
      <c r="I2669" s="225"/>
      <c r="K2669" s="9"/>
      <c r="L2669" s="9"/>
    </row>
    <row r="2670" s="105" customFormat="1" spans="9:12">
      <c r="I2670" s="225"/>
      <c r="K2670" s="9"/>
      <c r="L2670" s="9"/>
    </row>
    <row r="2671" s="105" customFormat="1" spans="9:12">
      <c r="I2671" s="225"/>
      <c r="K2671" s="9"/>
      <c r="L2671" s="9"/>
    </row>
    <row r="2672" s="105" customFormat="1" spans="9:12">
      <c r="I2672" s="225"/>
      <c r="K2672" s="9"/>
      <c r="L2672" s="9"/>
    </row>
    <row r="2673" s="105" customFormat="1" spans="9:12">
      <c r="I2673" s="225"/>
      <c r="K2673" s="9"/>
      <c r="L2673" s="9"/>
    </row>
    <row r="2674" s="105" customFormat="1" spans="9:12">
      <c r="I2674" s="225"/>
      <c r="K2674" s="9"/>
      <c r="L2674" s="9"/>
    </row>
    <row r="2675" s="105" customFormat="1" spans="9:12">
      <c r="I2675" s="225"/>
      <c r="K2675" s="9"/>
      <c r="L2675" s="9"/>
    </row>
    <row r="2676" s="105" customFormat="1" spans="9:12">
      <c r="I2676" s="225"/>
      <c r="K2676" s="9"/>
      <c r="L2676" s="9"/>
    </row>
    <row r="2677" s="105" customFormat="1" spans="9:12">
      <c r="I2677" s="225"/>
      <c r="K2677" s="9"/>
      <c r="L2677" s="9"/>
    </row>
    <row r="2678" s="105" customFormat="1" spans="9:12">
      <c r="I2678" s="225"/>
      <c r="K2678" s="9"/>
      <c r="L2678" s="9"/>
    </row>
    <row r="2679" s="105" customFormat="1" spans="9:12">
      <c r="I2679" s="225"/>
      <c r="K2679" s="9"/>
      <c r="L2679" s="9"/>
    </row>
    <row r="2680" s="105" customFormat="1" spans="9:12">
      <c r="I2680" s="225"/>
      <c r="K2680" s="9"/>
      <c r="L2680" s="9"/>
    </row>
    <row r="2681" s="105" customFormat="1" spans="9:12">
      <c r="I2681" s="225"/>
      <c r="K2681" s="9"/>
      <c r="L2681" s="9"/>
    </row>
    <row r="2682" s="105" customFormat="1" spans="9:12">
      <c r="I2682" s="225"/>
      <c r="K2682" s="9"/>
      <c r="L2682" s="9"/>
    </row>
    <row r="2683" s="105" customFormat="1" spans="9:12">
      <c r="I2683" s="225"/>
      <c r="K2683" s="9"/>
      <c r="L2683" s="9"/>
    </row>
    <row r="2684" s="105" customFormat="1" spans="9:12">
      <c r="I2684" s="225"/>
      <c r="K2684" s="9"/>
      <c r="L2684" s="9"/>
    </row>
    <row r="2685" s="105" customFormat="1" spans="9:12">
      <c r="I2685" s="225"/>
      <c r="K2685" s="9"/>
      <c r="L2685" s="9"/>
    </row>
    <row r="2686" s="105" customFormat="1" spans="9:12">
      <c r="I2686" s="225"/>
      <c r="K2686" s="9"/>
      <c r="L2686" s="9"/>
    </row>
    <row r="2687" s="105" customFormat="1" spans="9:12">
      <c r="I2687" s="225"/>
      <c r="K2687" s="9"/>
      <c r="L2687" s="9"/>
    </row>
    <row r="2688" s="105" customFormat="1" spans="9:12">
      <c r="I2688" s="225"/>
      <c r="K2688" s="9"/>
      <c r="L2688" s="9"/>
    </row>
    <row r="2689" s="105" customFormat="1" spans="9:12">
      <c r="I2689" s="225"/>
      <c r="K2689" s="9"/>
      <c r="L2689" s="9"/>
    </row>
    <row r="2690" s="105" customFormat="1" spans="9:12">
      <c r="I2690" s="225"/>
      <c r="K2690" s="9"/>
      <c r="L2690" s="9"/>
    </row>
    <row r="2691" s="105" customFormat="1" spans="9:12">
      <c r="I2691" s="225"/>
      <c r="K2691" s="9"/>
      <c r="L2691" s="9"/>
    </row>
    <row r="2692" s="105" customFormat="1" spans="9:12">
      <c r="I2692" s="225"/>
      <c r="K2692" s="9"/>
      <c r="L2692" s="9"/>
    </row>
    <row r="2693" s="105" customFormat="1" spans="9:12">
      <c r="I2693" s="225"/>
      <c r="K2693" s="9"/>
      <c r="L2693" s="9"/>
    </row>
    <row r="2694" s="105" customFormat="1" spans="9:12">
      <c r="I2694" s="225"/>
      <c r="K2694" s="9"/>
      <c r="L2694" s="9"/>
    </row>
    <row r="2695" s="105" customFormat="1" spans="9:12">
      <c r="I2695" s="225"/>
      <c r="K2695" s="9"/>
      <c r="L2695" s="9"/>
    </row>
    <row r="2696" s="105" customFormat="1" spans="9:12">
      <c r="I2696" s="225"/>
      <c r="K2696" s="9"/>
      <c r="L2696" s="9"/>
    </row>
    <row r="2697" s="105" customFormat="1" spans="9:12">
      <c r="I2697" s="225"/>
      <c r="K2697" s="9"/>
      <c r="L2697" s="9"/>
    </row>
    <row r="2698" s="105" customFormat="1" spans="9:12">
      <c r="I2698" s="225"/>
      <c r="K2698" s="9"/>
      <c r="L2698" s="9"/>
    </row>
    <row r="2699" s="105" customFormat="1" spans="9:12">
      <c r="I2699" s="225"/>
      <c r="K2699" s="9"/>
      <c r="L2699" s="9"/>
    </row>
    <row r="2700" s="105" customFormat="1" spans="9:12">
      <c r="I2700" s="225"/>
      <c r="K2700" s="9"/>
      <c r="L2700" s="9"/>
    </row>
    <row r="2701" s="105" customFormat="1" spans="9:12">
      <c r="I2701" s="225"/>
      <c r="K2701" s="9"/>
      <c r="L2701" s="9"/>
    </row>
    <row r="2702" s="105" customFormat="1" spans="9:12">
      <c r="I2702" s="225"/>
      <c r="K2702" s="9"/>
      <c r="L2702" s="9"/>
    </row>
    <row r="2703" s="105" customFormat="1" spans="9:12">
      <c r="I2703" s="225"/>
      <c r="K2703" s="9"/>
      <c r="L2703" s="9"/>
    </row>
    <row r="2704" s="105" customFormat="1" spans="9:12">
      <c r="I2704" s="225"/>
      <c r="K2704" s="9"/>
      <c r="L2704" s="9"/>
    </row>
    <row r="2705" s="105" customFormat="1" spans="9:12">
      <c r="I2705" s="225"/>
      <c r="K2705" s="9"/>
      <c r="L2705" s="9"/>
    </row>
    <row r="2706" s="105" customFormat="1" spans="9:12">
      <c r="I2706" s="225"/>
      <c r="K2706" s="9"/>
      <c r="L2706" s="9"/>
    </row>
    <row r="2707" s="105" customFormat="1" spans="9:12">
      <c r="I2707" s="225"/>
      <c r="K2707" s="9"/>
      <c r="L2707" s="9"/>
    </row>
    <row r="2708" s="105" customFormat="1" spans="9:12">
      <c r="I2708" s="225"/>
      <c r="K2708" s="9"/>
      <c r="L2708" s="9"/>
    </row>
    <row r="2709" s="105" customFormat="1" spans="9:12">
      <c r="I2709" s="225"/>
      <c r="K2709" s="9"/>
      <c r="L2709" s="9"/>
    </row>
    <row r="2710" s="105" customFormat="1" spans="9:12">
      <c r="I2710" s="225"/>
      <c r="K2710" s="9"/>
      <c r="L2710" s="9"/>
    </row>
    <row r="2711" s="105" customFormat="1" spans="9:12">
      <c r="I2711" s="225"/>
      <c r="K2711" s="9"/>
      <c r="L2711" s="9"/>
    </row>
    <row r="2712" s="105" customFormat="1" spans="9:12">
      <c r="I2712" s="225"/>
      <c r="K2712" s="9"/>
      <c r="L2712" s="9"/>
    </row>
    <row r="2713" s="105" customFormat="1" spans="9:12">
      <c r="I2713" s="225"/>
      <c r="K2713" s="9"/>
      <c r="L2713" s="9"/>
    </row>
    <row r="2714" s="105" customFormat="1" spans="9:12">
      <c r="I2714" s="225"/>
      <c r="K2714" s="9"/>
      <c r="L2714" s="9"/>
    </row>
    <row r="2715" s="105" customFormat="1" spans="9:12">
      <c r="I2715" s="225"/>
      <c r="K2715" s="9"/>
      <c r="L2715" s="9"/>
    </row>
    <row r="2716" s="105" customFormat="1" spans="9:12">
      <c r="I2716" s="225"/>
      <c r="K2716" s="9"/>
      <c r="L2716" s="9"/>
    </row>
    <row r="2717" s="105" customFormat="1" spans="9:12">
      <c r="I2717" s="225"/>
      <c r="K2717" s="9"/>
      <c r="L2717" s="9"/>
    </row>
    <row r="2718" s="105" customFormat="1" spans="9:12">
      <c r="I2718" s="225"/>
      <c r="K2718" s="9"/>
      <c r="L2718" s="9"/>
    </row>
    <row r="2719" s="105" customFormat="1" spans="9:12">
      <c r="I2719" s="225"/>
      <c r="K2719" s="9"/>
      <c r="L2719" s="9"/>
    </row>
    <row r="2720" s="105" customFormat="1" spans="9:12">
      <c r="I2720" s="225"/>
      <c r="K2720" s="9"/>
      <c r="L2720" s="9"/>
    </row>
    <row r="2721" s="105" customFormat="1" spans="9:12">
      <c r="I2721" s="225"/>
      <c r="K2721" s="9"/>
      <c r="L2721" s="9"/>
    </row>
    <row r="2722" s="105" customFormat="1" spans="9:12">
      <c r="I2722" s="225"/>
      <c r="K2722" s="9"/>
      <c r="L2722" s="9"/>
    </row>
    <row r="2723" s="105" customFormat="1" spans="9:12">
      <c r="I2723" s="225"/>
      <c r="K2723" s="9"/>
      <c r="L2723" s="9"/>
    </row>
    <row r="2724" s="105" customFormat="1" spans="9:12">
      <c r="I2724" s="225"/>
      <c r="K2724" s="9"/>
      <c r="L2724" s="9"/>
    </row>
    <row r="2725" s="105" customFormat="1" spans="9:12">
      <c r="I2725" s="225"/>
      <c r="K2725" s="9"/>
      <c r="L2725" s="9"/>
    </row>
    <row r="2726" s="105" customFormat="1" spans="9:12">
      <c r="I2726" s="225"/>
      <c r="K2726" s="9"/>
      <c r="L2726" s="9"/>
    </row>
    <row r="2727" s="105" customFormat="1" spans="9:12">
      <c r="I2727" s="225"/>
      <c r="K2727" s="9"/>
      <c r="L2727" s="9"/>
    </row>
    <row r="2728" s="105" customFormat="1" spans="9:12">
      <c r="I2728" s="225"/>
      <c r="K2728" s="9"/>
      <c r="L2728" s="9"/>
    </row>
    <row r="2729" s="105" customFormat="1" spans="9:12">
      <c r="I2729" s="225"/>
      <c r="K2729" s="9"/>
      <c r="L2729" s="9"/>
    </row>
    <row r="2730" s="105" customFormat="1" spans="9:12">
      <c r="I2730" s="225"/>
      <c r="K2730" s="9"/>
      <c r="L2730" s="9"/>
    </row>
    <row r="2731" s="105" customFormat="1" spans="9:12">
      <c r="I2731" s="225"/>
      <c r="K2731" s="9"/>
      <c r="L2731" s="9"/>
    </row>
    <row r="2732" s="105" customFormat="1" spans="9:12">
      <c r="I2732" s="225"/>
      <c r="K2732" s="9"/>
      <c r="L2732" s="9"/>
    </row>
    <row r="2733" s="105" customFormat="1" spans="9:12">
      <c r="I2733" s="225"/>
      <c r="K2733" s="9"/>
      <c r="L2733" s="9"/>
    </row>
    <row r="2734" s="105" customFormat="1" spans="9:12">
      <c r="I2734" s="225"/>
      <c r="K2734" s="9"/>
      <c r="L2734" s="9"/>
    </row>
    <row r="2735" s="105" customFormat="1" spans="9:12">
      <c r="I2735" s="225"/>
      <c r="K2735" s="9"/>
      <c r="L2735" s="9"/>
    </row>
    <row r="2736" s="105" customFormat="1" spans="9:12">
      <c r="I2736" s="225"/>
      <c r="K2736" s="9"/>
      <c r="L2736" s="9"/>
    </row>
    <row r="2737" s="105" customFormat="1" spans="9:12">
      <c r="I2737" s="225"/>
      <c r="K2737" s="9"/>
      <c r="L2737" s="9"/>
    </row>
    <row r="2738" s="105" customFormat="1" spans="9:12">
      <c r="I2738" s="225"/>
      <c r="K2738" s="9"/>
      <c r="L2738" s="9"/>
    </row>
    <row r="2739" s="105" customFormat="1" spans="9:12">
      <c r="I2739" s="225"/>
      <c r="K2739" s="9"/>
      <c r="L2739" s="9"/>
    </row>
    <row r="2740" s="105" customFormat="1" spans="9:12">
      <c r="I2740" s="225"/>
      <c r="K2740" s="9"/>
      <c r="L2740" s="9"/>
    </row>
    <row r="2741" s="105" customFormat="1" spans="9:12">
      <c r="I2741" s="225"/>
      <c r="K2741" s="9"/>
      <c r="L2741" s="9"/>
    </row>
    <row r="2742" s="105" customFormat="1" spans="9:12">
      <c r="I2742" s="225"/>
      <c r="K2742" s="9"/>
      <c r="L2742" s="9"/>
    </row>
    <row r="2743" s="105" customFormat="1" spans="9:12">
      <c r="I2743" s="225"/>
      <c r="K2743" s="9"/>
      <c r="L2743" s="9"/>
    </row>
    <row r="2744" s="105" customFormat="1" spans="9:12">
      <c r="I2744" s="225"/>
      <c r="K2744" s="9"/>
      <c r="L2744" s="9"/>
    </row>
    <row r="2745" s="105" customFormat="1" spans="9:12">
      <c r="I2745" s="225"/>
      <c r="K2745" s="9"/>
      <c r="L2745" s="9"/>
    </row>
    <row r="2746" s="105" customFormat="1" spans="9:12">
      <c r="I2746" s="225"/>
      <c r="K2746" s="9"/>
      <c r="L2746" s="9"/>
    </row>
    <row r="2747" s="105" customFormat="1" spans="9:12">
      <c r="I2747" s="225"/>
      <c r="K2747" s="9"/>
      <c r="L2747" s="9"/>
    </row>
    <row r="2748" s="105" customFormat="1" spans="9:12">
      <c r="I2748" s="225"/>
      <c r="K2748" s="9"/>
      <c r="L2748" s="9"/>
    </row>
    <row r="2749" s="105" customFormat="1" spans="9:12">
      <c r="I2749" s="225"/>
      <c r="K2749" s="9"/>
      <c r="L2749" s="9"/>
    </row>
    <row r="2750" s="105" customFormat="1" spans="9:12">
      <c r="I2750" s="225"/>
      <c r="K2750" s="9"/>
      <c r="L2750" s="9"/>
    </row>
    <row r="2751" s="105" customFormat="1" spans="9:12">
      <c r="I2751" s="225"/>
      <c r="K2751" s="9"/>
      <c r="L2751" s="9"/>
    </row>
    <row r="2752" s="105" customFormat="1" spans="9:12">
      <c r="I2752" s="225"/>
      <c r="K2752" s="9"/>
      <c r="L2752" s="9"/>
    </row>
    <row r="2753" s="105" customFormat="1" spans="9:12">
      <c r="I2753" s="225"/>
      <c r="K2753" s="9"/>
      <c r="L2753" s="9"/>
    </row>
    <row r="2754" s="105" customFormat="1" spans="9:12">
      <c r="I2754" s="225"/>
      <c r="K2754" s="9"/>
      <c r="L2754" s="9"/>
    </row>
    <row r="2755" s="105" customFormat="1" spans="9:12">
      <c r="I2755" s="225"/>
      <c r="K2755" s="9"/>
      <c r="L2755" s="9"/>
    </row>
    <row r="2756" s="105" customFormat="1" spans="9:12">
      <c r="I2756" s="225"/>
      <c r="K2756" s="9"/>
      <c r="L2756" s="9"/>
    </row>
    <row r="2757" s="105" customFormat="1" spans="9:12">
      <c r="I2757" s="225"/>
      <c r="K2757" s="9"/>
      <c r="L2757" s="9"/>
    </row>
    <row r="2758" s="105" customFormat="1" spans="9:12">
      <c r="I2758" s="225"/>
      <c r="K2758" s="9"/>
      <c r="L2758" s="9"/>
    </row>
    <row r="2759" s="105" customFormat="1" spans="9:12">
      <c r="I2759" s="225"/>
      <c r="K2759" s="9"/>
      <c r="L2759" s="9"/>
    </row>
    <row r="2760" s="105" customFormat="1" spans="9:12">
      <c r="I2760" s="225"/>
      <c r="K2760" s="9"/>
      <c r="L2760" s="9"/>
    </row>
    <row r="2761" s="105" customFormat="1" spans="9:12">
      <c r="I2761" s="225"/>
      <c r="K2761" s="9"/>
      <c r="L2761" s="9"/>
    </row>
    <row r="2762" s="105" customFormat="1" spans="9:12">
      <c r="I2762" s="225"/>
      <c r="K2762" s="9"/>
      <c r="L2762" s="9"/>
    </row>
    <row r="2763" s="105" customFormat="1" spans="9:12">
      <c r="I2763" s="225"/>
      <c r="K2763" s="9"/>
      <c r="L2763" s="9"/>
    </row>
    <row r="2764" s="105" customFormat="1" spans="9:12">
      <c r="I2764" s="225"/>
      <c r="K2764" s="9"/>
      <c r="L2764" s="9"/>
    </row>
    <row r="2765" s="105" customFormat="1" spans="9:12">
      <c r="I2765" s="225"/>
      <c r="K2765" s="9"/>
      <c r="L2765" s="9"/>
    </row>
    <row r="2766" s="105" customFormat="1" spans="9:12">
      <c r="I2766" s="225"/>
      <c r="K2766" s="9"/>
      <c r="L2766" s="9"/>
    </row>
    <row r="2767" s="105" customFormat="1" spans="9:12">
      <c r="I2767" s="225"/>
      <c r="K2767" s="9"/>
      <c r="L2767" s="9"/>
    </row>
    <row r="2768" s="105" customFormat="1" spans="9:12">
      <c r="I2768" s="225"/>
      <c r="K2768" s="9"/>
      <c r="L2768" s="9"/>
    </row>
    <row r="2769" s="105" customFormat="1" spans="9:12">
      <c r="I2769" s="225"/>
      <c r="K2769" s="9"/>
      <c r="L2769" s="9"/>
    </row>
    <row r="2770" s="105" customFormat="1" spans="9:12">
      <c r="I2770" s="225"/>
      <c r="K2770" s="9"/>
      <c r="L2770" s="9"/>
    </row>
    <row r="2771" s="105" customFormat="1" spans="9:12">
      <c r="I2771" s="225"/>
      <c r="K2771" s="9"/>
      <c r="L2771" s="9"/>
    </row>
    <row r="2772" s="105" customFormat="1" spans="9:12">
      <c r="I2772" s="225"/>
      <c r="K2772" s="9"/>
      <c r="L2772" s="9"/>
    </row>
    <row r="2773" s="105" customFormat="1" spans="9:12">
      <c r="I2773" s="225"/>
      <c r="K2773" s="9"/>
      <c r="L2773" s="9"/>
    </row>
    <row r="2774" s="105" customFormat="1" spans="9:12">
      <c r="I2774" s="225"/>
      <c r="K2774" s="9"/>
      <c r="L2774" s="9"/>
    </row>
    <row r="2775" s="105" customFormat="1" spans="9:12">
      <c r="I2775" s="225"/>
      <c r="K2775" s="9"/>
      <c r="L2775" s="9"/>
    </row>
    <row r="2776" s="105" customFormat="1" spans="9:12">
      <c r="I2776" s="225"/>
      <c r="K2776" s="9"/>
      <c r="L2776" s="9"/>
    </row>
    <row r="2777" s="105" customFormat="1" spans="9:12">
      <c r="I2777" s="225"/>
      <c r="K2777" s="9"/>
      <c r="L2777" s="9"/>
    </row>
    <row r="2778" s="105" customFormat="1" spans="9:12">
      <c r="I2778" s="225"/>
      <c r="K2778" s="9"/>
      <c r="L2778" s="9"/>
    </row>
    <row r="2779" s="105" customFormat="1" spans="9:12">
      <c r="I2779" s="225"/>
      <c r="K2779" s="9"/>
      <c r="L2779" s="9"/>
    </row>
    <row r="2780" s="105" customFormat="1" spans="9:12">
      <c r="I2780" s="225"/>
      <c r="K2780" s="9"/>
      <c r="L2780" s="9"/>
    </row>
    <row r="2781" s="105" customFormat="1" spans="9:12">
      <c r="I2781" s="225"/>
      <c r="K2781" s="9"/>
      <c r="L2781" s="9"/>
    </row>
    <row r="2782" s="105" customFormat="1" spans="9:12">
      <c r="I2782" s="225"/>
      <c r="K2782" s="9"/>
      <c r="L2782" s="9"/>
    </row>
    <row r="2783" s="105" customFormat="1" spans="9:12">
      <c r="I2783" s="225"/>
      <c r="K2783" s="9"/>
      <c r="L2783" s="9"/>
    </row>
    <row r="2784" s="105" customFormat="1" spans="9:12">
      <c r="I2784" s="225"/>
      <c r="K2784" s="9"/>
      <c r="L2784" s="9"/>
    </row>
    <row r="2785" s="105" customFormat="1" spans="9:12">
      <c r="I2785" s="225"/>
      <c r="K2785" s="9"/>
      <c r="L2785" s="9"/>
    </row>
    <row r="2786" s="105" customFormat="1" spans="9:12">
      <c r="I2786" s="225"/>
      <c r="K2786" s="9"/>
      <c r="L2786" s="9"/>
    </row>
    <row r="2787" s="105" customFormat="1" spans="9:12">
      <c r="I2787" s="225"/>
      <c r="K2787" s="9"/>
      <c r="L2787" s="9"/>
    </row>
    <row r="2788" s="105" customFormat="1" spans="9:12">
      <c r="I2788" s="225"/>
      <c r="K2788" s="9"/>
      <c r="L2788" s="9"/>
    </row>
    <row r="2789" s="105" customFormat="1" spans="9:12">
      <c r="I2789" s="225"/>
      <c r="K2789" s="9"/>
      <c r="L2789" s="9"/>
    </row>
    <row r="2790" s="105" customFormat="1" spans="9:12">
      <c r="I2790" s="225"/>
      <c r="K2790" s="9"/>
      <c r="L2790" s="9"/>
    </row>
    <row r="2791" s="105" customFormat="1" spans="9:12">
      <c r="I2791" s="225"/>
      <c r="K2791" s="9"/>
      <c r="L2791" s="9"/>
    </row>
    <row r="2792" s="105" customFormat="1" spans="9:12">
      <c r="I2792" s="225"/>
      <c r="K2792" s="9"/>
      <c r="L2792" s="9"/>
    </row>
    <row r="2793" s="105" customFormat="1" spans="9:12">
      <c r="I2793" s="225"/>
      <c r="K2793" s="9"/>
      <c r="L2793" s="9"/>
    </row>
    <row r="2794" s="105" customFormat="1" spans="9:12">
      <c r="I2794" s="225"/>
      <c r="K2794" s="9"/>
      <c r="L2794" s="9"/>
    </row>
    <row r="2795" s="105" customFormat="1" spans="9:12">
      <c r="I2795" s="225"/>
      <c r="K2795" s="9"/>
      <c r="L2795" s="9"/>
    </row>
    <row r="2796" s="105" customFormat="1" spans="9:12">
      <c r="I2796" s="225"/>
      <c r="K2796" s="9"/>
      <c r="L2796" s="9"/>
    </row>
    <row r="2797" s="105" customFormat="1" spans="9:12">
      <c r="I2797" s="225"/>
      <c r="K2797" s="9"/>
      <c r="L2797" s="9"/>
    </row>
    <row r="2798" s="105" customFormat="1" spans="9:12">
      <c r="I2798" s="225"/>
      <c r="K2798" s="9"/>
      <c r="L2798" s="9"/>
    </row>
    <row r="2799" s="105" customFormat="1" spans="9:12">
      <c r="I2799" s="225"/>
      <c r="K2799" s="9"/>
      <c r="L2799" s="9"/>
    </row>
    <row r="2800" s="105" customFormat="1" spans="9:12">
      <c r="I2800" s="225"/>
      <c r="K2800" s="9"/>
      <c r="L2800" s="9"/>
    </row>
    <row r="2801" s="105" customFormat="1" spans="9:12">
      <c r="I2801" s="225"/>
      <c r="K2801" s="9"/>
      <c r="L2801" s="9"/>
    </row>
    <row r="2802" s="105" customFormat="1" spans="9:12">
      <c r="I2802" s="225"/>
      <c r="K2802" s="9"/>
      <c r="L2802" s="9"/>
    </row>
    <row r="2803" s="105" customFormat="1" spans="9:12">
      <c r="I2803" s="225"/>
      <c r="K2803" s="9"/>
      <c r="L2803" s="9"/>
    </row>
    <row r="2804" s="105" customFormat="1" spans="9:12">
      <c r="I2804" s="225"/>
      <c r="K2804" s="9"/>
      <c r="L2804" s="9"/>
    </row>
    <row r="2805" s="105" customFormat="1" spans="9:12">
      <c r="I2805" s="225"/>
      <c r="K2805" s="9"/>
      <c r="L2805" s="9"/>
    </row>
    <row r="2806" s="105" customFormat="1" spans="9:12">
      <c r="I2806" s="225"/>
      <c r="K2806" s="9"/>
      <c r="L2806" s="9"/>
    </row>
    <row r="2807" s="105" customFormat="1" spans="9:12">
      <c r="I2807" s="225"/>
      <c r="K2807" s="9"/>
      <c r="L2807" s="9"/>
    </row>
    <row r="2808" s="105" customFormat="1" spans="9:12">
      <c r="I2808" s="225"/>
      <c r="K2808" s="9"/>
      <c r="L2808" s="9"/>
    </row>
    <row r="2809" s="105" customFormat="1" spans="9:12">
      <c r="I2809" s="225"/>
      <c r="K2809" s="9"/>
      <c r="L2809" s="9"/>
    </row>
    <row r="2810" s="105" customFormat="1" spans="9:12">
      <c r="I2810" s="225"/>
      <c r="K2810" s="9"/>
      <c r="L2810" s="9"/>
    </row>
    <row r="2811" s="105" customFormat="1" spans="9:12">
      <c r="I2811" s="225"/>
      <c r="K2811" s="9"/>
      <c r="L2811" s="9"/>
    </row>
    <row r="2812" s="105" customFormat="1" spans="9:12">
      <c r="I2812" s="225"/>
      <c r="K2812" s="9"/>
      <c r="L2812" s="9"/>
    </row>
    <row r="2813" s="105" customFormat="1" spans="9:12">
      <c r="I2813" s="225"/>
      <c r="K2813" s="9"/>
      <c r="L2813" s="9"/>
    </row>
    <row r="2814" s="105" customFormat="1" spans="9:12">
      <c r="I2814" s="225"/>
      <c r="K2814" s="9"/>
      <c r="L2814" s="9"/>
    </row>
    <row r="2815" s="105" customFormat="1" spans="9:12">
      <c r="I2815" s="225"/>
      <c r="K2815" s="9"/>
      <c r="L2815" s="9"/>
    </row>
    <row r="2816" s="105" customFormat="1" spans="9:12">
      <c r="I2816" s="225"/>
      <c r="K2816" s="9"/>
      <c r="L2816" s="9"/>
    </row>
    <row r="2817" s="105" customFormat="1" spans="9:12">
      <c r="I2817" s="225"/>
      <c r="K2817" s="9"/>
      <c r="L2817" s="9"/>
    </row>
    <row r="2818" s="105" customFormat="1" spans="9:12">
      <c r="I2818" s="225"/>
      <c r="K2818" s="9"/>
      <c r="L2818" s="9"/>
    </row>
    <row r="2819" s="105" customFormat="1" spans="9:12">
      <c r="I2819" s="225"/>
      <c r="K2819" s="9"/>
      <c r="L2819" s="9"/>
    </row>
    <row r="2820" s="105" customFormat="1" spans="9:12">
      <c r="I2820" s="225"/>
      <c r="K2820" s="9"/>
      <c r="L2820" s="9"/>
    </row>
    <row r="2821" s="105" customFormat="1" spans="9:12">
      <c r="I2821" s="225"/>
      <c r="K2821" s="9"/>
      <c r="L2821" s="9"/>
    </row>
    <row r="2822" s="105" customFormat="1" spans="9:12">
      <c r="I2822" s="225"/>
      <c r="K2822" s="9"/>
      <c r="L2822" s="9"/>
    </row>
    <row r="2823" s="105" customFormat="1" spans="9:12">
      <c r="I2823" s="225"/>
      <c r="K2823" s="9"/>
      <c r="L2823" s="9"/>
    </row>
    <row r="2824" s="105" customFormat="1" spans="9:12">
      <c r="I2824" s="225"/>
      <c r="K2824" s="9"/>
      <c r="L2824" s="9"/>
    </row>
    <row r="2825" s="105" customFormat="1" spans="9:12">
      <c r="I2825" s="225"/>
      <c r="K2825" s="9"/>
      <c r="L2825" s="9"/>
    </row>
    <row r="2826" s="105" customFormat="1" spans="9:12">
      <c r="I2826" s="225"/>
      <c r="K2826" s="9"/>
      <c r="L2826" s="9"/>
    </row>
    <row r="2827" s="105" customFormat="1" spans="9:12">
      <c r="I2827" s="225"/>
      <c r="K2827" s="9"/>
      <c r="L2827" s="9"/>
    </row>
    <row r="2828" s="105" customFormat="1" spans="9:12">
      <c r="I2828" s="225"/>
      <c r="K2828" s="9"/>
      <c r="L2828" s="9"/>
    </row>
    <row r="2829" s="105" customFormat="1" spans="9:12">
      <c r="I2829" s="225"/>
      <c r="K2829" s="9"/>
      <c r="L2829" s="9"/>
    </row>
    <row r="2830" s="105" customFormat="1" spans="9:12">
      <c r="I2830" s="225"/>
      <c r="K2830" s="9"/>
      <c r="L2830" s="9"/>
    </row>
    <row r="2831" s="105" customFormat="1" spans="9:12">
      <c r="I2831" s="225"/>
      <c r="K2831" s="9"/>
      <c r="L2831" s="9"/>
    </row>
    <row r="2832" s="105" customFormat="1" spans="9:12">
      <c r="I2832" s="225"/>
      <c r="K2832" s="9"/>
      <c r="L2832" s="9"/>
    </row>
    <row r="2833" s="105" customFormat="1" spans="9:12">
      <c r="I2833" s="225"/>
      <c r="K2833" s="9"/>
      <c r="L2833" s="9"/>
    </row>
    <row r="2834" s="105" customFormat="1" spans="9:12">
      <c r="I2834" s="225"/>
      <c r="K2834" s="9"/>
      <c r="L2834" s="9"/>
    </row>
    <row r="2835" s="105" customFormat="1" spans="9:12">
      <c r="I2835" s="225"/>
      <c r="K2835" s="9"/>
      <c r="L2835" s="9"/>
    </row>
    <row r="2836" s="105" customFormat="1" spans="9:12">
      <c r="I2836" s="225"/>
      <c r="K2836" s="9"/>
      <c r="L2836" s="9"/>
    </row>
    <row r="2837" s="105" customFormat="1" spans="9:12">
      <c r="I2837" s="225"/>
      <c r="K2837" s="9"/>
      <c r="L2837" s="9"/>
    </row>
    <row r="2838" s="105" customFormat="1" spans="9:12">
      <c r="I2838" s="225"/>
      <c r="K2838" s="9"/>
      <c r="L2838" s="9"/>
    </row>
    <row r="2839" s="105" customFormat="1" spans="9:12">
      <c r="I2839" s="225"/>
      <c r="K2839" s="9"/>
      <c r="L2839" s="9"/>
    </row>
    <row r="2840" s="105" customFormat="1" spans="9:12">
      <c r="I2840" s="225"/>
      <c r="K2840" s="9"/>
      <c r="L2840" s="9"/>
    </row>
    <row r="2841" s="105" customFormat="1" spans="9:12">
      <c r="I2841" s="225"/>
      <c r="K2841" s="9"/>
      <c r="L2841" s="9"/>
    </row>
    <row r="2842" s="105" customFormat="1" spans="9:12">
      <c r="I2842" s="225"/>
      <c r="K2842" s="9"/>
      <c r="L2842" s="9"/>
    </row>
    <row r="2843" s="105" customFormat="1" spans="9:12">
      <c r="I2843" s="225"/>
      <c r="K2843" s="9"/>
      <c r="L2843" s="9"/>
    </row>
    <row r="2844" s="105" customFormat="1" spans="9:12">
      <c r="I2844" s="225"/>
      <c r="K2844" s="9"/>
      <c r="L2844" s="9"/>
    </row>
    <row r="2845" s="105" customFormat="1" spans="9:12">
      <c r="I2845" s="225"/>
      <c r="K2845" s="9"/>
      <c r="L2845" s="9"/>
    </row>
    <row r="2846" s="105" customFormat="1" spans="9:12">
      <c r="I2846" s="225"/>
      <c r="K2846" s="9"/>
      <c r="L2846" s="9"/>
    </row>
    <row r="2847" s="105" customFormat="1" spans="9:12">
      <c r="I2847" s="225"/>
      <c r="K2847" s="9"/>
      <c r="L2847" s="9"/>
    </row>
    <row r="2848" s="105" customFormat="1" spans="9:12">
      <c r="I2848" s="225"/>
      <c r="K2848" s="9"/>
      <c r="L2848" s="9"/>
    </row>
    <row r="2849" s="105" customFormat="1" spans="9:12">
      <c r="I2849" s="225"/>
      <c r="K2849" s="9"/>
      <c r="L2849" s="9"/>
    </row>
    <row r="2850" s="105" customFormat="1" spans="9:12">
      <c r="I2850" s="225"/>
      <c r="K2850" s="9"/>
      <c r="L2850" s="9"/>
    </row>
    <row r="2851" s="105" customFormat="1" spans="9:12">
      <c r="I2851" s="225"/>
      <c r="K2851" s="9"/>
      <c r="L2851" s="9"/>
    </row>
    <row r="2852" s="105" customFormat="1" spans="9:12">
      <c r="I2852" s="225"/>
      <c r="K2852" s="9"/>
      <c r="L2852" s="9"/>
    </row>
    <row r="2853" s="105" customFormat="1" spans="9:12">
      <c r="I2853" s="225"/>
      <c r="K2853" s="9"/>
      <c r="L2853" s="9"/>
    </row>
    <row r="2854" s="105" customFormat="1" spans="9:12">
      <c r="I2854" s="225"/>
      <c r="K2854" s="9"/>
      <c r="L2854" s="9"/>
    </row>
    <row r="2855" s="105" customFormat="1" spans="9:12">
      <c r="I2855" s="225"/>
      <c r="K2855" s="9"/>
      <c r="L2855" s="9"/>
    </row>
    <row r="2856" s="105" customFormat="1" spans="9:12">
      <c r="I2856" s="225"/>
      <c r="K2856" s="9"/>
      <c r="L2856" s="9"/>
    </row>
    <row r="2857" s="105" customFormat="1" spans="9:12">
      <c r="I2857" s="225"/>
      <c r="K2857" s="9"/>
      <c r="L2857" s="9"/>
    </row>
    <row r="2858" s="105" customFormat="1" spans="9:12">
      <c r="I2858" s="225"/>
      <c r="K2858" s="9"/>
      <c r="L2858" s="9"/>
    </row>
    <row r="2859" s="105" customFormat="1" spans="9:12">
      <c r="I2859" s="225"/>
      <c r="K2859" s="9"/>
      <c r="L2859" s="9"/>
    </row>
    <row r="2860" s="105" customFormat="1" spans="9:12">
      <c r="I2860" s="225"/>
      <c r="K2860" s="9"/>
      <c r="L2860" s="9"/>
    </row>
    <row r="2861" s="105" customFormat="1" spans="9:12">
      <c r="I2861" s="225"/>
      <c r="K2861" s="9"/>
      <c r="L2861" s="9"/>
    </row>
    <row r="2862" s="105" customFormat="1" spans="9:12">
      <c r="I2862" s="225"/>
      <c r="K2862" s="9"/>
      <c r="L2862" s="9"/>
    </row>
    <row r="2863" s="105" customFormat="1" spans="9:12">
      <c r="I2863" s="225"/>
      <c r="K2863" s="9"/>
      <c r="L2863" s="9"/>
    </row>
    <row r="2864" s="105" customFormat="1" spans="9:12">
      <c r="I2864" s="225"/>
      <c r="K2864" s="9"/>
      <c r="L2864" s="9"/>
    </row>
    <row r="2865" s="105" customFormat="1" spans="9:12">
      <c r="I2865" s="225"/>
      <c r="K2865" s="9"/>
      <c r="L2865" s="9"/>
    </row>
    <row r="2866" s="105" customFormat="1" spans="9:12">
      <c r="I2866" s="225"/>
      <c r="K2866" s="9"/>
      <c r="L2866" s="9"/>
    </row>
    <row r="2867" s="105" customFormat="1" spans="9:12">
      <c r="I2867" s="225"/>
      <c r="K2867" s="9"/>
      <c r="L2867" s="9"/>
    </row>
    <row r="2868" s="105" customFormat="1" spans="9:12">
      <c r="I2868" s="225"/>
      <c r="K2868" s="9"/>
      <c r="L2868" s="9"/>
    </row>
    <row r="2869" s="105" customFormat="1" spans="9:12">
      <c r="I2869" s="225"/>
      <c r="K2869" s="9"/>
      <c r="L2869" s="9"/>
    </row>
    <row r="2870" s="105" customFormat="1" spans="9:12">
      <c r="I2870" s="225"/>
      <c r="K2870" s="9"/>
      <c r="L2870" s="9"/>
    </row>
    <row r="2871" s="105" customFormat="1" spans="9:12">
      <c r="I2871" s="225"/>
      <c r="K2871" s="9"/>
      <c r="L2871" s="9"/>
    </row>
    <row r="2872" s="105" customFormat="1" spans="9:12">
      <c r="I2872" s="225"/>
      <c r="K2872" s="9"/>
      <c r="L2872" s="9"/>
    </row>
    <row r="2873" s="105" customFormat="1" spans="9:12">
      <c r="I2873" s="225"/>
      <c r="K2873" s="9"/>
      <c r="L2873" s="9"/>
    </row>
    <row r="2874" s="105" customFormat="1" spans="9:12">
      <c r="I2874" s="225"/>
      <c r="K2874" s="9"/>
      <c r="L2874" s="9"/>
    </row>
    <row r="2875" s="105" customFormat="1" spans="9:12">
      <c r="I2875" s="225"/>
      <c r="K2875" s="9"/>
      <c r="L2875" s="9"/>
    </row>
    <row r="2876" s="105" customFormat="1" spans="9:12">
      <c r="I2876" s="225"/>
      <c r="K2876" s="9"/>
      <c r="L2876" s="9"/>
    </row>
    <row r="2877" s="105" customFormat="1" spans="9:12">
      <c r="I2877" s="225"/>
      <c r="K2877" s="9"/>
      <c r="L2877" s="9"/>
    </row>
    <row r="2878" s="105" customFormat="1" spans="9:12">
      <c r="I2878" s="225"/>
      <c r="K2878" s="9"/>
      <c r="L2878" s="9"/>
    </row>
    <row r="2879" s="105" customFormat="1" spans="9:12">
      <c r="I2879" s="225"/>
      <c r="K2879" s="9"/>
      <c r="L2879" s="9"/>
    </row>
    <row r="2880" s="105" customFormat="1" spans="9:12">
      <c r="I2880" s="225"/>
      <c r="K2880" s="9"/>
      <c r="L2880" s="9"/>
    </row>
    <row r="2881" s="105" customFormat="1" spans="9:12">
      <c r="I2881" s="225"/>
      <c r="K2881" s="9"/>
      <c r="L2881" s="9"/>
    </row>
    <row r="2882" s="105" customFormat="1" spans="9:12">
      <c r="I2882" s="225"/>
      <c r="K2882" s="9"/>
      <c r="L2882" s="9"/>
    </row>
    <row r="2883" s="105" customFormat="1" spans="9:12">
      <c r="I2883" s="225"/>
      <c r="K2883" s="9"/>
      <c r="L2883" s="9"/>
    </row>
    <row r="2884" s="105" customFormat="1" spans="9:12">
      <c r="I2884" s="225"/>
      <c r="K2884" s="9"/>
      <c r="L2884" s="9"/>
    </row>
    <row r="2885" s="105" customFormat="1" spans="9:12">
      <c r="I2885" s="225"/>
      <c r="K2885" s="9"/>
      <c r="L2885" s="9"/>
    </row>
    <row r="2886" s="105" customFormat="1" spans="9:12">
      <c r="I2886" s="225"/>
      <c r="K2886" s="9"/>
      <c r="L2886" s="9"/>
    </row>
    <row r="2887" s="105" customFormat="1" spans="9:12">
      <c r="I2887" s="225"/>
      <c r="K2887" s="9"/>
      <c r="L2887" s="9"/>
    </row>
    <row r="2888" s="105" customFormat="1" spans="9:12">
      <c r="I2888" s="225"/>
      <c r="K2888" s="9"/>
      <c r="L2888" s="9"/>
    </row>
    <row r="2889" s="105" customFormat="1" spans="9:12">
      <c r="I2889" s="225"/>
      <c r="K2889" s="9"/>
      <c r="L2889" s="9"/>
    </row>
    <row r="2890" s="105" customFormat="1" spans="9:12">
      <c r="I2890" s="225"/>
      <c r="K2890" s="9"/>
      <c r="L2890" s="9"/>
    </row>
    <row r="2891" s="105" customFormat="1" spans="9:12">
      <c r="I2891" s="225"/>
      <c r="K2891" s="9"/>
      <c r="L2891" s="9"/>
    </row>
    <row r="2892" s="105" customFormat="1" spans="9:12">
      <c r="I2892" s="225"/>
      <c r="K2892" s="9"/>
      <c r="L2892" s="9"/>
    </row>
    <row r="2893" s="105" customFormat="1" spans="9:12">
      <c r="I2893" s="225"/>
      <c r="K2893" s="9"/>
      <c r="L2893" s="9"/>
    </row>
    <row r="2894" s="105" customFormat="1" spans="9:12">
      <c r="I2894" s="225"/>
      <c r="K2894" s="9"/>
      <c r="L2894" s="9"/>
    </row>
    <row r="2895" s="105" customFormat="1" spans="9:12">
      <c r="I2895" s="225"/>
      <c r="K2895" s="9"/>
      <c r="L2895" s="9"/>
    </row>
    <row r="2896" s="105" customFormat="1" spans="9:12">
      <c r="I2896" s="225"/>
      <c r="K2896" s="9"/>
      <c r="L2896" s="9"/>
    </row>
    <row r="2897" s="105" customFormat="1" spans="9:12">
      <c r="I2897" s="225"/>
      <c r="K2897" s="9"/>
      <c r="L2897" s="9"/>
    </row>
    <row r="2898" s="105" customFormat="1" spans="9:12">
      <c r="I2898" s="225"/>
      <c r="K2898" s="9"/>
      <c r="L2898" s="9"/>
    </row>
    <row r="2899" s="105" customFormat="1" spans="9:12">
      <c r="I2899" s="225"/>
      <c r="K2899" s="9"/>
      <c r="L2899" s="9"/>
    </row>
    <row r="2900" s="105" customFormat="1" spans="9:12">
      <c r="I2900" s="225"/>
      <c r="K2900" s="9"/>
      <c r="L2900" s="9"/>
    </row>
    <row r="2901" s="105" customFormat="1" spans="9:12">
      <c r="I2901" s="225"/>
      <c r="K2901" s="9"/>
      <c r="L2901" s="9"/>
    </row>
    <row r="2902" s="105" customFormat="1" spans="9:12">
      <c r="I2902" s="225"/>
      <c r="K2902" s="9"/>
      <c r="L2902" s="9"/>
    </row>
    <row r="2903" s="105" customFormat="1" spans="9:12">
      <c r="I2903" s="225"/>
      <c r="K2903" s="9"/>
      <c r="L2903" s="9"/>
    </row>
    <row r="2904" s="105" customFormat="1" spans="9:12">
      <c r="I2904" s="225"/>
      <c r="K2904" s="9"/>
      <c r="L2904" s="9"/>
    </row>
    <row r="2905" s="105" customFormat="1" spans="9:12">
      <c r="I2905" s="225"/>
      <c r="K2905" s="9"/>
      <c r="L2905" s="9"/>
    </row>
    <row r="2906" s="105" customFormat="1" spans="9:12">
      <c r="I2906" s="225"/>
      <c r="K2906" s="9"/>
      <c r="L2906" s="9"/>
    </row>
    <row r="2907" s="105" customFormat="1" spans="9:12">
      <c r="I2907" s="225"/>
      <c r="K2907" s="9"/>
      <c r="L2907" s="9"/>
    </row>
    <row r="2908" s="105" customFormat="1" spans="9:12">
      <c r="I2908" s="225"/>
      <c r="K2908" s="9"/>
      <c r="L2908" s="9"/>
    </row>
    <row r="2909" s="105" customFormat="1" spans="9:12">
      <c r="I2909" s="225"/>
      <c r="K2909" s="9"/>
      <c r="L2909" s="9"/>
    </row>
    <row r="2910" s="105" customFormat="1" spans="9:12">
      <c r="I2910" s="225"/>
      <c r="K2910" s="9"/>
      <c r="L2910" s="9"/>
    </row>
    <row r="2911" s="105" customFormat="1" spans="9:12">
      <c r="I2911" s="225"/>
      <c r="K2911" s="9"/>
      <c r="L2911" s="9"/>
    </row>
    <row r="2912" s="105" customFormat="1" spans="9:12">
      <c r="I2912" s="225"/>
      <c r="K2912" s="9"/>
      <c r="L2912" s="9"/>
    </row>
    <row r="2913" s="105" customFormat="1" spans="9:12">
      <c r="I2913" s="225"/>
      <c r="K2913" s="9"/>
      <c r="L2913" s="9"/>
    </row>
    <row r="2914" s="105" customFormat="1" spans="9:12">
      <c r="I2914" s="225"/>
      <c r="K2914" s="9"/>
      <c r="L2914" s="9"/>
    </row>
    <row r="2915" s="105" customFormat="1" spans="9:12">
      <c r="I2915" s="225"/>
      <c r="K2915" s="9"/>
      <c r="L2915" s="9"/>
    </row>
    <row r="2916" s="105" customFormat="1" spans="9:12">
      <c r="I2916" s="225"/>
      <c r="K2916" s="9"/>
      <c r="L2916" s="9"/>
    </row>
    <row r="2917" s="105" customFormat="1" spans="9:12">
      <c r="I2917" s="225"/>
      <c r="K2917" s="9"/>
      <c r="L2917" s="9"/>
    </row>
    <row r="2918" s="105" customFormat="1" spans="9:12">
      <c r="I2918" s="225"/>
      <c r="K2918" s="9"/>
      <c r="L2918" s="9"/>
    </row>
    <row r="2919" s="105" customFormat="1" spans="9:12">
      <c r="I2919" s="225"/>
      <c r="K2919" s="9"/>
      <c r="L2919" s="9"/>
    </row>
    <row r="2920" s="105" customFormat="1" spans="9:12">
      <c r="I2920" s="225"/>
      <c r="K2920" s="9"/>
      <c r="L2920" s="9"/>
    </row>
    <row r="2921" s="105" customFormat="1" spans="9:12">
      <c r="I2921" s="225"/>
      <c r="K2921" s="9"/>
      <c r="L2921" s="9"/>
    </row>
    <row r="2922" s="105" customFormat="1" spans="9:12">
      <c r="I2922" s="225"/>
      <c r="K2922" s="9"/>
      <c r="L2922" s="9"/>
    </row>
    <row r="2923" s="105" customFormat="1" spans="9:12">
      <c r="I2923" s="225"/>
      <c r="K2923" s="9"/>
      <c r="L2923" s="9"/>
    </row>
    <row r="2924" s="105" customFormat="1" spans="9:12">
      <c r="I2924" s="225"/>
      <c r="K2924" s="9"/>
      <c r="L2924" s="9"/>
    </row>
    <row r="2925" s="105" customFormat="1" spans="9:12">
      <c r="I2925" s="225"/>
      <c r="K2925" s="9"/>
      <c r="L2925" s="9"/>
    </row>
    <row r="2926" s="105" customFormat="1" spans="9:12">
      <c r="I2926" s="225"/>
      <c r="K2926" s="9"/>
      <c r="L2926" s="9"/>
    </row>
    <row r="2927" s="105" customFormat="1" spans="9:12">
      <c r="I2927" s="225"/>
      <c r="K2927" s="9"/>
      <c r="L2927" s="9"/>
    </row>
    <row r="2928" s="105" customFormat="1" spans="9:12">
      <c r="I2928" s="225"/>
      <c r="K2928" s="9"/>
      <c r="L2928" s="9"/>
    </row>
    <row r="2929" s="105" customFormat="1" spans="9:12">
      <c r="I2929" s="225"/>
      <c r="K2929" s="9"/>
      <c r="L2929" s="9"/>
    </row>
    <row r="2930" s="105" customFormat="1" spans="9:12">
      <c r="I2930" s="225"/>
      <c r="K2930" s="9"/>
      <c r="L2930" s="9"/>
    </row>
    <row r="2931" s="105" customFormat="1" spans="9:12">
      <c r="I2931" s="225"/>
      <c r="K2931" s="9"/>
      <c r="L2931" s="9"/>
    </row>
    <row r="2932" s="105" customFormat="1" spans="9:12">
      <c r="I2932" s="225"/>
      <c r="K2932" s="9"/>
      <c r="L2932" s="9"/>
    </row>
    <row r="2933" s="105" customFormat="1" spans="9:12">
      <c r="I2933" s="225"/>
      <c r="K2933" s="9"/>
      <c r="L2933" s="9"/>
    </row>
    <row r="2934" s="105" customFormat="1" spans="9:12">
      <c r="I2934" s="225"/>
      <c r="K2934" s="9"/>
      <c r="L2934" s="9"/>
    </row>
    <row r="2935" s="105" customFormat="1" spans="9:12">
      <c r="I2935" s="225"/>
      <c r="K2935" s="9"/>
      <c r="L2935" s="9"/>
    </row>
    <row r="2936" s="105" customFormat="1" spans="9:12">
      <c r="I2936" s="225"/>
      <c r="K2936" s="9"/>
      <c r="L2936" s="9"/>
    </row>
    <row r="2937" s="105" customFormat="1" spans="9:12">
      <c r="I2937" s="225"/>
      <c r="K2937" s="9"/>
      <c r="L2937" s="9"/>
    </row>
    <row r="2938" s="105" customFormat="1" spans="9:12">
      <c r="I2938" s="225"/>
      <c r="K2938" s="9"/>
      <c r="L2938" s="9"/>
    </row>
    <row r="2939" s="105" customFormat="1" spans="9:12">
      <c r="I2939" s="225"/>
      <c r="K2939" s="9"/>
      <c r="L2939" s="9"/>
    </row>
    <row r="2940" s="105" customFormat="1" spans="9:12">
      <c r="I2940" s="225"/>
      <c r="K2940" s="9"/>
      <c r="L2940" s="9"/>
    </row>
    <row r="2941" s="105" customFormat="1" spans="9:12">
      <c r="I2941" s="225"/>
      <c r="K2941" s="9"/>
      <c r="L2941" s="9"/>
    </row>
    <row r="2942" s="105" customFormat="1" spans="9:12">
      <c r="I2942" s="225"/>
      <c r="K2942" s="9"/>
      <c r="L2942" s="9"/>
    </row>
    <row r="2943" s="105" customFormat="1" spans="9:12">
      <c r="I2943" s="225"/>
      <c r="K2943" s="9"/>
      <c r="L2943" s="9"/>
    </row>
    <row r="2944" s="105" customFormat="1" spans="9:12">
      <c r="I2944" s="225"/>
      <c r="K2944" s="9"/>
      <c r="L2944" s="9"/>
    </row>
    <row r="2945" s="105" customFormat="1" spans="9:12">
      <c r="I2945" s="225"/>
      <c r="K2945" s="9"/>
      <c r="L2945" s="9"/>
    </row>
    <row r="2946" s="105" customFormat="1" spans="9:12">
      <c r="I2946" s="225"/>
      <c r="K2946" s="9"/>
      <c r="L2946" s="9"/>
    </row>
    <row r="2947" s="105" customFormat="1" spans="9:12">
      <c r="I2947" s="225"/>
      <c r="K2947" s="9"/>
      <c r="L2947" s="9"/>
    </row>
    <row r="2948" s="105" customFormat="1" spans="9:12">
      <c r="I2948" s="225"/>
      <c r="K2948" s="9"/>
      <c r="L2948" s="9"/>
    </row>
    <row r="2949" s="105" customFormat="1" spans="9:12">
      <c r="I2949" s="225"/>
      <c r="K2949" s="9"/>
      <c r="L2949" s="9"/>
    </row>
    <row r="2950" s="105" customFormat="1" spans="9:12">
      <c r="I2950" s="225"/>
      <c r="K2950" s="9"/>
      <c r="L2950" s="9"/>
    </row>
    <row r="2951" s="105" customFormat="1" spans="9:12">
      <c r="I2951" s="225"/>
      <c r="K2951" s="9"/>
      <c r="L2951" s="9"/>
    </row>
    <row r="2952" s="105" customFormat="1" spans="9:12">
      <c r="I2952" s="225"/>
      <c r="K2952" s="9"/>
      <c r="L2952" s="9"/>
    </row>
    <row r="2953" s="105" customFormat="1" spans="9:12">
      <c r="I2953" s="225"/>
      <c r="K2953" s="9"/>
      <c r="L2953" s="9"/>
    </row>
    <row r="2954" s="105" customFormat="1" spans="9:12">
      <c r="I2954" s="225"/>
      <c r="K2954" s="9"/>
      <c r="L2954" s="9"/>
    </row>
    <row r="2955" s="105" customFormat="1" spans="9:12">
      <c r="I2955" s="225"/>
      <c r="K2955" s="9"/>
      <c r="L2955" s="9"/>
    </row>
    <row r="2956" s="105" customFormat="1" spans="9:12">
      <c r="I2956" s="225"/>
      <c r="K2956" s="9"/>
      <c r="L2956" s="9"/>
    </row>
    <row r="2957" s="105" customFormat="1" spans="9:12">
      <c r="I2957" s="225"/>
      <c r="K2957" s="9"/>
      <c r="L2957" s="9"/>
    </row>
    <row r="2958" s="105" customFormat="1" spans="9:12">
      <c r="I2958" s="225"/>
      <c r="K2958" s="9"/>
      <c r="L2958" s="9"/>
    </row>
    <row r="2959" s="105" customFormat="1" spans="9:12">
      <c r="I2959" s="225"/>
      <c r="K2959" s="9"/>
      <c r="L2959" s="9"/>
    </row>
    <row r="2960" s="105" customFormat="1" spans="9:12">
      <c r="I2960" s="225"/>
      <c r="K2960" s="9"/>
      <c r="L2960" s="9"/>
    </row>
    <row r="2961" s="105" customFormat="1" spans="9:12">
      <c r="I2961" s="225"/>
      <c r="K2961" s="9"/>
      <c r="L2961" s="9"/>
    </row>
    <row r="2962" s="105" customFormat="1" spans="9:12">
      <c r="I2962" s="225"/>
      <c r="K2962" s="9"/>
      <c r="L2962" s="9"/>
    </row>
    <row r="2963" s="105" customFormat="1" spans="9:12">
      <c r="I2963" s="225"/>
      <c r="K2963" s="9"/>
      <c r="L2963" s="9"/>
    </row>
    <row r="2964" s="105" customFormat="1" spans="9:12">
      <c r="I2964" s="225"/>
      <c r="K2964" s="9"/>
      <c r="L2964" s="9"/>
    </row>
    <row r="2965" s="105" customFormat="1" spans="9:12">
      <c r="I2965" s="225"/>
      <c r="K2965" s="9"/>
      <c r="L2965" s="9"/>
    </row>
    <row r="2966" s="105" customFormat="1" spans="9:12">
      <c r="I2966" s="225"/>
      <c r="K2966" s="9"/>
      <c r="L2966" s="9"/>
    </row>
    <row r="2967" s="105" customFormat="1" spans="9:12">
      <c r="I2967" s="225"/>
      <c r="K2967" s="9"/>
      <c r="L2967" s="9"/>
    </row>
    <row r="2968" s="105" customFormat="1" spans="9:12">
      <c r="I2968" s="225"/>
      <c r="K2968" s="9"/>
      <c r="L2968" s="9"/>
    </row>
    <row r="2969" s="105" customFormat="1" spans="9:12">
      <c r="I2969" s="225"/>
      <c r="K2969" s="9"/>
      <c r="L2969" s="9"/>
    </row>
    <row r="2970" s="105" customFormat="1" spans="9:12">
      <c r="I2970" s="225"/>
      <c r="K2970" s="9"/>
      <c r="L2970" s="9"/>
    </row>
    <row r="2971" s="105" customFormat="1" spans="9:12">
      <c r="I2971" s="225"/>
      <c r="K2971" s="9"/>
      <c r="L2971" s="9"/>
    </row>
    <row r="2972" s="105" customFormat="1" spans="9:12">
      <c r="I2972" s="225"/>
      <c r="K2972" s="9"/>
      <c r="L2972" s="9"/>
    </row>
    <row r="2973" s="105" customFormat="1" spans="9:12">
      <c r="I2973" s="225"/>
      <c r="K2973" s="9"/>
      <c r="L2973" s="9"/>
    </row>
    <row r="2974" s="105" customFormat="1" spans="9:12">
      <c r="I2974" s="225"/>
      <c r="K2974" s="9"/>
      <c r="L2974" s="9"/>
    </row>
    <row r="2975" s="105" customFormat="1" spans="9:12">
      <c r="I2975" s="225"/>
      <c r="K2975" s="9"/>
      <c r="L2975" s="9"/>
    </row>
    <row r="2976" s="105" customFormat="1" spans="9:12">
      <c r="I2976" s="225"/>
      <c r="K2976" s="9"/>
      <c r="L2976" s="9"/>
    </row>
    <row r="2977" s="105" customFormat="1" spans="9:12">
      <c r="I2977" s="225"/>
      <c r="K2977" s="9"/>
      <c r="L2977" s="9"/>
    </row>
    <row r="2978" s="105" customFormat="1" spans="9:12">
      <c r="I2978" s="225"/>
      <c r="K2978" s="9"/>
      <c r="L2978" s="9"/>
    </row>
    <row r="2979" s="105" customFormat="1" spans="9:12">
      <c r="I2979" s="225"/>
      <c r="K2979" s="9"/>
      <c r="L2979" s="9"/>
    </row>
    <row r="2980" s="105" customFormat="1" spans="9:12">
      <c r="I2980" s="225"/>
      <c r="K2980" s="9"/>
      <c r="L2980" s="9"/>
    </row>
    <row r="2981" s="105" customFormat="1" spans="9:12">
      <c r="I2981" s="225"/>
      <c r="K2981" s="9"/>
      <c r="L2981" s="9"/>
    </row>
    <row r="2982" s="105" customFormat="1" spans="9:12">
      <c r="I2982" s="225"/>
      <c r="K2982" s="9"/>
      <c r="L2982" s="9"/>
    </row>
    <row r="2983" s="105" customFormat="1" spans="9:12">
      <c r="I2983" s="225"/>
      <c r="K2983" s="9"/>
      <c r="L2983" s="9"/>
    </row>
    <row r="2984" s="105" customFormat="1" spans="9:12">
      <c r="I2984" s="225"/>
      <c r="K2984" s="9"/>
      <c r="L2984" s="9"/>
    </row>
    <row r="2985" s="105" customFormat="1" spans="9:12">
      <c r="I2985" s="225"/>
      <c r="K2985" s="9"/>
      <c r="L2985" s="9"/>
    </row>
    <row r="2986" s="105" customFormat="1" spans="9:12">
      <c r="I2986" s="225"/>
      <c r="K2986" s="9"/>
      <c r="L2986" s="9"/>
    </row>
    <row r="2987" s="105" customFormat="1" spans="9:12">
      <c r="I2987" s="225"/>
      <c r="K2987" s="9"/>
      <c r="L2987" s="9"/>
    </row>
    <row r="2988" s="105" customFormat="1" spans="9:12">
      <c r="I2988" s="225"/>
      <c r="K2988" s="9"/>
      <c r="L2988" s="9"/>
    </row>
    <row r="2989" s="105" customFormat="1" spans="9:12">
      <c r="I2989" s="225"/>
      <c r="K2989" s="9"/>
      <c r="L2989" s="9"/>
    </row>
    <row r="2990" s="105" customFormat="1" spans="9:12">
      <c r="I2990" s="225"/>
      <c r="K2990" s="9"/>
      <c r="L2990" s="9"/>
    </row>
    <row r="2991" s="105" customFormat="1" spans="9:12">
      <c r="I2991" s="225"/>
      <c r="K2991" s="9"/>
      <c r="L2991" s="9"/>
    </row>
    <row r="2992" s="105" customFormat="1" spans="9:12">
      <c r="I2992" s="225"/>
      <c r="K2992" s="9"/>
      <c r="L2992" s="9"/>
    </row>
    <row r="2993" s="105" customFormat="1" spans="9:12">
      <c r="I2993" s="225"/>
      <c r="K2993" s="9"/>
      <c r="L2993" s="9"/>
    </row>
    <row r="2994" s="105" customFormat="1" spans="9:12">
      <c r="I2994" s="225"/>
      <c r="K2994" s="9"/>
      <c r="L2994" s="9"/>
    </row>
    <row r="2995" s="105" customFormat="1" spans="9:12">
      <c r="I2995" s="225"/>
      <c r="K2995" s="9"/>
      <c r="L2995" s="9"/>
    </row>
    <row r="2996" s="105" customFormat="1" spans="9:12">
      <c r="I2996" s="225"/>
      <c r="K2996" s="9"/>
      <c r="L2996" s="9"/>
    </row>
    <row r="2997" s="105" customFormat="1" spans="9:12">
      <c r="I2997" s="225"/>
      <c r="K2997" s="9"/>
      <c r="L2997" s="9"/>
    </row>
    <row r="2998" s="105" customFormat="1" spans="9:12">
      <c r="I2998" s="225"/>
      <c r="K2998" s="9"/>
      <c r="L2998" s="9"/>
    </row>
    <row r="2999" s="105" customFormat="1" spans="9:12">
      <c r="I2999" s="225"/>
      <c r="K2999" s="9"/>
      <c r="L2999" s="9"/>
    </row>
    <row r="3000" s="105" customFormat="1" spans="9:12">
      <c r="I3000" s="225"/>
      <c r="K3000" s="9"/>
      <c r="L3000" s="9"/>
    </row>
    <row r="3001" s="105" customFormat="1" spans="9:12">
      <c r="I3001" s="225"/>
      <c r="K3001" s="9"/>
      <c r="L3001" s="9"/>
    </row>
    <row r="3002" s="105" customFormat="1" spans="9:12">
      <c r="I3002" s="225"/>
      <c r="K3002" s="9"/>
      <c r="L3002" s="9"/>
    </row>
    <row r="3003" s="105" customFormat="1" spans="9:12">
      <c r="I3003" s="225"/>
      <c r="K3003" s="9"/>
      <c r="L3003" s="9"/>
    </row>
    <row r="3004" s="105" customFormat="1" spans="9:12">
      <c r="I3004" s="225"/>
      <c r="K3004" s="9"/>
      <c r="L3004" s="9"/>
    </row>
    <row r="3005" s="105" customFormat="1" spans="9:12">
      <c r="I3005" s="225"/>
      <c r="K3005" s="9"/>
      <c r="L3005" s="9"/>
    </row>
    <row r="3006" s="105" customFormat="1" spans="9:12">
      <c r="I3006" s="225"/>
      <c r="K3006" s="9"/>
      <c r="L3006" s="9"/>
    </row>
    <row r="3007" s="105" customFormat="1" spans="9:12">
      <c r="I3007" s="225"/>
      <c r="K3007" s="9"/>
      <c r="L3007" s="9"/>
    </row>
    <row r="3008" s="105" customFormat="1" spans="9:12">
      <c r="I3008" s="225"/>
      <c r="K3008" s="9"/>
      <c r="L3008" s="9"/>
    </row>
    <row r="3009" s="105" customFormat="1" spans="9:12">
      <c r="I3009" s="225"/>
      <c r="K3009" s="9"/>
      <c r="L3009" s="9"/>
    </row>
    <row r="3010" s="105" customFormat="1" spans="9:12">
      <c r="I3010" s="225"/>
      <c r="K3010" s="9"/>
      <c r="L3010" s="9"/>
    </row>
    <row r="3011" s="105" customFormat="1" spans="9:12">
      <c r="I3011" s="225"/>
      <c r="K3011" s="9"/>
      <c r="L3011" s="9"/>
    </row>
    <row r="3012" s="105" customFormat="1" spans="9:12">
      <c r="I3012" s="225"/>
      <c r="K3012" s="9"/>
      <c r="L3012" s="9"/>
    </row>
    <row r="3013" s="105" customFormat="1" spans="9:12">
      <c r="I3013" s="225"/>
      <c r="K3013" s="9"/>
      <c r="L3013" s="9"/>
    </row>
    <row r="3014" s="105" customFormat="1" spans="9:12">
      <c r="I3014" s="225"/>
      <c r="K3014" s="9"/>
      <c r="L3014" s="9"/>
    </row>
    <row r="3015" s="105" customFormat="1" spans="9:12">
      <c r="I3015" s="225"/>
      <c r="K3015" s="9"/>
      <c r="L3015" s="9"/>
    </row>
    <row r="3016" s="105" customFormat="1" spans="9:12">
      <c r="I3016" s="225"/>
      <c r="K3016" s="9"/>
      <c r="L3016" s="9"/>
    </row>
    <row r="3017" s="105" customFormat="1" spans="9:12">
      <c r="I3017" s="225"/>
      <c r="K3017" s="9"/>
      <c r="L3017" s="9"/>
    </row>
    <row r="3018" s="105" customFormat="1" spans="9:12">
      <c r="I3018" s="225"/>
      <c r="K3018" s="9"/>
      <c r="L3018" s="9"/>
    </row>
    <row r="3019" s="105" customFormat="1" spans="9:12">
      <c r="I3019" s="225"/>
      <c r="K3019" s="9"/>
      <c r="L3019" s="9"/>
    </row>
    <row r="3020" s="105" customFormat="1" spans="9:12">
      <c r="I3020" s="225"/>
      <c r="K3020" s="9"/>
      <c r="L3020" s="9"/>
    </row>
    <row r="3021" s="105" customFormat="1" spans="9:12">
      <c r="I3021" s="225"/>
      <c r="K3021" s="9"/>
      <c r="L3021" s="9"/>
    </row>
    <row r="3022" s="105" customFormat="1" spans="9:12">
      <c r="I3022" s="225"/>
      <c r="K3022" s="9"/>
      <c r="L3022" s="9"/>
    </row>
    <row r="3023" s="105" customFormat="1" spans="9:12">
      <c r="I3023" s="225"/>
      <c r="K3023" s="9"/>
      <c r="L3023" s="9"/>
    </row>
    <row r="3024" s="105" customFormat="1" spans="9:12">
      <c r="I3024" s="225"/>
      <c r="K3024" s="9"/>
      <c r="L3024" s="9"/>
    </row>
    <row r="3025" s="105" customFormat="1" spans="9:12">
      <c r="I3025" s="225"/>
      <c r="K3025" s="9"/>
      <c r="L3025" s="9"/>
    </row>
    <row r="3026" s="105" customFormat="1" spans="9:12">
      <c r="I3026" s="225"/>
      <c r="K3026" s="9"/>
      <c r="L3026" s="9"/>
    </row>
    <row r="3027" s="105" customFormat="1" spans="9:12">
      <c r="I3027" s="225"/>
      <c r="K3027" s="9"/>
      <c r="L3027" s="9"/>
    </row>
    <row r="3028" s="105" customFormat="1" spans="9:12">
      <c r="I3028" s="225"/>
      <c r="K3028" s="9"/>
      <c r="L3028" s="9"/>
    </row>
    <row r="3029" s="105" customFormat="1" spans="9:12">
      <c r="I3029" s="225"/>
      <c r="K3029" s="9"/>
      <c r="L3029" s="9"/>
    </row>
    <row r="3030" s="105" customFormat="1" spans="9:12">
      <c r="I3030" s="225"/>
      <c r="K3030" s="9"/>
      <c r="L3030" s="9"/>
    </row>
    <row r="3031" s="105" customFormat="1" spans="9:12">
      <c r="I3031" s="225"/>
      <c r="K3031" s="9"/>
      <c r="L3031" s="9"/>
    </row>
    <row r="3032" s="105" customFormat="1" spans="9:12">
      <c r="I3032" s="225"/>
      <c r="K3032" s="9"/>
      <c r="L3032" s="9"/>
    </row>
    <row r="3033" s="105" customFormat="1" spans="9:12">
      <c r="I3033" s="225"/>
      <c r="K3033" s="9"/>
      <c r="L3033" s="9"/>
    </row>
    <row r="3034" s="105" customFormat="1" spans="9:12">
      <c r="I3034" s="225"/>
      <c r="K3034" s="9"/>
      <c r="L3034" s="9"/>
    </row>
    <row r="3035" s="105" customFormat="1" spans="9:12">
      <c r="I3035" s="225"/>
      <c r="K3035" s="9"/>
      <c r="L3035" s="9"/>
    </row>
    <row r="3036" s="105" customFormat="1" spans="9:12">
      <c r="I3036" s="225"/>
      <c r="K3036" s="9"/>
      <c r="L3036" s="9"/>
    </row>
    <row r="3037" s="105" customFormat="1" spans="9:12">
      <c r="I3037" s="225"/>
      <c r="K3037" s="9"/>
      <c r="L3037" s="9"/>
    </row>
    <row r="3038" s="105" customFormat="1" spans="9:12">
      <c r="I3038" s="225"/>
      <c r="K3038" s="9"/>
      <c r="L3038" s="9"/>
    </row>
    <row r="3039" s="105" customFormat="1" spans="9:12">
      <c r="I3039" s="225"/>
      <c r="K3039" s="9"/>
      <c r="L3039" s="9"/>
    </row>
    <row r="3040" s="105" customFormat="1" spans="9:12">
      <c r="I3040" s="225"/>
      <c r="K3040" s="9"/>
      <c r="L3040" s="9"/>
    </row>
    <row r="3041" s="105" customFormat="1" spans="9:12">
      <c r="I3041" s="225"/>
      <c r="K3041" s="9"/>
      <c r="L3041" s="9"/>
    </row>
    <row r="3042" s="105" customFormat="1" spans="9:12">
      <c r="I3042" s="225"/>
      <c r="K3042" s="9"/>
      <c r="L3042" s="9"/>
    </row>
    <row r="3043" s="105" customFormat="1" spans="9:12">
      <c r="I3043" s="225"/>
      <c r="K3043" s="9"/>
      <c r="L3043" s="9"/>
    </row>
    <row r="3044" s="105" customFormat="1" spans="9:12">
      <c r="I3044" s="225"/>
      <c r="K3044" s="9"/>
      <c r="L3044" s="9"/>
    </row>
    <row r="3045" s="105" customFormat="1" spans="9:12">
      <c r="I3045" s="225"/>
      <c r="K3045" s="9"/>
      <c r="L3045" s="9"/>
    </row>
    <row r="3046" s="105" customFormat="1" spans="9:12">
      <c r="I3046" s="225"/>
      <c r="K3046" s="9"/>
      <c r="L3046" s="9"/>
    </row>
    <row r="3047" s="105" customFormat="1" spans="9:12">
      <c r="I3047" s="225"/>
      <c r="K3047" s="9"/>
      <c r="L3047" s="9"/>
    </row>
    <row r="3048" s="105" customFormat="1" spans="9:12">
      <c r="I3048" s="225"/>
      <c r="K3048" s="9"/>
      <c r="L3048" s="9"/>
    </row>
    <row r="3049" s="105" customFormat="1" spans="9:12">
      <c r="I3049" s="225"/>
      <c r="K3049" s="9"/>
      <c r="L3049" s="9"/>
    </row>
    <row r="3050" s="105" customFormat="1" spans="9:12">
      <c r="I3050" s="225"/>
      <c r="K3050" s="9"/>
      <c r="L3050" s="9"/>
    </row>
    <row r="3051" s="105" customFormat="1" spans="9:12">
      <c r="I3051" s="225"/>
      <c r="K3051" s="9"/>
      <c r="L3051" s="9"/>
    </row>
    <row r="3052" s="105" customFormat="1" spans="9:12">
      <c r="I3052" s="225"/>
      <c r="K3052" s="9"/>
      <c r="L3052" s="9"/>
    </row>
    <row r="3053" s="105" customFormat="1" spans="9:12">
      <c r="I3053" s="225"/>
      <c r="K3053" s="9"/>
      <c r="L3053" s="9"/>
    </row>
    <row r="3054" s="105" customFormat="1" spans="9:12">
      <c r="I3054" s="225"/>
      <c r="K3054" s="9"/>
      <c r="L3054" s="9"/>
    </row>
    <row r="3055" s="105" customFormat="1" spans="9:12">
      <c r="I3055" s="225"/>
      <c r="K3055" s="9"/>
      <c r="L3055" s="9"/>
    </row>
    <row r="3056" s="105" customFormat="1" spans="9:12">
      <c r="I3056" s="225"/>
      <c r="K3056" s="9"/>
      <c r="L3056" s="9"/>
    </row>
    <row r="3057" s="105" customFormat="1" spans="9:12">
      <c r="I3057" s="225"/>
      <c r="K3057" s="9"/>
      <c r="L3057" s="9"/>
    </row>
    <row r="3058" s="105" customFormat="1" spans="9:12">
      <c r="I3058" s="225"/>
      <c r="K3058" s="9"/>
      <c r="L3058" s="9"/>
    </row>
    <row r="3059" s="105" customFormat="1" spans="9:12">
      <c r="I3059" s="225"/>
      <c r="K3059" s="9"/>
      <c r="L3059" s="9"/>
    </row>
    <row r="3060" s="105" customFormat="1" spans="9:12">
      <c r="I3060" s="225"/>
      <c r="K3060" s="9"/>
      <c r="L3060" s="9"/>
    </row>
    <row r="3061" s="105" customFormat="1" spans="9:12">
      <c r="I3061" s="225"/>
      <c r="K3061" s="9"/>
      <c r="L3061" s="9"/>
    </row>
    <row r="3062" s="105" customFormat="1" spans="9:12">
      <c r="I3062" s="225"/>
      <c r="K3062" s="9"/>
      <c r="L3062" s="9"/>
    </row>
    <row r="3063" s="105" customFormat="1" spans="9:12">
      <c r="I3063" s="225"/>
      <c r="K3063" s="9"/>
      <c r="L3063" s="9"/>
    </row>
    <row r="3064" s="105" customFormat="1" spans="9:12">
      <c r="I3064" s="225"/>
      <c r="K3064" s="9"/>
      <c r="L3064" s="9"/>
    </row>
    <row r="3065" s="105" customFormat="1" spans="9:12">
      <c r="I3065" s="225"/>
      <c r="K3065" s="9"/>
      <c r="L3065" s="9"/>
    </row>
    <row r="3066" s="105" customFormat="1" spans="9:12">
      <c r="I3066" s="225"/>
      <c r="K3066" s="9"/>
      <c r="L3066" s="9"/>
    </row>
    <row r="3067" s="105" customFormat="1" spans="9:12">
      <c r="I3067" s="225"/>
      <c r="K3067" s="9"/>
      <c r="L3067" s="9"/>
    </row>
    <row r="3068" s="105" customFormat="1" spans="9:12">
      <c r="I3068" s="225"/>
      <c r="K3068" s="9"/>
      <c r="L3068" s="9"/>
    </row>
    <row r="3069" s="105" customFormat="1" spans="9:12">
      <c r="I3069" s="225"/>
      <c r="K3069" s="9"/>
      <c r="L3069" s="9"/>
    </row>
    <row r="3070" s="105" customFormat="1" spans="9:12">
      <c r="I3070" s="225"/>
      <c r="K3070" s="9"/>
      <c r="L3070" s="9"/>
    </row>
    <row r="3071" s="105" customFormat="1" spans="9:12">
      <c r="I3071" s="225"/>
      <c r="K3071" s="9"/>
      <c r="L3071" s="9"/>
    </row>
    <row r="3072" s="105" customFormat="1" spans="9:12">
      <c r="I3072" s="225"/>
      <c r="K3072" s="9"/>
      <c r="L3072" s="9"/>
    </row>
    <row r="3073" s="105" customFormat="1" spans="9:12">
      <c r="I3073" s="225"/>
      <c r="K3073" s="9"/>
      <c r="L3073" s="9"/>
    </row>
    <row r="3074" s="105" customFormat="1" spans="9:12">
      <c r="I3074" s="225"/>
      <c r="K3074" s="9"/>
      <c r="L3074" s="9"/>
    </row>
    <row r="3075" s="105" customFormat="1" spans="9:12">
      <c r="I3075" s="225"/>
      <c r="K3075" s="9"/>
      <c r="L3075" s="9"/>
    </row>
    <row r="3076" s="105" customFormat="1" spans="9:12">
      <c r="I3076" s="225"/>
      <c r="K3076" s="9"/>
      <c r="L3076" s="9"/>
    </row>
    <row r="3077" s="105" customFormat="1" spans="9:12">
      <c r="I3077" s="225"/>
      <c r="K3077" s="9"/>
      <c r="L3077" s="9"/>
    </row>
    <row r="3078" s="105" customFormat="1" spans="9:12">
      <c r="I3078" s="225"/>
      <c r="K3078" s="9"/>
      <c r="L3078" s="9"/>
    </row>
    <row r="3079" s="105" customFormat="1" spans="9:12">
      <c r="I3079" s="225"/>
      <c r="K3079" s="9"/>
      <c r="L3079" s="9"/>
    </row>
    <row r="3080" s="105" customFormat="1" spans="9:12">
      <c r="I3080" s="225"/>
      <c r="K3080" s="9"/>
      <c r="L3080" s="9"/>
    </row>
    <row r="3081" s="105" customFormat="1" spans="9:12">
      <c r="I3081" s="225"/>
      <c r="K3081" s="9"/>
      <c r="L3081" s="9"/>
    </row>
    <row r="3082" s="105" customFormat="1" spans="9:12">
      <c r="I3082" s="225"/>
      <c r="K3082" s="9"/>
      <c r="L3082" s="9"/>
    </row>
    <row r="3083" s="105" customFormat="1" spans="9:12">
      <c r="I3083" s="225"/>
      <c r="K3083" s="9"/>
      <c r="L3083" s="9"/>
    </row>
    <row r="3084" s="105" customFormat="1" spans="9:12">
      <c r="I3084" s="225"/>
      <c r="K3084" s="9"/>
      <c r="L3084" s="9"/>
    </row>
    <row r="3085" s="105" customFormat="1" spans="9:12">
      <c r="I3085" s="225"/>
      <c r="K3085" s="9"/>
      <c r="L3085" s="9"/>
    </row>
    <row r="3086" s="105" customFormat="1" spans="9:12">
      <c r="I3086" s="225"/>
      <c r="K3086" s="9"/>
      <c r="L3086" s="9"/>
    </row>
    <row r="3087" s="105" customFormat="1" spans="9:12">
      <c r="I3087" s="225"/>
      <c r="K3087" s="9"/>
      <c r="L3087" s="9"/>
    </row>
    <row r="3088" s="105" customFormat="1" spans="9:12">
      <c r="I3088" s="225"/>
      <c r="K3088" s="9"/>
      <c r="L3088" s="9"/>
    </row>
    <row r="3089" s="105" customFormat="1" spans="9:12">
      <c r="I3089" s="225"/>
      <c r="K3089" s="9"/>
      <c r="L3089" s="9"/>
    </row>
    <row r="3090" s="105" customFormat="1" spans="9:12">
      <c r="I3090" s="225"/>
      <c r="K3090" s="9"/>
      <c r="L3090" s="9"/>
    </row>
    <row r="3091" s="105" customFormat="1" spans="9:12">
      <c r="I3091" s="225"/>
      <c r="K3091" s="9"/>
      <c r="L3091" s="9"/>
    </row>
    <row r="3092" s="105" customFormat="1" spans="9:12">
      <c r="I3092" s="225"/>
      <c r="K3092" s="9"/>
      <c r="L3092" s="9"/>
    </row>
    <row r="3093" s="105" customFormat="1" spans="9:12">
      <c r="I3093" s="225"/>
      <c r="K3093" s="9"/>
      <c r="L3093" s="9"/>
    </row>
    <row r="3094" s="105" customFormat="1" spans="9:12">
      <c r="I3094" s="225"/>
      <c r="K3094" s="9"/>
      <c r="L3094" s="9"/>
    </row>
    <row r="3095" s="105" customFormat="1" spans="9:12">
      <c r="I3095" s="225"/>
      <c r="K3095" s="9"/>
      <c r="L3095" s="9"/>
    </row>
    <row r="3096" s="105" customFormat="1" spans="9:12">
      <c r="I3096" s="225"/>
      <c r="K3096" s="9"/>
      <c r="L3096" s="9"/>
    </row>
    <row r="3097" s="105" customFormat="1" spans="9:12">
      <c r="I3097" s="225"/>
      <c r="K3097" s="9"/>
      <c r="L3097" s="9"/>
    </row>
    <row r="3098" s="105" customFormat="1" spans="9:12">
      <c r="I3098" s="225"/>
      <c r="K3098" s="9"/>
      <c r="L3098" s="9"/>
    </row>
    <row r="3099" s="105" customFormat="1" spans="9:12">
      <c r="I3099" s="225"/>
      <c r="K3099" s="9"/>
      <c r="L3099" s="9"/>
    </row>
    <row r="3100" s="105" customFormat="1" spans="9:12">
      <c r="I3100" s="225"/>
      <c r="K3100" s="9"/>
      <c r="L3100" s="9"/>
    </row>
    <row r="3101" s="105" customFormat="1" spans="9:12">
      <c r="I3101" s="225"/>
      <c r="K3101" s="9"/>
      <c r="L3101" s="9"/>
    </row>
    <row r="3102" s="105" customFormat="1" spans="9:12">
      <c r="I3102" s="225"/>
      <c r="K3102" s="9"/>
      <c r="L3102" s="9"/>
    </row>
    <row r="3103" s="105" customFormat="1" spans="9:12">
      <c r="I3103" s="225"/>
      <c r="K3103" s="9"/>
      <c r="L3103" s="9"/>
    </row>
    <row r="3104" s="105" customFormat="1" spans="9:12">
      <c r="I3104" s="225"/>
      <c r="K3104" s="9"/>
      <c r="L3104" s="9"/>
    </row>
    <row r="3105" s="105" customFormat="1" spans="9:12">
      <c r="I3105" s="225"/>
      <c r="K3105" s="9"/>
      <c r="L3105" s="9"/>
    </row>
    <row r="3106" s="105" customFormat="1" spans="9:12">
      <c r="I3106" s="225"/>
      <c r="K3106" s="9"/>
      <c r="L3106" s="9"/>
    </row>
    <row r="3107" s="105" customFormat="1" spans="9:12">
      <c r="I3107" s="225"/>
      <c r="K3107" s="9"/>
      <c r="L3107" s="9"/>
    </row>
    <row r="3108" s="105" customFormat="1" spans="9:12">
      <c r="I3108" s="225"/>
      <c r="K3108" s="9"/>
      <c r="L3108" s="9"/>
    </row>
    <row r="3109" s="105" customFormat="1" spans="9:12">
      <c r="I3109" s="225"/>
      <c r="K3109" s="9"/>
      <c r="L3109" s="9"/>
    </row>
    <row r="3110" s="105" customFormat="1" spans="9:12">
      <c r="I3110" s="225"/>
      <c r="K3110" s="9"/>
      <c r="L3110" s="9"/>
    </row>
    <row r="3111" s="105" customFormat="1" spans="9:12">
      <c r="I3111" s="225"/>
      <c r="K3111" s="9"/>
      <c r="L3111" s="9"/>
    </row>
    <row r="3112" s="105" customFormat="1" spans="9:12">
      <c r="I3112" s="225"/>
      <c r="K3112" s="9"/>
      <c r="L3112" s="9"/>
    </row>
    <row r="3113" s="105" customFormat="1" spans="9:12">
      <c r="I3113" s="225"/>
      <c r="K3113" s="9"/>
      <c r="L3113" s="9"/>
    </row>
    <row r="3114" s="105" customFormat="1" spans="9:12">
      <c r="I3114" s="225"/>
      <c r="K3114" s="9"/>
      <c r="L3114" s="9"/>
    </row>
    <row r="3115" s="105" customFormat="1" spans="9:12">
      <c r="I3115" s="225"/>
      <c r="K3115" s="9"/>
      <c r="L3115" s="9"/>
    </row>
    <row r="3116" s="105" customFormat="1" spans="9:12">
      <c r="I3116" s="225"/>
      <c r="K3116" s="9"/>
      <c r="L3116" s="9"/>
    </row>
    <row r="3117" s="105" customFormat="1" spans="9:12">
      <c r="I3117" s="225"/>
      <c r="K3117" s="9"/>
      <c r="L3117" s="9"/>
    </row>
    <row r="3118" s="105" customFormat="1" spans="9:12">
      <c r="I3118" s="225"/>
      <c r="K3118" s="9"/>
      <c r="L3118" s="9"/>
    </row>
    <row r="3119" s="105" customFormat="1" spans="9:12">
      <c r="I3119" s="225"/>
      <c r="K3119" s="9"/>
      <c r="L3119" s="9"/>
    </row>
    <row r="3120" s="105" customFormat="1" spans="9:12">
      <c r="I3120" s="225"/>
      <c r="K3120" s="9"/>
      <c r="L3120" s="9"/>
    </row>
    <row r="3121" s="105" customFormat="1" spans="9:12">
      <c r="I3121" s="225"/>
      <c r="K3121" s="9"/>
      <c r="L3121" s="9"/>
    </row>
    <row r="3122" s="105" customFormat="1" spans="9:12">
      <c r="I3122" s="225"/>
      <c r="K3122" s="9"/>
      <c r="L3122" s="9"/>
    </row>
    <row r="3123" s="105" customFormat="1" spans="9:12">
      <c r="I3123" s="225"/>
      <c r="K3123" s="9"/>
      <c r="L3123" s="9"/>
    </row>
    <row r="3124" s="105" customFormat="1" spans="9:12">
      <c r="I3124" s="225"/>
      <c r="K3124" s="9"/>
      <c r="L3124" s="9"/>
    </row>
    <row r="3125" s="105" customFormat="1" spans="9:12">
      <c r="I3125" s="225"/>
      <c r="K3125" s="9"/>
      <c r="L3125" s="9"/>
    </row>
    <row r="3126" s="105" customFormat="1" spans="9:12">
      <c r="I3126" s="225"/>
      <c r="K3126" s="9"/>
      <c r="L3126" s="9"/>
    </row>
    <row r="3127" s="105" customFormat="1" spans="9:12">
      <c r="I3127" s="225"/>
      <c r="K3127" s="9"/>
      <c r="L3127" s="9"/>
    </row>
    <row r="3128" s="105" customFormat="1" spans="9:12">
      <c r="I3128" s="225"/>
      <c r="K3128" s="9"/>
      <c r="L3128" s="9"/>
    </row>
    <row r="3129" s="105" customFormat="1" spans="9:12">
      <c r="I3129" s="225"/>
      <c r="K3129" s="9"/>
      <c r="L3129" s="9"/>
    </row>
    <row r="3130" s="105" customFormat="1" spans="9:12">
      <c r="I3130" s="225"/>
      <c r="K3130" s="9"/>
      <c r="L3130" s="9"/>
    </row>
    <row r="3131" s="105" customFormat="1" spans="9:12">
      <c r="I3131" s="225"/>
      <c r="K3131" s="9"/>
      <c r="L3131" s="9"/>
    </row>
    <row r="3132" s="105" customFormat="1" spans="9:12">
      <c r="I3132" s="225"/>
      <c r="K3132" s="9"/>
      <c r="L3132" s="9"/>
    </row>
    <row r="3133" s="105" customFormat="1" spans="9:12">
      <c r="I3133" s="225"/>
      <c r="K3133" s="9"/>
      <c r="L3133" s="9"/>
    </row>
    <row r="3134" s="105" customFormat="1" spans="9:12">
      <c r="I3134" s="225"/>
      <c r="K3134" s="9"/>
      <c r="L3134" s="9"/>
    </row>
    <row r="3135" s="105" customFormat="1" spans="9:12">
      <c r="I3135" s="225"/>
      <c r="K3135" s="9"/>
      <c r="L3135" s="9"/>
    </row>
    <row r="3136" s="105" customFormat="1" spans="9:12">
      <c r="I3136" s="225"/>
      <c r="K3136" s="9"/>
      <c r="L3136" s="9"/>
    </row>
    <row r="3137" s="105" customFormat="1" spans="9:12">
      <c r="I3137" s="225"/>
      <c r="K3137" s="9"/>
      <c r="L3137" s="9"/>
    </row>
    <row r="3138" s="105" customFormat="1" spans="9:12">
      <c r="I3138" s="225"/>
      <c r="K3138" s="9"/>
      <c r="L3138" s="9"/>
    </row>
    <row r="3139" s="105" customFormat="1" spans="9:12">
      <c r="I3139" s="225"/>
      <c r="K3139" s="9"/>
      <c r="L3139" s="9"/>
    </row>
    <row r="3140" s="105" customFormat="1" spans="9:12">
      <c r="I3140" s="225"/>
      <c r="K3140" s="9"/>
      <c r="L3140" s="9"/>
    </row>
    <row r="3141" s="105" customFormat="1" spans="9:12">
      <c r="I3141" s="225"/>
      <c r="K3141" s="9"/>
      <c r="L3141" s="9"/>
    </row>
    <row r="3142" s="105" customFormat="1" spans="9:12">
      <c r="I3142" s="225"/>
      <c r="K3142" s="9"/>
      <c r="L3142" s="9"/>
    </row>
    <row r="3143" s="105" customFormat="1" spans="9:12">
      <c r="I3143" s="225"/>
      <c r="K3143" s="9"/>
      <c r="L3143" s="9"/>
    </row>
    <row r="3144" s="105" customFormat="1" spans="9:12">
      <c r="I3144" s="225"/>
      <c r="K3144" s="9"/>
      <c r="L3144" s="9"/>
    </row>
    <row r="3145" s="105" customFormat="1" spans="9:12">
      <c r="I3145" s="225"/>
      <c r="K3145" s="9"/>
      <c r="L3145" s="9"/>
    </row>
    <row r="3146" s="105" customFormat="1" spans="9:12">
      <c r="I3146" s="225"/>
      <c r="K3146" s="9"/>
      <c r="L3146" s="9"/>
    </row>
    <row r="3147" s="105" customFormat="1" spans="9:12">
      <c r="I3147" s="225"/>
      <c r="K3147" s="9"/>
      <c r="L3147" s="9"/>
    </row>
    <row r="3148" s="105" customFormat="1" spans="9:12">
      <c r="I3148" s="225"/>
      <c r="K3148" s="9"/>
      <c r="L3148" s="9"/>
    </row>
    <row r="3149" s="105" customFormat="1" spans="9:12">
      <c r="I3149" s="225"/>
      <c r="K3149" s="9"/>
      <c r="L3149" s="9"/>
    </row>
    <row r="3150" s="105" customFormat="1" spans="9:12">
      <c r="I3150" s="225"/>
      <c r="K3150" s="9"/>
      <c r="L3150" s="9"/>
    </row>
    <row r="3151" s="105" customFormat="1" spans="9:12">
      <c r="I3151" s="225"/>
      <c r="K3151" s="9"/>
      <c r="L3151" s="9"/>
    </row>
    <row r="3152" s="105" customFormat="1" spans="9:12">
      <c r="I3152" s="225"/>
      <c r="K3152" s="9"/>
      <c r="L3152" s="9"/>
    </row>
    <row r="3153" s="105" customFormat="1" spans="9:12">
      <c r="I3153" s="225"/>
      <c r="K3153" s="9"/>
      <c r="L3153" s="9"/>
    </row>
    <row r="3154" s="105" customFormat="1" spans="9:12">
      <c r="I3154" s="225"/>
      <c r="K3154" s="9"/>
      <c r="L3154" s="9"/>
    </row>
    <row r="3155" s="105" customFormat="1" spans="9:12">
      <c r="I3155" s="225"/>
      <c r="K3155" s="9"/>
      <c r="L3155" s="9"/>
    </row>
    <row r="3156" s="105" customFormat="1" spans="9:12">
      <c r="I3156" s="225"/>
      <c r="K3156" s="9"/>
      <c r="L3156" s="9"/>
    </row>
    <row r="3157" s="105" customFormat="1" spans="9:12">
      <c r="I3157" s="225"/>
      <c r="K3157" s="9"/>
      <c r="L3157" s="9"/>
    </row>
    <row r="3158" s="105" customFormat="1" spans="9:12">
      <c r="I3158" s="225"/>
      <c r="K3158" s="9"/>
      <c r="L3158" s="9"/>
    </row>
    <row r="3159" s="105" customFormat="1" spans="9:12">
      <c r="I3159" s="225"/>
      <c r="K3159" s="9"/>
      <c r="L3159" s="9"/>
    </row>
    <row r="3160" s="105" customFormat="1" spans="9:12">
      <c r="I3160" s="225"/>
      <c r="K3160" s="9"/>
      <c r="L3160" s="9"/>
    </row>
    <row r="3161" s="105" customFormat="1" spans="9:12">
      <c r="I3161" s="225"/>
      <c r="K3161" s="9"/>
      <c r="L3161" s="9"/>
    </row>
    <row r="3162" s="105" customFormat="1" spans="9:12">
      <c r="I3162" s="225"/>
      <c r="K3162" s="9"/>
      <c r="L3162" s="9"/>
    </row>
    <row r="3163" s="105" customFormat="1" spans="9:12">
      <c r="I3163" s="225"/>
      <c r="K3163" s="9"/>
      <c r="L3163" s="9"/>
    </row>
    <row r="3164" s="105" customFormat="1" spans="9:12">
      <c r="I3164" s="225"/>
      <c r="K3164" s="9"/>
      <c r="L3164" s="9"/>
    </row>
    <row r="3165" s="105" customFormat="1" spans="9:12">
      <c r="I3165" s="225"/>
      <c r="K3165" s="9"/>
      <c r="L3165" s="9"/>
    </row>
    <row r="3166" s="105" customFormat="1" spans="9:12">
      <c r="I3166" s="225"/>
      <c r="K3166" s="9"/>
      <c r="L3166" s="9"/>
    </row>
    <row r="3167" s="105" customFormat="1" spans="9:12">
      <c r="I3167" s="225"/>
      <c r="K3167" s="9"/>
      <c r="L3167" s="9"/>
    </row>
    <row r="3168" s="105" customFormat="1" spans="9:12">
      <c r="I3168" s="225"/>
      <c r="K3168" s="9"/>
      <c r="L3168" s="9"/>
    </row>
    <row r="3169" s="105" customFormat="1" spans="9:12">
      <c r="I3169" s="225"/>
      <c r="K3169" s="9"/>
      <c r="L3169" s="9"/>
    </row>
    <row r="3170" s="105" customFormat="1" spans="9:12">
      <c r="I3170" s="225"/>
      <c r="K3170" s="9"/>
      <c r="L3170" s="9"/>
    </row>
    <row r="3171" s="105" customFormat="1" spans="9:12">
      <c r="I3171" s="225"/>
      <c r="K3171" s="9"/>
      <c r="L3171" s="9"/>
    </row>
    <row r="3172" s="105" customFormat="1" spans="9:12">
      <c r="I3172" s="225"/>
      <c r="K3172" s="9"/>
      <c r="L3172" s="9"/>
    </row>
    <row r="3173" s="105" customFormat="1" spans="9:12">
      <c r="I3173" s="225"/>
      <c r="K3173" s="9"/>
      <c r="L3173" s="9"/>
    </row>
    <row r="3174" s="105" customFormat="1" spans="9:12">
      <c r="I3174" s="225"/>
      <c r="K3174" s="9"/>
      <c r="L3174" s="9"/>
    </row>
    <row r="3175" s="105" customFormat="1" spans="9:12">
      <c r="I3175" s="225"/>
      <c r="K3175" s="9"/>
      <c r="L3175" s="9"/>
    </row>
    <row r="3176" s="105" customFormat="1" spans="9:12">
      <c r="I3176" s="225"/>
      <c r="K3176" s="9"/>
      <c r="L3176" s="9"/>
    </row>
    <row r="3177" s="105" customFormat="1" spans="9:12">
      <c r="I3177" s="225"/>
      <c r="K3177" s="9"/>
      <c r="L3177" s="9"/>
    </row>
    <row r="3178" s="105" customFormat="1" spans="9:12">
      <c r="I3178" s="225"/>
      <c r="K3178" s="9"/>
      <c r="L3178" s="9"/>
    </row>
    <row r="3179" s="105" customFormat="1" spans="9:12">
      <c r="I3179" s="225"/>
      <c r="K3179" s="9"/>
      <c r="L3179" s="9"/>
    </row>
    <row r="3180" s="105" customFormat="1" spans="9:12">
      <c r="I3180" s="225"/>
      <c r="K3180" s="9"/>
      <c r="L3180" s="9"/>
    </row>
    <row r="3181" s="105" customFormat="1" spans="9:12">
      <c r="I3181" s="225"/>
      <c r="K3181" s="9"/>
      <c r="L3181" s="9"/>
    </row>
    <row r="3182" s="105" customFormat="1" spans="9:12">
      <c r="I3182" s="225"/>
      <c r="K3182" s="9"/>
      <c r="L3182" s="9"/>
    </row>
    <row r="3183" s="105" customFormat="1" spans="9:12">
      <c r="I3183" s="225"/>
      <c r="K3183" s="9"/>
      <c r="L3183" s="9"/>
    </row>
    <row r="3184" s="105" customFormat="1" spans="9:12">
      <c r="I3184" s="225"/>
      <c r="K3184" s="9"/>
      <c r="L3184" s="9"/>
    </row>
    <row r="3185" s="105" customFormat="1" spans="9:12">
      <c r="I3185" s="225"/>
      <c r="K3185" s="9"/>
      <c r="L3185" s="9"/>
    </row>
    <row r="3186" s="105" customFormat="1" spans="9:12">
      <c r="I3186" s="225"/>
      <c r="K3186" s="9"/>
      <c r="L3186" s="9"/>
    </row>
    <row r="3187" s="105" customFormat="1" spans="9:12">
      <c r="I3187" s="225"/>
      <c r="K3187" s="9"/>
      <c r="L3187" s="9"/>
    </row>
    <row r="3188" s="105" customFormat="1" spans="9:12">
      <c r="I3188" s="225"/>
      <c r="K3188" s="9"/>
      <c r="L3188" s="9"/>
    </row>
    <row r="3189" s="105" customFormat="1" spans="9:12">
      <c r="I3189" s="225"/>
      <c r="K3189" s="9"/>
      <c r="L3189" s="9"/>
    </row>
    <row r="3190" s="105" customFormat="1" spans="9:12">
      <c r="I3190" s="225"/>
      <c r="K3190" s="9"/>
      <c r="L3190" s="9"/>
    </row>
    <row r="3191" s="105" customFormat="1" spans="9:12">
      <c r="I3191" s="225"/>
      <c r="K3191" s="9"/>
      <c r="L3191" s="9"/>
    </row>
    <row r="3192" s="105" customFormat="1" spans="9:12">
      <c r="I3192" s="225"/>
      <c r="K3192" s="9"/>
      <c r="L3192" s="9"/>
    </row>
    <row r="3193" s="105" customFormat="1" spans="9:12">
      <c r="I3193" s="225"/>
      <c r="K3193" s="9"/>
      <c r="L3193" s="9"/>
    </row>
    <row r="3194" s="105" customFormat="1" spans="9:12">
      <c r="I3194" s="225"/>
      <c r="K3194" s="9"/>
      <c r="L3194" s="9"/>
    </row>
    <row r="3195" s="105" customFormat="1" spans="9:12">
      <c r="I3195" s="225"/>
      <c r="K3195" s="9"/>
      <c r="L3195" s="9"/>
    </row>
    <row r="3196" s="105" customFormat="1" spans="9:12">
      <c r="I3196" s="225"/>
      <c r="K3196" s="9"/>
      <c r="L3196" s="9"/>
    </row>
    <row r="3197" s="105" customFormat="1" spans="9:12">
      <c r="I3197" s="225"/>
      <c r="K3197" s="9"/>
      <c r="L3197" s="9"/>
    </row>
    <row r="3198" s="105" customFormat="1" spans="9:12">
      <c r="I3198" s="225"/>
      <c r="K3198" s="9"/>
      <c r="L3198" s="9"/>
    </row>
    <row r="3199" s="105" customFormat="1" spans="9:12">
      <c r="I3199" s="225"/>
      <c r="K3199" s="9"/>
      <c r="L3199" s="9"/>
    </row>
    <row r="3200" s="105" customFormat="1" spans="9:12">
      <c r="I3200" s="225"/>
      <c r="K3200" s="9"/>
      <c r="L3200" s="9"/>
    </row>
    <row r="3201" s="105" customFormat="1" spans="9:12">
      <c r="I3201" s="225"/>
      <c r="K3201" s="9"/>
      <c r="L3201" s="9"/>
    </row>
    <row r="3202" s="105" customFormat="1" spans="9:12">
      <c r="I3202" s="225"/>
      <c r="K3202" s="9"/>
      <c r="L3202" s="9"/>
    </row>
    <row r="3203" s="105" customFormat="1" spans="9:12">
      <c r="I3203" s="225"/>
      <c r="K3203" s="9"/>
      <c r="L3203" s="9"/>
    </row>
    <row r="3204" s="105" customFormat="1" spans="9:12">
      <c r="I3204" s="225"/>
      <c r="K3204" s="9"/>
      <c r="L3204" s="9"/>
    </row>
    <row r="3205" s="105" customFormat="1" spans="9:12">
      <c r="I3205" s="225"/>
      <c r="K3205" s="9"/>
      <c r="L3205" s="9"/>
    </row>
    <row r="3206" s="105" customFormat="1" spans="9:12">
      <c r="I3206" s="225"/>
      <c r="K3206" s="9"/>
      <c r="L3206" s="9"/>
    </row>
    <row r="3207" s="105" customFormat="1" spans="9:12">
      <c r="I3207" s="225"/>
      <c r="K3207" s="9"/>
      <c r="L3207" s="9"/>
    </row>
    <row r="3208" s="105" customFormat="1" spans="9:12">
      <c r="I3208" s="225"/>
      <c r="K3208" s="9"/>
      <c r="L3208" s="9"/>
    </row>
    <row r="3209" s="105" customFormat="1" spans="9:12">
      <c r="I3209" s="225"/>
      <c r="K3209" s="9"/>
      <c r="L3209" s="9"/>
    </row>
    <row r="3210" s="105" customFormat="1" spans="9:12">
      <c r="I3210" s="225"/>
      <c r="K3210" s="9"/>
      <c r="L3210" s="9"/>
    </row>
    <row r="3211" s="105" customFormat="1" spans="9:12">
      <c r="I3211" s="225"/>
      <c r="K3211" s="9"/>
      <c r="L3211" s="9"/>
    </row>
    <row r="3212" s="105" customFormat="1" spans="9:12">
      <c r="I3212" s="225"/>
      <c r="K3212" s="9"/>
      <c r="L3212" s="9"/>
    </row>
    <row r="3213" s="105" customFormat="1" spans="9:12">
      <c r="I3213" s="225"/>
      <c r="K3213" s="9"/>
      <c r="L3213" s="9"/>
    </row>
    <row r="3214" s="105" customFormat="1" spans="9:12">
      <c r="I3214" s="225"/>
      <c r="K3214" s="9"/>
      <c r="L3214" s="9"/>
    </row>
    <row r="3215" s="105" customFormat="1" spans="9:12">
      <c r="I3215" s="225"/>
      <c r="K3215" s="9"/>
      <c r="L3215" s="9"/>
    </row>
    <row r="3216" s="105" customFormat="1" spans="9:12">
      <c r="I3216" s="225"/>
      <c r="K3216" s="9"/>
      <c r="L3216" s="9"/>
    </row>
    <row r="3217" s="105" customFormat="1" spans="9:12">
      <c r="I3217" s="225"/>
      <c r="K3217" s="9"/>
      <c r="L3217" s="9"/>
    </row>
    <row r="3218" s="105" customFormat="1" spans="9:12">
      <c r="I3218" s="225"/>
      <c r="K3218" s="9"/>
      <c r="L3218" s="9"/>
    </row>
    <row r="3219" s="105" customFormat="1" spans="9:12">
      <c r="I3219" s="225"/>
      <c r="K3219" s="9"/>
      <c r="L3219" s="9"/>
    </row>
    <row r="3220" s="105" customFormat="1" spans="9:12">
      <c r="I3220" s="225"/>
      <c r="K3220" s="9"/>
      <c r="L3220" s="9"/>
    </row>
    <row r="3221" s="105" customFormat="1" spans="9:12">
      <c r="I3221" s="225"/>
      <c r="K3221" s="9"/>
      <c r="L3221" s="9"/>
    </row>
    <row r="3222" s="105" customFormat="1" spans="9:12">
      <c r="I3222" s="225"/>
      <c r="K3222" s="9"/>
      <c r="L3222" s="9"/>
    </row>
    <row r="3223" s="105" customFormat="1" spans="9:12">
      <c r="I3223" s="225"/>
      <c r="K3223" s="9"/>
      <c r="L3223" s="9"/>
    </row>
    <row r="3224" s="105" customFormat="1" spans="9:12">
      <c r="I3224" s="225"/>
      <c r="K3224" s="9"/>
      <c r="L3224" s="9"/>
    </row>
    <row r="3225" s="105" customFormat="1" spans="9:12">
      <c r="I3225" s="225"/>
      <c r="K3225" s="9"/>
      <c r="L3225" s="9"/>
    </row>
    <row r="3226" s="105" customFormat="1" spans="9:12">
      <c r="I3226" s="225"/>
      <c r="K3226" s="9"/>
      <c r="L3226" s="9"/>
    </row>
    <row r="3227" s="105" customFormat="1" spans="9:12">
      <c r="I3227" s="225"/>
      <c r="K3227" s="9"/>
      <c r="L3227" s="9"/>
    </row>
    <row r="3228" s="105" customFormat="1" spans="9:12">
      <c r="I3228" s="225"/>
      <c r="K3228" s="9"/>
      <c r="L3228" s="9"/>
    </row>
    <row r="3229" s="105" customFormat="1" spans="9:12">
      <c r="I3229" s="225"/>
      <c r="K3229" s="9"/>
      <c r="L3229" s="9"/>
    </row>
    <row r="3230" s="105" customFormat="1" spans="9:12">
      <c r="I3230" s="225"/>
      <c r="K3230" s="9"/>
      <c r="L3230" s="9"/>
    </row>
    <row r="3231" s="105" customFormat="1" spans="9:12">
      <c r="I3231" s="225"/>
      <c r="K3231" s="9"/>
      <c r="L3231" s="9"/>
    </row>
    <row r="3232" s="105" customFormat="1" spans="9:12">
      <c r="I3232" s="225"/>
      <c r="K3232" s="9"/>
      <c r="L3232" s="9"/>
    </row>
    <row r="3233" s="105" customFormat="1" spans="9:12">
      <c r="I3233" s="225"/>
      <c r="K3233" s="9"/>
      <c r="L3233" s="9"/>
    </row>
    <row r="3234" s="105" customFormat="1" spans="9:12">
      <c r="I3234" s="225"/>
      <c r="K3234" s="9"/>
      <c r="L3234" s="9"/>
    </row>
    <row r="3235" s="105" customFormat="1" spans="9:12">
      <c r="I3235" s="225"/>
      <c r="K3235" s="9"/>
      <c r="L3235" s="9"/>
    </row>
    <row r="3236" s="105" customFormat="1" spans="9:12">
      <c r="I3236" s="225"/>
      <c r="K3236" s="9"/>
      <c r="L3236" s="9"/>
    </row>
    <row r="3237" s="105" customFormat="1" spans="9:12">
      <c r="I3237" s="225"/>
      <c r="K3237" s="9"/>
      <c r="L3237" s="9"/>
    </row>
    <row r="3238" s="105" customFormat="1" spans="9:12">
      <c r="I3238" s="225"/>
      <c r="K3238" s="9"/>
      <c r="L3238" s="9"/>
    </row>
    <row r="3239" s="105" customFormat="1" spans="9:12">
      <c r="I3239" s="225"/>
      <c r="K3239" s="9"/>
      <c r="L3239" s="9"/>
    </row>
    <row r="3240" s="105" customFormat="1" spans="9:12">
      <c r="I3240" s="225"/>
      <c r="K3240" s="9"/>
      <c r="L3240" s="9"/>
    </row>
    <row r="3241" s="105" customFormat="1" spans="9:12">
      <c r="I3241" s="225"/>
      <c r="K3241" s="9"/>
      <c r="L3241" s="9"/>
    </row>
    <row r="3242" s="105" customFormat="1" spans="9:12">
      <c r="I3242" s="225"/>
      <c r="K3242" s="9"/>
      <c r="L3242" s="9"/>
    </row>
    <row r="3243" s="105" customFormat="1" spans="9:12">
      <c r="I3243" s="225"/>
      <c r="K3243" s="9"/>
      <c r="L3243" s="9"/>
    </row>
    <row r="3244" s="105" customFormat="1" spans="9:12">
      <c r="I3244" s="225"/>
      <c r="K3244" s="9"/>
      <c r="L3244" s="9"/>
    </row>
    <row r="3245" s="105" customFormat="1" spans="9:12">
      <c r="I3245" s="225"/>
      <c r="K3245" s="9"/>
      <c r="L3245" s="9"/>
    </row>
    <row r="3246" s="105" customFormat="1" spans="9:12">
      <c r="I3246" s="225"/>
      <c r="K3246" s="9"/>
      <c r="L3246" s="9"/>
    </row>
    <row r="3247" s="105" customFormat="1" spans="9:12">
      <c r="I3247" s="225"/>
      <c r="K3247" s="9"/>
      <c r="L3247" s="9"/>
    </row>
    <row r="3248" s="105" customFormat="1" spans="9:12">
      <c r="I3248" s="225"/>
      <c r="K3248" s="9"/>
      <c r="L3248" s="9"/>
    </row>
    <row r="3249" s="105" customFormat="1" spans="9:12">
      <c r="I3249" s="225"/>
      <c r="K3249" s="9"/>
      <c r="L3249" s="9"/>
    </row>
    <row r="3250" s="105" customFormat="1" spans="9:12">
      <c r="I3250" s="225"/>
      <c r="K3250" s="9"/>
      <c r="L3250" s="9"/>
    </row>
    <row r="3251" s="105" customFormat="1" spans="9:12">
      <c r="I3251" s="225"/>
      <c r="K3251" s="9"/>
      <c r="L3251" s="9"/>
    </row>
    <row r="3252" s="105" customFormat="1" spans="9:12">
      <c r="I3252" s="225"/>
      <c r="K3252" s="9"/>
      <c r="L3252" s="9"/>
    </row>
    <row r="3253" s="105" customFormat="1" spans="9:12">
      <c r="I3253" s="225"/>
      <c r="K3253" s="9"/>
      <c r="L3253" s="9"/>
    </row>
    <row r="3254" s="105" customFormat="1" spans="9:12">
      <c r="I3254" s="225"/>
      <c r="K3254" s="9"/>
      <c r="L3254" s="9"/>
    </row>
    <row r="3255" s="105" customFormat="1" spans="9:12">
      <c r="I3255" s="225"/>
      <c r="K3255" s="9"/>
      <c r="L3255" s="9"/>
    </row>
    <row r="3256" s="105" customFormat="1" spans="9:12">
      <c r="I3256" s="225"/>
      <c r="K3256" s="9"/>
      <c r="L3256" s="9"/>
    </row>
    <row r="3257" s="105" customFormat="1" spans="9:12">
      <c r="I3257" s="225"/>
      <c r="K3257" s="9"/>
      <c r="L3257" s="9"/>
    </row>
    <row r="3258" s="105" customFormat="1" spans="9:12">
      <c r="I3258" s="225"/>
      <c r="K3258" s="9"/>
      <c r="L3258" s="9"/>
    </row>
    <row r="3259" s="105" customFormat="1" spans="9:12">
      <c r="I3259" s="225"/>
      <c r="K3259" s="9"/>
      <c r="L3259" s="9"/>
    </row>
    <row r="3260" s="105" customFormat="1" spans="9:12">
      <c r="I3260" s="225"/>
      <c r="K3260" s="9"/>
      <c r="L3260" s="9"/>
    </row>
    <row r="3261" s="105" customFormat="1" spans="9:12">
      <c r="I3261" s="225"/>
      <c r="K3261" s="9"/>
      <c r="L3261" s="9"/>
    </row>
    <row r="3262" s="105" customFormat="1" spans="9:12">
      <c r="I3262" s="225"/>
      <c r="K3262" s="9"/>
      <c r="L3262" s="9"/>
    </row>
    <row r="3263" s="105" customFormat="1" spans="9:12">
      <c r="I3263" s="225"/>
      <c r="K3263" s="9"/>
      <c r="L3263" s="9"/>
    </row>
    <row r="3264" s="105" customFormat="1" spans="9:12">
      <c r="I3264" s="225"/>
      <c r="K3264" s="9"/>
      <c r="L3264" s="9"/>
    </row>
    <row r="3265" s="105" customFormat="1" spans="9:12">
      <c r="I3265" s="225"/>
      <c r="K3265" s="9"/>
      <c r="L3265" s="9"/>
    </row>
    <row r="3266" s="105" customFormat="1" spans="9:12">
      <c r="I3266" s="225"/>
      <c r="K3266" s="9"/>
      <c r="L3266" s="9"/>
    </row>
    <row r="3267" s="105" customFormat="1" spans="9:12">
      <c r="I3267" s="225"/>
      <c r="K3267" s="9"/>
      <c r="L3267" s="9"/>
    </row>
    <row r="3268" s="105" customFormat="1" spans="9:12">
      <c r="I3268" s="225"/>
      <c r="K3268" s="9"/>
      <c r="L3268" s="9"/>
    </row>
    <row r="3269" s="105" customFormat="1" spans="9:12">
      <c r="I3269" s="225"/>
      <c r="K3269" s="9"/>
      <c r="L3269" s="9"/>
    </row>
    <row r="3270" s="105" customFormat="1" spans="9:12">
      <c r="I3270" s="225"/>
      <c r="K3270" s="9"/>
      <c r="L3270" s="9"/>
    </row>
    <row r="3271" s="105" customFormat="1" spans="9:12">
      <c r="I3271" s="225"/>
      <c r="K3271" s="9"/>
      <c r="L3271" s="9"/>
    </row>
    <row r="3272" s="105" customFormat="1" spans="9:12">
      <c r="I3272" s="225"/>
      <c r="K3272" s="9"/>
      <c r="L3272" s="9"/>
    </row>
    <row r="3273" s="105" customFormat="1" spans="9:12">
      <c r="I3273" s="225"/>
      <c r="K3273" s="9"/>
      <c r="L3273" s="9"/>
    </row>
    <row r="3274" s="105" customFormat="1" spans="9:12">
      <c r="I3274" s="225"/>
      <c r="K3274" s="9"/>
      <c r="L3274" s="9"/>
    </row>
    <row r="3275" s="105" customFormat="1" spans="9:12">
      <c r="I3275" s="225"/>
      <c r="K3275" s="9"/>
      <c r="L3275" s="9"/>
    </row>
    <row r="3276" s="105" customFormat="1" spans="9:12">
      <c r="I3276" s="225"/>
      <c r="K3276" s="9"/>
      <c r="L3276" s="9"/>
    </row>
    <row r="3277" s="105" customFormat="1" spans="9:12">
      <c r="I3277" s="225"/>
      <c r="K3277" s="9"/>
      <c r="L3277" s="9"/>
    </row>
    <row r="3278" s="105" customFormat="1" spans="9:12">
      <c r="I3278" s="225"/>
      <c r="K3278" s="9"/>
      <c r="L3278" s="9"/>
    </row>
    <row r="3279" s="105" customFormat="1" spans="9:12">
      <c r="I3279" s="225"/>
      <c r="K3279" s="9"/>
      <c r="L3279" s="9"/>
    </row>
    <row r="3280" s="105" customFormat="1" spans="9:12">
      <c r="I3280" s="225"/>
      <c r="K3280" s="9"/>
      <c r="L3280" s="9"/>
    </row>
    <row r="3281" s="105" customFormat="1" spans="9:12">
      <c r="I3281" s="225"/>
      <c r="K3281" s="9"/>
      <c r="L3281" s="9"/>
    </row>
    <row r="3282" s="105" customFormat="1" spans="9:12">
      <c r="I3282" s="225"/>
      <c r="K3282" s="9"/>
      <c r="L3282" s="9"/>
    </row>
    <row r="3283" s="105" customFormat="1" spans="9:12">
      <c r="I3283" s="225"/>
      <c r="K3283" s="9"/>
      <c r="L3283" s="9"/>
    </row>
    <row r="3284" s="105" customFormat="1" spans="9:12">
      <c r="I3284" s="225"/>
      <c r="K3284" s="9"/>
      <c r="L3284" s="9"/>
    </row>
    <row r="3285" s="105" customFormat="1" spans="9:12">
      <c r="I3285" s="225"/>
      <c r="K3285" s="9"/>
      <c r="L3285" s="9"/>
    </row>
    <row r="3286" s="105" customFormat="1" spans="9:12">
      <c r="I3286" s="225"/>
      <c r="K3286" s="9"/>
      <c r="L3286" s="9"/>
    </row>
    <row r="3287" s="105" customFormat="1" spans="9:12">
      <c r="I3287" s="225"/>
      <c r="K3287" s="9"/>
      <c r="L3287" s="9"/>
    </row>
    <row r="3288" s="105" customFormat="1" spans="9:12">
      <c r="I3288" s="225"/>
      <c r="K3288" s="9"/>
      <c r="L3288" s="9"/>
    </row>
    <row r="3289" s="105" customFormat="1" spans="9:12">
      <c r="I3289" s="225"/>
      <c r="K3289" s="9"/>
      <c r="L3289" s="9"/>
    </row>
    <row r="3290" s="105" customFormat="1" spans="9:12">
      <c r="I3290" s="225"/>
      <c r="K3290" s="9"/>
      <c r="L3290" s="9"/>
    </row>
    <row r="3291" s="105" customFormat="1" spans="9:12">
      <c r="I3291" s="225"/>
      <c r="K3291" s="9"/>
      <c r="L3291" s="9"/>
    </row>
    <row r="3292" s="105" customFormat="1" spans="9:12">
      <c r="I3292" s="225"/>
      <c r="K3292" s="9"/>
      <c r="L3292" s="9"/>
    </row>
    <row r="3293" s="105" customFormat="1" spans="9:12">
      <c r="I3293" s="225"/>
      <c r="K3293" s="9"/>
      <c r="L3293" s="9"/>
    </row>
    <row r="3294" s="105" customFormat="1" spans="9:12">
      <c r="I3294" s="225"/>
      <c r="K3294" s="9"/>
      <c r="L3294" s="9"/>
    </row>
    <row r="3295" s="105" customFormat="1" spans="9:12">
      <c r="I3295" s="225"/>
      <c r="K3295" s="9"/>
      <c r="L3295" s="9"/>
    </row>
    <row r="3296" s="105" customFormat="1" spans="9:12">
      <c r="I3296" s="225"/>
      <c r="K3296" s="9"/>
      <c r="L3296" s="9"/>
    </row>
    <row r="3297" s="105" customFormat="1" spans="9:12">
      <c r="I3297" s="225"/>
      <c r="K3297" s="9"/>
      <c r="L3297" s="9"/>
    </row>
    <row r="3298" s="105" customFormat="1" spans="9:12">
      <c r="I3298" s="225"/>
      <c r="K3298" s="9"/>
      <c r="L3298" s="9"/>
    </row>
    <row r="3299" s="105" customFormat="1" spans="9:12">
      <c r="I3299" s="225"/>
      <c r="K3299" s="9"/>
      <c r="L3299" s="9"/>
    </row>
    <row r="3300" s="105" customFormat="1" spans="9:12">
      <c r="I3300" s="225"/>
      <c r="K3300" s="9"/>
      <c r="L3300" s="9"/>
    </row>
    <row r="3301" s="105" customFormat="1" spans="9:12">
      <c r="I3301" s="225"/>
      <c r="K3301" s="9"/>
      <c r="L3301" s="9"/>
    </row>
    <row r="3302" s="105" customFormat="1" spans="9:12">
      <c r="I3302" s="225"/>
      <c r="K3302" s="9"/>
      <c r="L3302" s="9"/>
    </row>
    <row r="3303" s="105" customFormat="1" spans="9:12">
      <c r="I3303" s="225"/>
      <c r="K3303" s="9"/>
      <c r="L3303" s="9"/>
    </row>
    <row r="3304" s="105" customFormat="1" spans="9:12">
      <c r="I3304" s="225"/>
      <c r="K3304" s="9"/>
      <c r="L3304" s="9"/>
    </row>
    <row r="3305" s="105" customFormat="1" spans="9:12">
      <c r="I3305" s="225"/>
      <c r="K3305" s="9"/>
      <c r="L3305" s="9"/>
    </row>
    <row r="3306" s="105" customFormat="1" spans="9:12">
      <c r="I3306" s="225"/>
      <c r="K3306" s="9"/>
      <c r="L3306" s="9"/>
    </row>
    <row r="3307" s="105" customFormat="1" spans="9:12">
      <c r="I3307" s="225"/>
      <c r="K3307" s="9"/>
      <c r="L3307" s="9"/>
    </row>
    <row r="3308" s="105" customFormat="1" spans="9:12">
      <c r="I3308" s="225"/>
      <c r="K3308" s="9"/>
      <c r="L3308" s="9"/>
    </row>
    <row r="3309" s="105" customFormat="1" spans="9:12">
      <c r="I3309" s="225"/>
      <c r="K3309" s="9"/>
      <c r="L3309" s="9"/>
    </row>
    <row r="3310" s="105" customFormat="1" spans="9:12">
      <c r="I3310" s="225"/>
      <c r="K3310" s="9"/>
      <c r="L3310" s="9"/>
    </row>
    <row r="3311" s="105" customFormat="1" spans="9:12">
      <c r="I3311" s="225"/>
      <c r="K3311" s="9"/>
      <c r="L3311" s="9"/>
    </row>
    <row r="3312" s="105" customFormat="1" spans="9:12">
      <c r="I3312" s="225"/>
      <c r="K3312" s="9"/>
      <c r="L3312" s="9"/>
    </row>
    <row r="3313" s="105" customFormat="1" spans="9:12">
      <c r="I3313" s="225"/>
      <c r="K3313" s="9"/>
      <c r="L3313" s="9"/>
    </row>
    <row r="3314" s="105" customFormat="1" spans="9:12">
      <c r="I3314" s="225"/>
      <c r="K3314" s="9"/>
      <c r="L3314" s="9"/>
    </row>
    <row r="3315" s="105" customFormat="1" spans="9:12">
      <c r="I3315" s="225"/>
      <c r="K3315" s="9"/>
      <c r="L3315" s="9"/>
    </row>
    <row r="3316" s="105" customFormat="1" spans="9:12">
      <c r="I3316" s="225"/>
      <c r="K3316" s="9"/>
      <c r="L3316" s="9"/>
    </row>
    <row r="3317" s="105" customFormat="1" spans="9:12">
      <c r="I3317" s="225"/>
      <c r="K3317" s="9"/>
      <c r="L3317" s="9"/>
    </row>
    <row r="3318" s="105" customFormat="1" spans="9:12">
      <c r="I3318" s="225"/>
      <c r="K3318" s="9"/>
      <c r="L3318" s="9"/>
    </row>
    <row r="3319" s="105" customFormat="1" spans="9:12">
      <c r="I3319" s="225"/>
      <c r="K3319" s="9"/>
      <c r="L3319" s="9"/>
    </row>
    <row r="3320" s="105" customFormat="1" spans="9:12">
      <c r="I3320" s="225"/>
      <c r="K3320" s="9"/>
      <c r="L3320" s="9"/>
    </row>
    <row r="3321" s="105" customFormat="1" spans="9:12">
      <c r="I3321" s="225"/>
      <c r="K3321" s="9"/>
      <c r="L3321" s="9"/>
    </row>
    <row r="3322" s="105" customFormat="1" spans="9:12">
      <c r="I3322" s="225"/>
      <c r="K3322" s="9"/>
      <c r="L3322" s="9"/>
    </row>
    <row r="3323" s="105" customFormat="1" spans="9:12">
      <c r="I3323" s="225"/>
      <c r="K3323" s="9"/>
      <c r="L3323" s="9"/>
    </row>
    <row r="3324" s="105" customFormat="1" spans="9:12">
      <c r="I3324" s="225"/>
      <c r="K3324" s="9"/>
      <c r="L3324" s="9"/>
    </row>
    <row r="3325" s="105" customFormat="1" spans="9:12">
      <c r="I3325" s="225"/>
      <c r="K3325" s="9"/>
      <c r="L3325" s="9"/>
    </row>
    <row r="3326" s="105" customFormat="1" spans="9:12">
      <c r="I3326" s="225"/>
      <c r="K3326" s="9"/>
      <c r="L3326" s="9"/>
    </row>
    <row r="3327" s="105" customFormat="1" spans="9:12">
      <c r="I3327" s="225"/>
      <c r="K3327" s="9"/>
      <c r="L3327" s="9"/>
    </row>
    <row r="3328" s="105" customFormat="1" spans="9:12">
      <c r="I3328" s="225"/>
      <c r="K3328" s="9"/>
      <c r="L3328" s="9"/>
    </row>
    <row r="3329" s="105" customFormat="1" spans="9:12">
      <c r="I3329" s="225"/>
      <c r="K3329" s="9"/>
      <c r="L3329" s="9"/>
    </row>
    <row r="3330" s="105" customFormat="1" spans="9:12">
      <c r="I3330" s="225"/>
      <c r="K3330" s="9"/>
      <c r="L3330" s="9"/>
    </row>
    <row r="3331" s="105" customFormat="1" spans="9:12">
      <c r="I3331" s="225"/>
      <c r="K3331" s="9"/>
      <c r="L3331" s="9"/>
    </row>
    <row r="3332" s="105" customFormat="1" spans="9:12">
      <c r="I3332" s="225"/>
      <c r="K3332" s="9"/>
      <c r="L3332" s="9"/>
    </row>
    <row r="3333" s="105" customFormat="1" spans="9:12">
      <c r="I3333" s="225"/>
      <c r="K3333" s="9"/>
      <c r="L3333" s="9"/>
    </row>
    <row r="3334" s="105" customFormat="1" spans="9:12">
      <c r="I3334" s="225"/>
      <c r="K3334" s="9"/>
      <c r="L3334" s="9"/>
    </row>
    <row r="3335" s="105" customFormat="1" spans="9:12">
      <c r="I3335" s="225"/>
      <c r="K3335" s="9"/>
      <c r="L3335" s="9"/>
    </row>
    <row r="3336" s="105" customFormat="1" spans="9:12">
      <c r="I3336" s="225"/>
      <c r="K3336" s="9"/>
      <c r="L3336" s="9"/>
    </row>
    <row r="3337" s="105" customFormat="1" spans="9:12">
      <c r="I3337" s="225"/>
      <c r="K3337" s="9"/>
      <c r="L3337" s="9"/>
    </row>
    <row r="3338" s="105" customFormat="1" spans="9:12">
      <c r="I3338" s="225"/>
      <c r="K3338" s="9"/>
      <c r="L3338" s="9"/>
    </row>
    <row r="3339" s="105" customFormat="1" spans="9:12">
      <c r="I3339" s="225"/>
      <c r="K3339" s="9"/>
      <c r="L3339" s="9"/>
    </row>
    <row r="3340" s="105" customFormat="1" spans="9:12">
      <c r="I3340" s="225"/>
      <c r="K3340" s="9"/>
      <c r="L3340" s="9"/>
    </row>
    <row r="3341" s="105" customFormat="1" spans="9:12">
      <c r="I3341" s="225"/>
      <c r="K3341" s="9"/>
      <c r="L3341" s="9"/>
    </row>
    <row r="3342" s="105" customFormat="1" spans="9:12">
      <c r="I3342" s="225"/>
      <c r="K3342" s="9"/>
      <c r="L3342" s="9"/>
    </row>
    <row r="3343" s="105" customFormat="1" spans="9:12">
      <c r="I3343" s="225"/>
      <c r="K3343" s="9"/>
      <c r="L3343" s="9"/>
    </row>
    <row r="3344" s="105" customFormat="1" spans="9:12">
      <c r="I3344" s="225"/>
      <c r="K3344" s="9"/>
      <c r="L3344" s="9"/>
    </row>
    <row r="3345" s="105" customFormat="1" spans="9:12">
      <c r="I3345" s="225"/>
      <c r="K3345" s="9"/>
      <c r="L3345" s="9"/>
    </row>
    <row r="3346" s="105" customFormat="1" spans="9:12">
      <c r="I3346" s="225"/>
      <c r="K3346" s="9"/>
      <c r="L3346" s="9"/>
    </row>
    <row r="3347" s="105" customFormat="1" spans="9:12">
      <c r="I3347" s="225"/>
      <c r="K3347" s="9"/>
      <c r="L3347" s="9"/>
    </row>
    <row r="3348" s="105" customFormat="1" spans="9:12">
      <c r="I3348" s="225"/>
      <c r="K3348" s="9"/>
      <c r="L3348" s="9"/>
    </row>
    <row r="3349" s="105" customFormat="1" spans="9:12">
      <c r="I3349" s="225"/>
      <c r="K3349" s="9"/>
      <c r="L3349" s="9"/>
    </row>
    <row r="3350" s="105" customFormat="1" spans="9:12">
      <c r="I3350" s="225"/>
      <c r="K3350" s="9"/>
      <c r="L3350" s="9"/>
    </row>
    <row r="3351" s="105" customFormat="1" spans="9:12">
      <c r="I3351" s="225"/>
      <c r="K3351" s="9"/>
      <c r="L3351" s="9"/>
    </row>
    <row r="3352" s="105" customFormat="1" spans="9:12">
      <c r="I3352" s="225"/>
      <c r="K3352" s="9"/>
      <c r="L3352" s="9"/>
    </row>
    <row r="3353" s="105" customFormat="1" spans="9:12">
      <c r="I3353" s="225"/>
      <c r="K3353" s="9"/>
      <c r="L3353" s="9"/>
    </row>
    <row r="3354" s="105" customFormat="1" spans="9:12">
      <c r="I3354" s="225"/>
      <c r="K3354" s="9"/>
      <c r="L3354" s="9"/>
    </row>
    <row r="3355" s="105" customFormat="1" spans="9:12">
      <c r="I3355" s="225"/>
      <c r="K3355" s="9"/>
      <c r="L3355" s="9"/>
    </row>
    <row r="3356" s="105" customFormat="1" spans="9:12">
      <c r="I3356" s="225"/>
      <c r="K3356" s="9"/>
      <c r="L3356" s="9"/>
    </row>
    <row r="3357" s="105" customFormat="1" spans="9:12">
      <c r="I3357" s="225"/>
      <c r="K3357" s="9"/>
      <c r="L3357" s="9"/>
    </row>
    <row r="3358" s="105" customFormat="1" spans="9:12">
      <c r="I3358" s="225"/>
      <c r="K3358" s="9"/>
      <c r="L3358" s="9"/>
    </row>
    <row r="3359" s="105" customFormat="1" spans="9:12">
      <c r="I3359" s="225"/>
      <c r="K3359" s="9"/>
      <c r="L3359" s="9"/>
    </row>
    <row r="3360" s="105" customFormat="1" spans="9:12">
      <c r="I3360" s="225"/>
      <c r="K3360" s="9"/>
      <c r="L3360" s="9"/>
    </row>
    <row r="3361" s="105" customFormat="1" spans="9:12">
      <c r="I3361" s="225"/>
      <c r="K3361" s="9"/>
      <c r="L3361" s="9"/>
    </row>
    <row r="3362" s="105" customFormat="1" spans="9:12">
      <c r="I3362" s="225"/>
      <c r="K3362" s="9"/>
      <c r="L3362" s="9"/>
    </row>
    <row r="3363" s="105" customFormat="1" spans="9:12">
      <c r="I3363" s="225"/>
      <c r="K3363" s="9"/>
      <c r="L3363" s="9"/>
    </row>
    <row r="3364" s="105" customFormat="1" spans="9:12">
      <c r="I3364" s="225"/>
      <c r="K3364" s="9"/>
      <c r="L3364" s="9"/>
    </row>
    <row r="3365" s="105" customFormat="1" spans="9:12">
      <c r="I3365" s="225"/>
      <c r="K3365" s="9"/>
      <c r="L3365" s="9"/>
    </row>
    <row r="3366" s="105" customFormat="1" spans="9:12">
      <c r="I3366" s="225"/>
      <c r="K3366" s="9"/>
      <c r="L3366" s="9"/>
    </row>
    <row r="3367" s="105" customFormat="1" spans="9:12">
      <c r="I3367" s="225"/>
      <c r="K3367" s="9"/>
      <c r="L3367" s="9"/>
    </row>
    <row r="3368" s="105" customFormat="1" spans="9:12">
      <c r="I3368" s="225"/>
      <c r="K3368" s="9"/>
      <c r="L3368" s="9"/>
    </row>
    <row r="3369" s="105" customFormat="1" spans="9:12">
      <c r="I3369" s="225"/>
      <c r="K3369" s="9"/>
      <c r="L3369" s="9"/>
    </row>
    <row r="3370" s="105" customFormat="1" spans="9:12">
      <c r="I3370" s="225"/>
      <c r="K3370" s="9"/>
      <c r="L3370" s="9"/>
    </row>
    <row r="3371" s="105" customFormat="1" spans="9:12">
      <c r="I3371" s="225"/>
      <c r="K3371" s="9"/>
      <c r="L3371" s="9"/>
    </row>
    <row r="3372" s="105" customFormat="1" spans="9:12">
      <c r="I3372" s="225"/>
      <c r="K3372" s="9"/>
      <c r="L3372" s="9"/>
    </row>
    <row r="3373" s="105" customFormat="1" spans="9:12">
      <c r="I3373" s="225"/>
      <c r="K3373" s="9"/>
      <c r="L3373" s="9"/>
    </row>
    <row r="3374" s="105" customFormat="1" spans="9:12">
      <c r="I3374" s="225"/>
      <c r="K3374" s="9"/>
      <c r="L3374" s="9"/>
    </row>
    <row r="3375" s="105" customFormat="1" spans="9:12">
      <c r="I3375" s="225"/>
      <c r="K3375" s="9"/>
      <c r="L3375" s="9"/>
    </row>
    <row r="3376" s="105" customFormat="1" spans="9:12">
      <c r="I3376" s="225"/>
      <c r="K3376" s="9"/>
      <c r="L3376" s="9"/>
    </row>
    <row r="3377" s="105" customFormat="1" spans="9:12">
      <c r="I3377" s="225"/>
      <c r="K3377" s="9"/>
      <c r="L3377" s="9"/>
    </row>
    <row r="3378" s="105" customFormat="1" spans="9:12">
      <c r="I3378" s="225"/>
      <c r="K3378" s="9"/>
      <c r="L3378" s="9"/>
    </row>
    <row r="3379" s="105" customFormat="1" spans="9:12">
      <c r="I3379" s="225"/>
      <c r="K3379" s="9"/>
      <c r="L3379" s="9"/>
    </row>
    <row r="3380" s="105" customFormat="1" spans="9:12">
      <c r="I3380" s="225"/>
      <c r="K3380" s="9"/>
      <c r="L3380" s="9"/>
    </row>
    <row r="3381" s="105" customFormat="1" spans="9:12">
      <c r="I3381" s="225"/>
      <c r="K3381" s="9"/>
      <c r="L3381" s="9"/>
    </row>
    <row r="3382" s="105" customFormat="1" spans="9:12">
      <c r="I3382" s="225"/>
      <c r="K3382" s="9"/>
      <c r="L3382" s="9"/>
    </row>
    <row r="3383" s="105" customFormat="1" spans="9:12">
      <c r="I3383" s="225"/>
      <c r="K3383" s="9"/>
      <c r="L3383" s="9"/>
    </row>
    <row r="3384" s="105" customFormat="1" spans="9:12">
      <c r="I3384" s="225"/>
      <c r="K3384" s="9"/>
      <c r="L3384" s="9"/>
    </row>
    <row r="3385" s="105" customFormat="1" spans="9:12">
      <c r="I3385" s="225"/>
      <c r="K3385" s="9"/>
      <c r="L3385" s="9"/>
    </row>
    <row r="3386" s="105" customFormat="1" spans="9:12">
      <c r="I3386" s="225"/>
      <c r="K3386" s="9"/>
      <c r="L3386" s="9"/>
    </row>
    <row r="3387" s="105" customFormat="1" spans="9:12">
      <c r="I3387" s="225"/>
      <c r="K3387" s="9"/>
      <c r="L3387" s="9"/>
    </row>
    <row r="3388" s="105" customFormat="1" spans="9:12">
      <c r="I3388" s="225"/>
      <c r="K3388" s="9"/>
      <c r="L3388" s="9"/>
    </row>
    <row r="3389" s="105" customFormat="1" spans="9:12">
      <c r="I3389" s="225"/>
      <c r="K3389" s="9"/>
      <c r="L3389" s="9"/>
    </row>
    <row r="3390" s="105" customFormat="1" spans="9:12">
      <c r="I3390" s="225"/>
      <c r="K3390" s="9"/>
      <c r="L3390" s="9"/>
    </row>
    <row r="3391" s="105" customFormat="1" spans="9:12">
      <c r="I3391" s="225"/>
      <c r="K3391" s="9"/>
      <c r="L3391" s="9"/>
    </row>
    <row r="3392" s="105" customFormat="1" spans="9:12">
      <c r="I3392" s="225"/>
      <c r="K3392" s="9"/>
      <c r="L3392" s="9"/>
    </row>
    <row r="3393" s="105" customFormat="1" spans="9:12">
      <c r="I3393" s="225"/>
      <c r="K3393" s="9"/>
      <c r="L3393" s="9"/>
    </row>
    <row r="3394" s="105" customFormat="1" spans="9:12">
      <c r="I3394" s="225"/>
      <c r="K3394" s="9"/>
      <c r="L3394" s="9"/>
    </row>
    <row r="3395" s="105" customFormat="1" spans="9:12">
      <c r="I3395" s="225"/>
      <c r="K3395" s="9"/>
      <c r="L3395" s="9"/>
    </row>
    <row r="3396" s="105" customFormat="1" spans="9:12">
      <c r="I3396" s="225"/>
      <c r="K3396" s="9"/>
      <c r="L3396" s="9"/>
    </row>
    <row r="3397" s="105" customFormat="1" spans="9:12">
      <c r="I3397" s="225"/>
      <c r="K3397" s="9"/>
      <c r="L3397" s="9"/>
    </row>
    <row r="3398" s="105" customFormat="1" spans="9:12">
      <c r="I3398" s="225"/>
      <c r="K3398" s="9"/>
      <c r="L3398" s="9"/>
    </row>
    <row r="3399" s="105" customFormat="1" spans="9:12">
      <c r="I3399" s="225"/>
      <c r="K3399" s="9"/>
      <c r="L3399" s="9"/>
    </row>
    <row r="3400" s="105" customFormat="1" spans="9:12">
      <c r="I3400" s="225"/>
      <c r="K3400" s="9"/>
      <c r="L3400" s="9"/>
    </row>
    <row r="3401" s="105" customFormat="1" spans="9:12">
      <c r="I3401" s="225"/>
      <c r="K3401" s="9"/>
      <c r="L3401" s="9"/>
    </row>
    <row r="3402" s="105" customFormat="1" spans="9:12">
      <c r="I3402" s="225"/>
      <c r="K3402" s="9"/>
      <c r="L3402" s="9"/>
    </row>
    <row r="3403" s="105" customFormat="1" spans="9:12">
      <c r="I3403" s="225"/>
      <c r="K3403" s="9"/>
      <c r="L3403" s="9"/>
    </row>
    <row r="3404" s="105" customFormat="1" spans="9:12">
      <c r="I3404" s="225"/>
      <c r="K3404" s="9"/>
      <c r="L3404" s="9"/>
    </row>
    <row r="3405" s="105" customFormat="1" spans="9:12">
      <c r="I3405" s="225"/>
      <c r="K3405" s="9"/>
      <c r="L3405" s="9"/>
    </row>
    <row r="3406" s="105" customFormat="1" spans="9:12">
      <c r="I3406" s="225"/>
      <c r="K3406" s="9"/>
      <c r="L3406" s="9"/>
    </row>
    <row r="3407" s="105" customFormat="1" spans="9:12">
      <c r="I3407" s="225"/>
      <c r="K3407" s="9"/>
      <c r="L3407" s="9"/>
    </row>
    <row r="3408" s="105" customFormat="1" spans="9:12">
      <c r="I3408" s="225"/>
      <c r="K3408" s="9"/>
      <c r="L3408" s="9"/>
    </row>
    <row r="3409" s="105" customFormat="1" spans="9:12">
      <c r="I3409" s="225"/>
      <c r="K3409" s="9"/>
      <c r="L3409" s="9"/>
    </row>
    <row r="3410" s="105" customFormat="1" spans="9:12">
      <c r="I3410" s="225"/>
      <c r="K3410" s="9"/>
      <c r="L3410" s="9"/>
    </row>
    <row r="3411" s="105" customFormat="1" spans="9:12">
      <c r="I3411" s="225"/>
      <c r="K3411" s="9"/>
      <c r="L3411" s="9"/>
    </row>
    <row r="3412" s="105" customFormat="1" spans="9:12">
      <c r="I3412" s="225"/>
      <c r="K3412" s="9"/>
      <c r="L3412" s="9"/>
    </row>
    <row r="3413" s="105" customFormat="1" spans="9:12">
      <c r="I3413" s="225"/>
      <c r="K3413" s="9"/>
      <c r="L3413" s="9"/>
    </row>
    <row r="3414" s="105" customFormat="1" spans="9:12">
      <c r="I3414" s="225"/>
      <c r="K3414" s="9"/>
      <c r="L3414" s="9"/>
    </row>
    <row r="3415" s="105" customFormat="1" spans="9:12">
      <c r="I3415" s="225"/>
      <c r="K3415" s="9"/>
      <c r="L3415" s="9"/>
    </row>
    <row r="3416" s="105" customFormat="1" spans="9:12">
      <c r="I3416" s="225"/>
      <c r="K3416" s="9"/>
      <c r="L3416" s="9"/>
    </row>
    <row r="3417" s="105" customFormat="1" spans="9:12">
      <c r="I3417" s="225"/>
      <c r="K3417" s="9"/>
      <c r="L3417" s="9"/>
    </row>
    <row r="3418" s="105" customFormat="1" spans="9:12">
      <c r="I3418" s="225"/>
      <c r="K3418" s="9"/>
      <c r="L3418" s="9"/>
    </row>
    <row r="3419" s="105" customFormat="1" spans="9:12">
      <c r="I3419" s="225"/>
      <c r="K3419" s="9"/>
      <c r="L3419" s="9"/>
    </row>
    <row r="3420" s="105" customFormat="1" spans="9:12">
      <c r="I3420" s="225"/>
      <c r="K3420" s="9"/>
      <c r="L3420" s="9"/>
    </row>
    <row r="3421" s="105" customFormat="1" spans="9:12">
      <c r="I3421" s="225"/>
      <c r="K3421" s="9"/>
      <c r="L3421" s="9"/>
    </row>
    <row r="3422" s="105" customFormat="1" spans="9:12">
      <c r="I3422" s="225"/>
      <c r="K3422" s="9"/>
      <c r="L3422" s="9"/>
    </row>
    <row r="3423" s="105" customFormat="1" spans="9:12">
      <c r="I3423" s="225"/>
      <c r="K3423" s="9"/>
      <c r="L3423" s="9"/>
    </row>
    <row r="3424" s="105" customFormat="1" spans="9:12">
      <c r="I3424" s="225"/>
      <c r="K3424" s="9"/>
      <c r="L3424" s="9"/>
    </row>
    <row r="3425" s="105" customFormat="1" spans="9:12">
      <c r="I3425" s="225"/>
      <c r="K3425" s="9"/>
      <c r="L3425" s="9"/>
    </row>
    <row r="3426" s="105" customFormat="1" spans="9:12">
      <c r="I3426" s="225"/>
      <c r="K3426" s="9"/>
      <c r="L3426" s="9"/>
    </row>
    <row r="3427" s="105" customFormat="1" spans="9:12">
      <c r="I3427" s="225"/>
      <c r="K3427" s="9"/>
      <c r="L3427" s="9"/>
    </row>
    <row r="3428" s="105" customFormat="1" spans="9:12">
      <c r="I3428" s="225"/>
      <c r="K3428" s="9"/>
      <c r="L3428" s="9"/>
    </row>
    <row r="3429" s="105" customFormat="1" spans="9:12">
      <c r="I3429" s="225"/>
      <c r="K3429" s="9"/>
      <c r="L3429" s="9"/>
    </row>
    <row r="3430" s="105" customFormat="1" spans="9:12">
      <c r="I3430" s="225"/>
      <c r="K3430" s="9"/>
      <c r="L3430" s="9"/>
    </row>
    <row r="3431" s="105" customFormat="1" spans="9:12">
      <c r="I3431" s="225"/>
      <c r="K3431" s="9"/>
      <c r="L3431" s="9"/>
    </row>
    <row r="3432" s="105" customFormat="1" spans="9:12">
      <c r="I3432" s="225"/>
      <c r="K3432" s="9"/>
      <c r="L3432" s="9"/>
    </row>
    <row r="3433" s="105" customFormat="1" spans="9:12">
      <c r="I3433" s="225"/>
      <c r="K3433" s="9"/>
      <c r="L3433" s="9"/>
    </row>
    <row r="3434" s="105" customFormat="1" spans="9:12">
      <c r="I3434" s="225"/>
      <c r="K3434" s="9"/>
      <c r="L3434" s="9"/>
    </row>
    <row r="3435" s="105" customFormat="1" spans="9:12">
      <c r="I3435" s="225"/>
      <c r="K3435" s="9"/>
      <c r="L3435" s="9"/>
    </row>
    <row r="3436" s="105" customFormat="1" spans="9:12">
      <c r="I3436" s="225"/>
      <c r="K3436" s="9"/>
      <c r="L3436" s="9"/>
    </row>
    <row r="3437" s="105" customFormat="1" spans="9:12">
      <c r="I3437" s="225"/>
      <c r="K3437" s="9"/>
      <c r="L3437" s="9"/>
    </row>
    <row r="3438" s="105" customFormat="1" spans="9:12">
      <c r="I3438" s="225"/>
      <c r="K3438" s="9"/>
      <c r="L3438" s="9"/>
    </row>
    <row r="3439" s="105" customFormat="1" spans="9:12">
      <c r="I3439" s="225"/>
      <c r="K3439" s="9"/>
      <c r="L3439" s="9"/>
    </row>
    <row r="3440" s="105" customFormat="1" spans="9:12">
      <c r="I3440" s="225"/>
      <c r="K3440" s="9"/>
      <c r="L3440" s="9"/>
    </row>
    <row r="3441" s="105" customFormat="1" spans="9:12">
      <c r="I3441" s="225"/>
      <c r="K3441" s="9"/>
      <c r="L3441" s="9"/>
    </row>
    <row r="3442" s="105" customFormat="1" spans="9:12">
      <c r="I3442" s="225"/>
      <c r="K3442" s="9"/>
      <c r="L3442" s="9"/>
    </row>
    <row r="3443" s="105" customFormat="1" spans="9:12">
      <c r="I3443" s="225"/>
      <c r="K3443" s="9"/>
      <c r="L3443" s="9"/>
    </row>
    <row r="3444" s="105" customFormat="1" spans="9:12">
      <c r="I3444" s="225"/>
      <c r="K3444" s="9"/>
      <c r="L3444" s="9"/>
    </row>
    <row r="3445" s="105" customFormat="1" spans="9:12">
      <c r="I3445" s="225"/>
      <c r="K3445" s="9"/>
      <c r="L3445" s="9"/>
    </row>
    <row r="3446" s="105" customFormat="1" spans="9:12">
      <c r="I3446" s="225"/>
      <c r="K3446" s="9"/>
      <c r="L3446" s="9"/>
    </row>
    <row r="3447" s="105" customFormat="1" spans="9:12">
      <c r="I3447" s="225"/>
      <c r="K3447" s="9"/>
      <c r="L3447" s="9"/>
    </row>
    <row r="3448" s="105" customFormat="1" spans="9:12">
      <c r="I3448" s="225"/>
      <c r="K3448" s="9"/>
      <c r="L3448" s="9"/>
    </row>
    <row r="3449" s="105" customFormat="1" spans="9:12">
      <c r="I3449" s="225"/>
      <c r="K3449" s="9"/>
      <c r="L3449" s="9"/>
    </row>
    <row r="3450" s="105" customFormat="1" spans="9:12">
      <c r="I3450" s="225"/>
      <c r="K3450" s="9"/>
      <c r="L3450" s="9"/>
    </row>
    <row r="3451" s="105" customFormat="1" spans="9:12">
      <c r="I3451" s="225"/>
      <c r="K3451" s="9"/>
      <c r="L3451" s="9"/>
    </row>
    <row r="3452" s="105" customFormat="1" spans="9:12">
      <c r="I3452" s="225"/>
      <c r="K3452" s="9"/>
      <c r="L3452" s="9"/>
    </row>
    <row r="3453" s="105" customFormat="1" spans="9:12">
      <c r="I3453" s="225"/>
      <c r="K3453" s="9"/>
      <c r="L3453" s="9"/>
    </row>
    <row r="3454" s="105" customFormat="1" spans="9:12">
      <c r="I3454" s="225"/>
      <c r="K3454" s="9"/>
      <c r="L3454" s="9"/>
    </row>
    <row r="3455" s="105" customFormat="1" spans="9:12">
      <c r="I3455" s="225"/>
      <c r="K3455" s="9"/>
      <c r="L3455" s="9"/>
    </row>
    <row r="3456" s="105" customFormat="1" spans="9:12">
      <c r="I3456" s="225"/>
      <c r="K3456" s="9"/>
      <c r="L3456" s="9"/>
    </row>
    <row r="3457" s="105" customFormat="1" spans="9:12">
      <c r="I3457" s="225"/>
      <c r="K3457" s="9"/>
      <c r="L3457" s="9"/>
    </row>
    <row r="3458" s="105" customFormat="1" spans="9:12">
      <c r="I3458" s="225"/>
      <c r="K3458" s="9"/>
      <c r="L3458" s="9"/>
    </row>
    <row r="3459" s="105" customFormat="1" spans="9:12">
      <c r="I3459" s="225"/>
      <c r="K3459" s="9"/>
      <c r="L3459" s="9"/>
    </row>
    <row r="3460" s="105" customFormat="1" spans="9:12">
      <c r="I3460" s="225"/>
      <c r="K3460" s="9"/>
      <c r="L3460" s="9"/>
    </row>
    <row r="3461" s="105" customFormat="1" spans="9:12">
      <c r="I3461" s="225"/>
      <c r="K3461" s="9"/>
      <c r="L3461" s="9"/>
    </row>
    <row r="3462" s="105" customFormat="1" spans="9:12">
      <c r="I3462" s="225"/>
      <c r="K3462" s="9"/>
      <c r="L3462" s="9"/>
    </row>
    <row r="3463" s="105" customFormat="1" spans="9:12">
      <c r="I3463" s="225"/>
      <c r="K3463" s="9"/>
      <c r="L3463" s="9"/>
    </row>
    <row r="3464" s="105" customFormat="1" spans="9:12">
      <c r="I3464" s="225"/>
      <c r="K3464" s="9"/>
      <c r="L3464" s="9"/>
    </row>
    <row r="3465" s="105" customFormat="1" spans="9:12">
      <c r="I3465" s="225"/>
      <c r="K3465" s="9"/>
      <c r="L3465" s="9"/>
    </row>
    <row r="3466" s="105" customFormat="1" spans="9:12">
      <c r="I3466" s="225"/>
      <c r="K3466" s="9"/>
      <c r="L3466" s="9"/>
    </row>
    <row r="3467" s="105" customFormat="1" spans="9:12">
      <c r="I3467" s="225"/>
      <c r="K3467" s="9"/>
      <c r="L3467" s="9"/>
    </row>
    <row r="3468" s="105" customFormat="1" spans="9:12">
      <c r="I3468" s="225"/>
      <c r="K3468" s="9"/>
      <c r="L3468" s="9"/>
    </row>
    <row r="3469" s="105" customFormat="1" spans="9:12">
      <c r="I3469" s="225"/>
      <c r="K3469" s="9"/>
      <c r="L3469" s="9"/>
    </row>
    <row r="3470" s="105" customFormat="1" spans="9:12">
      <c r="I3470" s="225"/>
      <c r="K3470" s="9"/>
      <c r="L3470" s="9"/>
    </row>
    <row r="3471" s="105" customFormat="1" spans="9:12">
      <c r="I3471" s="225"/>
      <c r="K3471" s="9"/>
      <c r="L3471" s="9"/>
    </row>
    <row r="3472" s="105" customFormat="1" spans="9:12">
      <c r="I3472" s="225"/>
      <c r="K3472" s="9"/>
      <c r="L3472" s="9"/>
    </row>
    <row r="3473" s="105" customFormat="1" spans="9:12">
      <c r="I3473" s="225"/>
      <c r="K3473" s="9"/>
      <c r="L3473" s="9"/>
    </row>
    <row r="3474" s="105" customFormat="1" spans="9:12">
      <c r="I3474" s="225"/>
      <c r="K3474" s="9"/>
      <c r="L3474" s="9"/>
    </row>
    <row r="3475" s="105" customFormat="1" spans="9:12">
      <c r="I3475" s="225"/>
      <c r="K3475" s="9"/>
      <c r="L3475" s="9"/>
    </row>
    <row r="3476" s="105" customFormat="1" spans="9:12">
      <c r="I3476" s="225"/>
      <c r="K3476" s="9"/>
      <c r="L3476" s="9"/>
    </row>
    <row r="3477" s="105" customFormat="1" spans="9:12">
      <c r="I3477" s="225"/>
      <c r="K3477" s="9"/>
      <c r="L3477" s="9"/>
    </row>
    <row r="3478" s="105" customFormat="1" spans="9:12">
      <c r="I3478" s="225"/>
      <c r="K3478" s="9"/>
      <c r="L3478" s="9"/>
    </row>
    <row r="3479" s="105" customFormat="1" spans="9:12">
      <c r="I3479" s="225"/>
      <c r="K3479" s="9"/>
      <c r="L3479" s="9"/>
    </row>
    <row r="3480" s="105" customFormat="1" spans="9:12">
      <c r="I3480" s="225"/>
      <c r="K3480" s="9"/>
      <c r="L3480" s="9"/>
    </row>
    <row r="3481" s="105" customFormat="1" spans="9:12">
      <c r="I3481" s="225"/>
      <c r="K3481" s="9"/>
      <c r="L3481" s="9"/>
    </row>
    <row r="3482" s="105" customFormat="1" spans="9:12">
      <c r="I3482" s="225"/>
      <c r="K3482" s="9"/>
      <c r="L3482" s="9"/>
    </row>
    <row r="3483" s="105" customFormat="1" spans="9:12">
      <c r="I3483" s="225"/>
      <c r="K3483" s="9"/>
      <c r="L3483" s="9"/>
    </row>
    <row r="3484" s="105" customFormat="1" spans="9:12">
      <c r="I3484" s="225"/>
      <c r="K3484" s="9"/>
      <c r="L3484" s="9"/>
    </row>
    <row r="3485" s="105" customFormat="1" spans="9:12">
      <c r="I3485" s="225"/>
      <c r="K3485" s="9"/>
      <c r="L3485" s="9"/>
    </row>
    <row r="3486" s="105" customFormat="1" spans="9:12">
      <c r="I3486" s="225"/>
      <c r="K3486" s="9"/>
      <c r="L3486" s="9"/>
    </row>
    <row r="3487" s="105" customFormat="1" spans="9:12">
      <c r="I3487" s="225"/>
      <c r="K3487" s="9"/>
      <c r="L3487" s="9"/>
    </row>
    <row r="3488" s="105" customFormat="1" spans="9:12">
      <c r="I3488" s="225"/>
      <c r="K3488" s="9"/>
      <c r="L3488" s="9"/>
    </row>
    <row r="3489" s="105" customFormat="1" spans="9:12">
      <c r="I3489" s="225"/>
      <c r="K3489" s="9"/>
      <c r="L3489" s="9"/>
    </row>
    <row r="3490" s="105" customFormat="1" spans="9:12">
      <c r="I3490" s="225"/>
      <c r="K3490" s="9"/>
      <c r="L3490" s="9"/>
    </row>
    <row r="3491" s="105" customFormat="1" spans="9:12">
      <c r="I3491" s="225"/>
      <c r="K3491" s="9"/>
      <c r="L3491" s="9"/>
    </row>
    <row r="3492" s="105" customFormat="1" spans="9:12">
      <c r="I3492" s="225"/>
      <c r="K3492" s="9"/>
      <c r="L3492" s="9"/>
    </row>
    <row r="3493" s="105" customFormat="1" spans="9:12">
      <c r="I3493" s="225"/>
      <c r="K3493" s="9"/>
      <c r="L3493" s="9"/>
    </row>
    <row r="3494" s="105" customFormat="1" spans="9:12">
      <c r="I3494" s="225"/>
      <c r="K3494" s="9"/>
      <c r="L3494" s="9"/>
    </row>
    <row r="3495" s="105" customFormat="1" spans="9:12">
      <c r="I3495" s="225"/>
      <c r="K3495" s="9"/>
      <c r="L3495" s="9"/>
    </row>
    <row r="3496" s="105" customFormat="1" spans="9:12">
      <c r="I3496" s="225"/>
      <c r="K3496" s="9"/>
      <c r="L3496" s="9"/>
    </row>
    <row r="3497" s="105" customFormat="1" spans="9:12">
      <c r="I3497" s="225"/>
      <c r="K3497" s="9"/>
      <c r="L3497" s="9"/>
    </row>
    <row r="3498" s="105" customFormat="1" spans="9:12">
      <c r="I3498" s="225"/>
      <c r="K3498" s="9"/>
      <c r="L3498" s="9"/>
    </row>
    <row r="3499" s="105" customFormat="1" spans="9:12">
      <c r="I3499" s="225"/>
      <c r="K3499" s="9"/>
      <c r="L3499" s="9"/>
    </row>
    <row r="3500" s="105" customFormat="1" spans="9:12">
      <c r="I3500" s="225"/>
      <c r="K3500" s="9"/>
      <c r="L3500" s="9"/>
    </row>
    <row r="3501" s="105" customFormat="1" spans="9:12">
      <c r="I3501" s="225"/>
      <c r="K3501" s="9"/>
      <c r="L3501" s="9"/>
    </row>
    <row r="3502" s="105" customFormat="1" spans="9:12">
      <c r="I3502" s="225"/>
      <c r="K3502" s="9"/>
      <c r="L3502" s="9"/>
    </row>
    <row r="3503" s="105" customFormat="1" spans="9:12">
      <c r="I3503" s="225"/>
      <c r="K3503" s="9"/>
      <c r="L3503" s="9"/>
    </row>
    <row r="3504" s="105" customFormat="1" spans="9:12">
      <c r="I3504" s="225"/>
      <c r="K3504" s="9"/>
      <c r="L3504" s="9"/>
    </row>
    <row r="3505" s="105" customFormat="1" spans="9:12">
      <c r="I3505" s="225"/>
      <c r="K3505" s="9"/>
      <c r="L3505" s="9"/>
    </row>
    <row r="3506" s="105" customFormat="1" spans="9:12">
      <c r="I3506" s="225"/>
      <c r="K3506" s="9"/>
      <c r="L3506" s="9"/>
    </row>
    <row r="3507" s="105" customFormat="1" spans="9:12">
      <c r="I3507" s="225"/>
      <c r="K3507" s="9"/>
      <c r="L3507" s="9"/>
    </row>
    <row r="3508" s="105" customFormat="1" spans="9:12">
      <c r="I3508" s="225"/>
      <c r="K3508" s="9"/>
      <c r="L3508" s="9"/>
    </row>
    <row r="3509" s="105" customFormat="1" spans="9:12">
      <c r="I3509" s="225"/>
      <c r="K3509" s="9"/>
      <c r="L3509" s="9"/>
    </row>
    <row r="3510" s="105" customFormat="1" spans="9:12">
      <c r="I3510" s="225"/>
      <c r="K3510" s="9"/>
      <c r="L3510" s="9"/>
    </row>
    <row r="3511" s="105" customFormat="1" spans="9:12">
      <c r="I3511" s="225"/>
      <c r="K3511" s="9"/>
      <c r="L3511" s="9"/>
    </row>
    <row r="3512" s="105" customFormat="1" spans="9:12">
      <c r="I3512" s="225"/>
      <c r="K3512" s="9"/>
      <c r="L3512" s="9"/>
    </row>
    <row r="3513" s="105" customFormat="1" spans="9:12">
      <c r="I3513" s="225"/>
      <c r="K3513" s="9"/>
      <c r="L3513" s="9"/>
    </row>
    <row r="3514" s="105" customFormat="1" spans="9:12">
      <c r="I3514" s="225"/>
      <c r="K3514" s="9"/>
      <c r="L3514" s="9"/>
    </row>
    <row r="3515" s="105" customFormat="1" spans="9:12">
      <c r="I3515" s="225"/>
      <c r="K3515" s="9"/>
      <c r="L3515" s="9"/>
    </row>
    <row r="3516" s="105" customFormat="1" spans="9:12">
      <c r="I3516" s="225"/>
      <c r="K3516" s="9"/>
      <c r="L3516" s="9"/>
    </row>
    <row r="3517" s="105" customFormat="1" spans="9:12">
      <c r="I3517" s="225"/>
      <c r="K3517" s="9"/>
      <c r="L3517" s="9"/>
    </row>
    <row r="3518" s="105" customFormat="1" spans="9:12">
      <c r="I3518" s="225"/>
      <c r="K3518" s="9"/>
      <c r="L3518" s="9"/>
    </row>
    <row r="3519" s="105" customFormat="1" spans="9:12">
      <c r="I3519" s="225"/>
      <c r="K3519" s="9"/>
      <c r="L3519" s="9"/>
    </row>
    <row r="3520" s="105" customFormat="1" spans="9:12">
      <c r="I3520" s="225"/>
      <c r="K3520" s="9"/>
      <c r="L3520" s="9"/>
    </row>
    <row r="3521" s="105" customFormat="1" spans="9:12">
      <c r="I3521" s="225"/>
      <c r="K3521" s="9"/>
      <c r="L3521" s="9"/>
    </row>
    <row r="3522" s="105" customFormat="1" spans="9:12">
      <c r="I3522" s="225"/>
      <c r="K3522" s="9"/>
      <c r="L3522" s="9"/>
    </row>
    <row r="3523" s="105" customFormat="1" spans="9:12">
      <c r="I3523" s="225"/>
      <c r="K3523" s="9"/>
      <c r="L3523" s="9"/>
    </row>
    <row r="3524" s="105" customFormat="1" spans="9:12">
      <c r="I3524" s="225"/>
      <c r="K3524" s="9"/>
      <c r="L3524" s="9"/>
    </row>
    <row r="3525" s="105" customFormat="1" spans="9:12">
      <c r="I3525" s="225"/>
      <c r="K3525" s="9"/>
      <c r="L3525" s="9"/>
    </row>
    <row r="3526" s="105" customFormat="1" spans="9:12">
      <c r="I3526" s="225"/>
      <c r="K3526" s="9"/>
      <c r="L3526" s="9"/>
    </row>
    <row r="3527" s="105" customFormat="1" spans="9:12">
      <c r="I3527" s="225"/>
      <c r="K3527" s="9"/>
      <c r="L3527" s="9"/>
    </row>
    <row r="3528" s="105" customFormat="1" spans="9:12">
      <c r="I3528" s="225"/>
      <c r="K3528" s="9"/>
      <c r="L3528" s="9"/>
    </row>
    <row r="3529" s="105" customFormat="1" spans="9:12">
      <c r="I3529" s="225"/>
      <c r="K3529" s="9"/>
      <c r="L3529" s="9"/>
    </row>
    <row r="3530" s="105" customFormat="1" spans="9:12">
      <c r="I3530" s="225"/>
      <c r="K3530" s="9"/>
      <c r="L3530" s="9"/>
    </row>
    <row r="3531" s="105" customFormat="1" spans="9:12">
      <c r="I3531" s="225"/>
      <c r="K3531" s="9"/>
      <c r="L3531" s="9"/>
    </row>
    <row r="3532" s="105" customFormat="1" spans="9:12">
      <c r="I3532" s="225"/>
      <c r="K3532" s="9"/>
      <c r="L3532" s="9"/>
    </row>
    <row r="3533" s="105" customFormat="1" spans="9:12">
      <c r="I3533" s="225"/>
      <c r="K3533" s="9"/>
      <c r="L3533" s="9"/>
    </row>
    <row r="3534" s="105" customFormat="1" spans="9:12">
      <c r="I3534" s="225"/>
      <c r="K3534" s="9"/>
      <c r="L3534" s="9"/>
    </row>
    <row r="3535" s="105" customFormat="1" spans="9:12">
      <c r="I3535" s="225"/>
      <c r="K3535" s="9"/>
      <c r="L3535" s="9"/>
    </row>
    <row r="3536" s="105" customFormat="1" spans="9:12">
      <c r="I3536" s="225"/>
      <c r="K3536" s="9"/>
      <c r="L3536" s="9"/>
    </row>
    <row r="3537" s="105" customFormat="1" spans="9:12">
      <c r="I3537" s="225"/>
      <c r="K3537" s="9"/>
      <c r="L3537" s="9"/>
    </row>
    <row r="3538" s="105" customFormat="1" spans="9:12">
      <c r="I3538" s="225"/>
      <c r="K3538" s="9"/>
      <c r="L3538" s="9"/>
    </row>
    <row r="3539" s="105" customFormat="1" spans="9:12">
      <c r="I3539" s="225"/>
      <c r="K3539" s="9"/>
      <c r="L3539" s="9"/>
    </row>
    <row r="3540" s="105" customFormat="1" spans="9:12">
      <c r="I3540" s="225"/>
      <c r="K3540" s="9"/>
      <c r="L3540" s="9"/>
    </row>
    <row r="3541" s="105" customFormat="1" spans="9:12">
      <c r="I3541" s="225"/>
      <c r="K3541" s="9"/>
      <c r="L3541" s="9"/>
    </row>
    <row r="3542" s="105" customFormat="1" spans="9:12">
      <c r="I3542" s="225"/>
      <c r="K3542" s="9"/>
      <c r="L3542" s="9"/>
    </row>
    <row r="3543" s="105" customFormat="1" spans="9:12">
      <c r="I3543" s="225"/>
      <c r="K3543" s="9"/>
      <c r="L3543" s="9"/>
    </row>
    <row r="3544" s="105" customFormat="1" spans="9:12">
      <c r="I3544" s="225"/>
      <c r="K3544" s="9"/>
      <c r="L3544" s="9"/>
    </row>
    <row r="3545" s="105" customFormat="1" spans="9:12">
      <c r="I3545" s="225"/>
      <c r="K3545" s="9"/>
      <c r="L3545" s="9"/>
    </row>
    <row r="3546" s="105" customFormat="1" spans="9:12">
      <c r="I3546" s="225"/>
      <c r="K3546" s="9"/>
      <c r="L3546" s="9"/>
    </row>
    <row r="3547" s="105" customFormat="1" spans="9:12">
      <c r="I3547" s="225"/>
      <c r="K3547" s="9"/>
      <c r="L3547" s="9"/>
    </row>
    <row r="3548" s="105" customFormat="1" spans="9:12">
      <c r="I3548" s="225"/>
      <c r="K3548" s="9"/>
      <c r="L3548" s="9"/>
    </row>
    <row r="3549" s="105" customFormat="1" spans="9:12">
      <c r="I3549" s="225"/>
      <c r="K3549" s="9"/>
      <c r="L3549" s="9"/>
    </row>
    <row r="3550" s="105" customFormat="1" spans="9:12">
      <c r="I3550" s="225"/>
      <c r="K3550" s="9"/>
      <c r="L3550" s="9"/>
    </row>
    <row r="3551" s="105" customFormat="1" spans="9:12">
      <c r="I3551" s="225"/>
      <c r="K3551" s="9"/>
      <c r="L3551" s="9"/>
    </row>
    <row r="3552" s="105" customFormat="1" spans="9:12">
      <c r="I3552" s="225"/>
      <c r="K3552" s="9"/>
      <c r="L3552" s="9"/>
    </row>
    <row r="3553" s="105" customFormat="1" spans="9:12">
      <c r="I3553" s="225"/>
      <c r="K3553" s="9"/>
      <c r="L3553" s="9"/>
    </row>
    <row r="3554" s="105" customFormat="1" spans="9:12">
      <c r="I3554" s="225"/>
      <c r="K3554" s="9"/>
      <c r="L3554" s="9"/>
    </row>
    <row r="3555" s="105" customFormat="1" spans="9:12">
      <c r="I3555" s="225"/>
      <c r="K3555" s="9"/>
      <c r="L3555" s="9"/>
    </row>
    <row r="3556" s="105" customFormat="1" spans="9:12">
      <c r="I3556" s="225"/>
      <c r="K3556" s="9"/>
      <c r="L3556" s="9"/>
    </row>
    <row r="3557" s="105" customFormat="1" spans="9:12">
      <c r="I3557" s="225"/>
      <c r="K3557" s="9"/>
      <c r="L3557" s="9"/>
    </row>
    <row r="3558" s="105" customFormat="1" spans="9:12">
      <c r="I3558" s="225"/>
      <c r="K3558" s="9"/>
      <c r="L3558" s="9"/>
    </row>
    <row r="3559" s="105" customFormat="1" spans="9:12">
      <c r="I3559" s="225"/>
      <c r="K3559" s="9"/>
      <c r="L3559" s="9"/>
    </row>
    <row r="3560" s="105" customFormat="1" spans="9:12">
      <c r="I3560" s="225"/>
      <c r="K3560" s="9"/>
      <c r="L3560" s="9"/>
    </row>
    <row r="3561" s="105" customFormat="1" spans="9:12">
      <c r="I3561" s="225"/>
      <c r="K3561" s="9"/>
      <c r="L3561" s="9"/>
    </row>
    <row r="3562" s="105" customFormat="1" spans="9:12">
      <c r="I3562" s="225"/>
      <c r="K3562" s="9"/>
      <c r="L3562" s="9"/>
    </row>
    <row r="3563" s="105" customFormat="1" spans="9:12">
      <c r="I3563" s="225"/>
      <c r="K3563" s="9"/>
      <c r="L3563" s="9"/>
    </row>
    <row r="3564" s="105" customFormat="1" spans="9:12">
      <c r="I3564" s="225"/>
      <c r="K3564" s="9"/>
      <c r="L3564" s="9"/>
    </row>
    <row r="3565" s="105" customFormat="1" spans="9:12">
      <c r="I3565" s="225"/>
      <c r="K3565" s="9"/>
      <c r="L3565" s="9"/>
    </row>
    <row r="3566" s="105" customFormat="1" spans="9:12">
      <c r="I3566" s="225"/>
      <c r="K3566" s="9"/>
      <c r="L3566" s="9"/>
    </row>
    <row r="3567" s="105" customFormat="1" spans="9:12">
      <c r="I3567" s="225"/>
      <c r="K3567" s="9"/>
      <c r="L3567" s="9"/>
    </row>
    <row r="3568" s="105" customFormat="1" spans="9:12">
      <c r="I3568" s="225"/>
      <c r="K3568" s="9"/>
      <c r="L3568" s="9"/>
    </row>
    <row r="3569" s="105" customFormat="1" spans="9:12">
      <c r="I3569" s="225"/>
      <c r="K3569" s="9"/>
      <c r="L3569" s="9"/>
    </row>
    <row r="3570" s="105" customFormat="1" spans="9:12">
      <c r="I3570" s="225"/>
      <c r="K3570" s="9"/>
      <c r="L3570" s="9"/>
    </row>
    <row r="3571" s="105" customFormat="1" spans="9:12">
      <c r="I3571" s="225"/>
      <c r="K3571" s="9"/>
      <c r="L3571" s="9"/>
    </row>
    <row r="3572" s="105" customFormat="1" spans="9:12">
      <c r="I3572" s="225"/>
      <c r="K3572" s="9"/>
      <c r="L3572" s="9"/>
    </row>
    <row r="3573" s="105" customFormat="1" spans="9:12">
      <c r="I3573" s="225"/>
      <c r="K3573" s="9"/>
      <c r="L3573" s="9"/>
    </row>
    <row r="3574" s="105" customFormat="1" spans="9:12">
      <c r="I3574" s="225"/>
      <c r="K3574" s="9"/>
      <c r="L3574" s="9"/>
    </row>
    <row r="3575" s="105" customFormat="1" spans="9:12">
      <c r="I3575" s="225"/>
      <c r="K3575" s="9"/>
      <c r="L3575" s="9"/>
    </row>
    <row r="3576" s="105" customFormat="1" spans="9:12">
      <c r="I3576" s="225"/>
      <c r="K3576" s="9"/>
      <c r="L3576" s="9"/>
    </row>
    <row r="3577" s="105" customFormat="1" spans="9:12">
      <c r="I3577" s="225"/>
      <c r="K3577" s="9"/>
      <c r="L3577" s="9"/>
    </row>
    <row r="3578" s="105" customFormat="1" spans="9:12">
      <c r="I3578" s="225"/>
      <c r="K3578" s="9"/>
      <c r="L3578" s="9"/>
    </row>
    <row r="3579" s="105" customFormat="1" spans="9:12">
      <c r="I3579" s="225"/>
      <c r="K3579" s="9"/>
      <c r="L3579" s="9"/>
    </row>
    <row r="3580" s="105" customFormat="1" spans="9:12">
      <c r="I3580" s="225"/>
      <c r="K3580" s="9"/>
      <c r="L3580" s="9"/>
    </row>
    <row r="3581" s="105" customFormat="1" spans="9:12">
      <c r="I3581" s="225"/>
      <c r="K3581" s="9"/>
      <c r="L3581" s="9"/>
    </row>
    <row r="3582" s="105" customFormat="1" spans="9:12">
      <c r="I3582" s="225"/>
      <c r="K3582" s="9"/>
      <c r="L3582" s="9"/>
    </row>
    <row r="3583" s="105" customFormat="1" spans="9:12">
      <c r="I3583" s="225"/>
      <c r="K3583" s="9"/>
      <c r="L3583" s="9"/>
    </row>
    <row r="3584" s="105" customFormat="1" spans="9:12">
      <c r="I3584" s="225"/>
      <c r="K3584" s="9"/>
      <c r="L3584" s="9"/>
    </row>
    <row r="3585" s="105" customFormat="1" spans="9:12">
      <c r="I3585" s="225"/>
      <c r="K3585" s="9"/>
      <c r="L3585" s="9"/>
    </row>
    <row r="3586" s="105" customFormat="1" spans="9:12">
      <c r="I3586" s="225"/>
      <c r="K3586" s="9"/>
      <c r="L3586" s="9"/>
    </row>
    <row r="3587" s="105" customFormat="1" spans="9:12">
      <c r="I3587" s="225"/>
      <c r="K3587" s="9"/>
      <c r="L3587" s="9"/>
    </row>
    <row r="3588" s="105" customFormat="1" spans="9:12">
      <c r="I3588" s="225"/>
      <c r="K3588" s="9"/>
      <c r="L3588" s="9"/>
    </row>
    <row r="3589" s="105" customFormat="1" spans="9:12">
      <c r="I3589" s="225"/>
      <c r="K3589" s="9"/>
      <c r="L3589" s="9"/>
    </row>
    <row r="3590" s="105" customFormat="1" spans="9:12">
      <c r="I3590" s="225"/>
      <c r="K3590" s="9"/>
      <c r="L3590" s="9"/>
    </row>
    <row r="3591" s="105" customFormat="1" spans="9:12">
      <c r="I3591" s="225"/>
      <c r="K3591" s="9"/>
      <c r="L3591" s="9"/>
    </row>
    <row r="3592" s="105" customFormat="1" spans="9:12">
      <c r="I3592" s="225"/>
      <c r="K3592" s="9"/>
      <c r="L3592" s="9"/>
    </row>
    <row r="3593" s="105" customFormat="1" spans="9:12">
      <c r="I3593" s="225"/>
      <c r="K3593" s="9"/>
      <c r="L3593" s="9"/>
    </row>
    <row r="3594" s="105" customFormat="1" spans="9:12">
      <c r="I3594" s="225"/>
      <c r="K3594" s="9"/>
      <c r="L3594" s="9"/>
    </row>
    <row r="3595" s="105" customFormat="1" spans="9:12">
      <c r="I3595" s="225"/>
      <c r="K3595" s="9"/>
      <c r="L3595" s="9"/>
    </row>
    <row r="3596" s="105" customFormat="1" spans="9:12">
      <c r="I3596" s="225"/>
      <c r="K3596" s="9"/>
      <c r="L3596" s="9"/>
    </row>
    <row r="3597" s="105" customFormat="1" spans="9:12">
      <c r="I3597" s="225"/>
      <c r="K3597" s="9"/>
      <c r="L3597" s="9"/>
    </row>
    <row r="3598" s="105" customFormat="1" spans="9:12">
      <c r="I3598" s="225"/>
      <c r="K3598" s="9"/>
      <c r="L3598" s="9"/>
    </row>
    <row r="3599" s="105" customFormat="1" spans="9:12">
      <c r="I3599" s="225"/>
      <c r="K3599" s="9"/>
      <c r="L3599" s="9"/>
    </row>
    <row r="3600" s="105" customFormat="1" spans="9:12">
      <c r="I3600" s="225"/>
      <c r="K3600" s="9"/>
      <c r="L3600" s="9"/>
    </row>
    <row r="3601" s="105" customFormat="1" spans="9:12">
      <c r="I3601" s="225"/>
      <c r="K3601" s="9"/>
      <c r="L3601" s="9"/>
    </row>
    <row r="3602" s="105" customFormat="1" spans="9:12">
      <c r="I3602" s="225"/>
      <c r="K3602" s="9"/>
      <c r="L3602" s="9"/>
    </row>
    <row r="3603" s="105" customFormat="1" spans="9:12">
      <c r="I3603" s="225"/>
      <c r="K3603" s="9"/>
      <c r="L3603" s="9"/>
    </row>
    <row r="3604" s="105" customFormat="1" spans="9:12">
      <c r="I3604" s="225"/>
      <c r="K3604" s="9"/>
      <c r="L3604" s="9"/>
    </row>
    <row r="3605" s="105" customFormat="1" spans="9:12">
      <c r="I3605" s="225"/>
      <c r="K3605" s="9"/>
      <c r="L3605" s="9"/>
    </row>
    <row r="3606" s="105" customFormat="1" spans="9:12">
      <c r="I3606" s="225"/>
      <c r="K3606" s="9"/>
      <c r="L3606" s="9"/>
    </row>
    <row r="3607" s="105" customFormat="1" spans="9:12">
      <c r="I3607" s="225"/>
      <c r="K3607" s="9"/>
      <c r="L3607" s="9"/>
    </row>
    <row r="3608" s="105" customFormat="1" spans="9:12">
      <c r="I3608" s="225"/>
      <c r="K3608" s="9"/>
      <c r="L3608" s="9"/>
    </row>
    <row r="3609" s="105" customFormat="1" spans="9:12">
      <c r="I3609" s="225"/>
      <c r="K3609" s="9"/>
      <c r="L3609" s="9"/>
    </row>
    <row r="3610" s="105" customFormat="1" spans="9:12">
      <c r="I3610" s="225"/>
      <c r="K3610" s="9"/>
      <c r="L3610" s="9"/>
    </row>
    <row r="3611" s="105" customFormat="1" spans="9:12">
      <c r="I3611" s="225"/>
      <c r="K3611" s="9"/>
      <c r="L3611" s="9"/>
    </row>
    <row r="3612" s="105" customFormat="1" spans="9:12">
      <c r="I3612" s="225"/>
      <c r="K3612" s="9"/>
      <c r="L3612" s="9"/>
    </row>
    <row r="3613" s="105" customFormat="1" spans="9:12">
      <c r="I3613" s="225"/>
      <c r="K3613" s="9"/>
      <c r="L3613" s="9"/>
    </row>
    <row r="3614" s="105" customFormat="1" spans="9:12">
      <c r="I3614" s="225"/>
      <c r="K3614" s="9"/>
      <c r="L3614" s="9"/>
    </row>
    <row r="3615" s="105" customFormat="1" spans="9:12">
      <c r="I3615" s="225"/>
      <c r="K3615" s="9"/>
      <c r="L3615" s="9"/>
    </row>
    <row r="3616" s="105" customFormat="1" spans="9:12">
      <c r="I3616" s="225"/>
      <c r="K3616" s="9"/>
      <c r="L3616" s="9"/>
    </row>
    <row r="3617" s="105" customFormat="1" spans="9:12">
      <c r="I3617" s="225"/>
      <c r="K3617" s="9"/>
      <c r="L3617" s="9"/>
    </row>
    <row r="3618" s="105" customFormat="1" spans="9:12">
      <c r="I3618" s="225"/>
      <c r="K3618" s="9"/>
      <c r="L3618" s="9"/>
    </row>
    <row r="3619" s="105" customFormat="1" spans="9:12">
      <c r="I3619" s="225"/>
      <c r="K3619" s="9"/>
      <c r="L3619" s="9"/>
    </row>
    <row r="3620" s="105" customFormat="1" spans="9:12">
      <c r="I3620" s="225"/>
      <c r="K3620" s="9"/>
      <c r="L3620" s="9"/>
    </row>
    <row r="3621" s="105" customFormat="1" spans="9:12">
      <c r="I3621" s="225"/>
      <c r="K3621" s="9"/>
      <c r="L3621" s="9"/>
    </row>
    <row r="3622" s="105" customFormat="1" spans="9:12">
      <c r="I3622" s="225"/>
      <c r="K3622" s="9"/>
      <c r="L3622" s="9"/>
    </row>
    <row r="3623" s="105" customFormat="1" spans="9:12">
      <c r="I3623" s="225"/>
      <c r="K3623" s="9"/>
      <c r="L3623" s="9"/>
    </row>
    <row r="3624" s="105" customFormat="1" spans="9:12">
      <c r="I3624" s="225"/>
      <c r="K3624" s="9"/>
      <c r="L3624" s="9"/>
    </row>
    <row r="3625" s="105" customFormat="1" spans="9:12">
      <c r="I3625" s="225"/>
      <c r="K3625" s="9"/>
      <c r="L3625" s="9"/>
    </row>
    <row r="3626" s="105" customFormat="1" spans="9:12">
      <c r="I3626" s="225"/>
      <c r="K3626" s="9"/>
      <c r="L3626" s="9"/>
    </row>
    <row r="3627" s="105" customFormat="1" spans="9:12">
      <c r="I3627" s="225"/>
      <c r="K3627" s="9"/>
      <c r="L3627" s="9"/>
    </row>
    <row r="3628" s="105" customFormat="1" spans="9:12">
      <c r="I3628" s="225"/>
      <c r="K3628" s="9"/>
      <c r="L3628" s="9"/>
    </row>
    <row r="3629" s="105" customFormat="1" spans="9:12">
      <c r="I3629" s="225"/>
      <c r="K3629" s="9"/>
      <c r="L3629" s="9"/>
    </row>
    <row r="3630" s="105" customFormat="1" spans="9:12">
      <c r="I3630" s="225"/>
      <c r="K3630" s="9"/>
      <c r="L3630" s="9"/>
    </row>
    <row r="3631" s="105" customFormat="1" spans="9:12">
      <c r="I3631" s="225"/>
      <c r="K3631" s="9"/>
      <c r="L3631" s="9"/>
    </row>
    <row r="3632" s="105" customFormat="1" spans="9:12">
      <c r="I3632" s="225"/>
      <c r="K3632" s="9"/>
      <c r="L3632" s="9"/>
    </row>
    <row r="3633" s="105" customFormat="1" spans="9:12">
      <c r="I3633" s="225"/>
      <c r="K3633" s="9"/>
      <c r="L3633" s="9"/>
    </row>
    <row r="3634" s="105" customFormat="1" spans="9:12">
      <c r="I3634" s="225"/>
      <c r="K3634" s="9"/>
      <c r="L3634" s="9"/>
    </row>
    <row r="3635" s="105" customFormat="1" spans="9:12">
      <c r="I3635" s="225"/>
      <c r="K3635" s="9"/>
      <c r="L3635" s="9"/>
    </row>
    <row r="3636" s="105" customFormat="1" spans="9:12">
      <c r="I3636" s="225"/>
      <c r="K3636" s="9"/>
      <c r="L3636" s="9"/>
    </row>
    <row r="3637" s="105" customFormat="1" spans="9:12">
      <c r="I3637" s="225"/>
      <c r="K3637" s="9"/>
      <c r="L3637" s="9"/>
    </row>
    <row r="3638" s="105" customFormat="1" spans="9:12">
      <c r="I3638" s="225"/>
      <c r="K3638" s="9"/>
      <c r="L3638" s="9"/>
    </row>
    <row r="3639" s="105" customFormat="1" spans="9:12">
      <c r="I3639" s="225"/>
      <c r="K3639" s="9"/>
      <c r="L3639" s="9"/>
    </row>
    <row r="3640" s="105" customFormat="1" spans="9:12">
      <c r="I3640" s="225"/>
      <c r="K3640" s="9"/>
      <c r="L3640" s="9"/>
    </row>
    <row r="3641" s="105" customFormat="1" spans="9:12">
      <c r="I3641" s="225"/>
      <c r="K3641" s="9"/>
      <c r="L3641" s="9"/>
    </row>
    <row r="3642" s="105" customFormat="1" spans="9:12">
      <c r="I3642" s="225"/>
      <c r="K3642" s="9"/>
      <c r="L3642" s="9"/>
    </row>
    <row r="3643" s="105" customFormat="1" spans="9:12">
      <c r="I3643" s="225"/>
      <c r="K3643" s="9"/>
      <c r="L3643" s="9"/>
    </row>
    <row r="3644" s="105" customFormat="1" spans="9:12">
      <c r="I3644" s="225"/>
      <c r="K3644" s="9"/>
      <c r="L3644" s="9"/>
    </row>
    <row r="3645" s="105" customFormat="1" spans="9:12">
      <c r="I3645" s="225"/>
      <c r="K3645" s="9"/>
      <c r="L3645" s="9"/>
    </row>
    <row r="3646" s="105" customFormat="1" spans="9:12">
      <c r="I3646" s="225"/>
      <c r="K3646" s="9"/>
      <c r="L3646" s="9"/>
    </row>
    <row r="3647" s="105" customFormat="1" spans="9:12">
      <c r="I3647" s="225"/>
      <c r="K3647" s="9"/>
      <c r="L3647" s="9"/>
    </row>
    <row r="3648" s="105" customFormat="1" spans="9:12">
      <c r="I3648" s="225"/>
      <c r="K3648" s="9"/>
      <c r="L3648" s="9"/>
    </row>
    <row r="3649" s="105" customFormat="1" spans="9:12">
      <c r="I3649" s="225"/>
      <c r="K3649" s="9"/>
      <c r="L3649" s="9"/>
    </row>
    <row r="3650" s="105" customFormat="1" spans="9:12">
      <c r="I3650" s="225"/>
      <c r="K3650" s="9"/>
      <c r="L3650" s="9"/>
    </row>
    <row r="3651" s="105" customFormat="1" spans="9:12">
      <c r="I3651" s="225"/>
      <c r="K3651" s="9"/>
      <c r="L3651" s="9"/>
    </row>
    <row r="3652" s="105" customFormat="1" spans="9:12">
      <c r="I3652" s="225"/>
      <c r="K3652" s="9"/>
      <c r="L3652" s="9"/>
    </row>
    <row r="3653" s="105" customFormat="1" spans="9:12">
      <c r="I3653" s="225"/>
      <c r="K3653" s="9"/>
      <c r="L3653" s="9"/>
    </row>
    <row r="3654" s="105" customFormat="1" spans="9:12">
      <c r="I3654" s="225"/>
      <c r="K3654" s="9"/>
      <c r="L3654" s="9"/>
    </row>
    <row r="3655" s="105" customFormat="1" spans="9:12">
      <c r="I3655" s="225"/>
      <c r="K3655" s="9"/>
      <c r="L3655" s="9"/>
    </row>
    <row r="3656" s="105" customFormat="1" spans="9:12">
      <c r="I3656" s="225"/>
      <c r="K3656" s="9"/>
      <c r="L3656" s="9"/>
    </row>
    <row r="3657" s="105" customFormat="1" spans="9:12">
      <c r="I3657" s="225"/>
      <c r="K3657" s="9"/>
      <c r="L3657" s="9"/>
    </row>
    <row r="3658" s="105" customFormat="1" spans="9:12">
      <c r="I3658" s="225"/>
      <c r="K3658" s="9"/>
      <c r="L3658" s="9"/>
    </row>
    <row r="3659" s="105" customFormat="1" spans="9:12">
      <c r="I3659" s="225"/>
      <c r="K3659" s="9"/>
      <c r="L3659" s="9"/>
    </row>
    <row r="3660" s="105" customFormat="1" spans="9:12">
      <c r="I3660" s="225"/>
      <c r="K3660" s="9"/>
      <c r="L3660" s="9"/>
    </row>
    <row r="3661" s="105" customFormat="1" spans="9:12">
      <c r="I3661" s="225"/>
      <c r="K3661" s="9"/>
      <c r="L3661" s="9"/>
    </row>
    <row r="3662" s="105" customFormat="1" spans="9:12">
      <c r="I3662" s="225"/>
      <c r="K3662" s="9"/>
      <c r="L3662" s="9"/>
    </row>
    <row r="3663" s="105" customFormat="1" spans="9:12">
      <c r="I3663" s="225"/>
      <c r="K3663" s="9"/>
      <c r="L3663" s="9"/>
    </row>
    <row r="3664" s="105" customFormat="1" spans="9:12">
      <c r="I3664" s="225"/>
      <c r="K3664" s="9"/>
      <c r="L3664" s="9"/>
    </row>
    <row r="3665" s="105" customFormat="1" spans="9:12">
      <c r="I3665" s="225"/>
      <c r="K3665" s="9"/>
      <c r="L3665" s="9"/>
    </row>
    <row r="3666" s="105" customFormat="1" spans="9:12">
      <c r="I3666" s="225"/>
      <c r="K3666" s="9"/>
      <c r="L3666" s="9"/>
    </row>
    <row r="3667" s="105" customFormat="1" spans="9:12">
      <c r="I3667" s="225"/>
      <c r="K3667" s="9"/>
      <c r="L3667" s="9"/>
    </row>
    <row r="3668" s="105" customFormat="1" spans="9:12">
      <c r="I3668" s="225"/>
      <c r="K3668" s="9"/>
      <c r="L3668" s="9"/>
    </row>
    <row r="3669" s="105" customFormat="1" spans="9:12">
      <c r="I3669" s="225"/>
      <c r="K3669" s="9"/>
      <c r="L3669" s="9"/>
    </row>
    <row r="3670" s="105" customFormat="1" spans="9:12">
      <c r="I3670" s="225"/>
      <c r="K3670" s="9"/>
      <c r="L3670" s="9"/>
    </row>
    <row r="3671" s="105" customFormat="1" spans="9:12">
      <c r="I3671" s="225"/>
      <c r="K3671" s="9"/>
      <c r="L3671" s="9"/>
    </row>
    <row r="3672" s="105" customFormat="1" spans="9:12">
      <c r="I3672" s="225"/>
      <c r="K3672" s="9"/>
      <c r="L3672" s="9"/>
    </row>
    <row r="3673" s="105" customFormat="1" spans="9:12">
      <c r="I3673" s="225"/>
      <c r="K3673" s="9"/>
      <c r="L3673" s="9"/>
    </row>
    <row r="3674" s="105" customFormat="1" spans="9:12">
      <c r="I3674" s="225"/>
      <c r="K3674" s="9"/>
      <c r="L3674" s="9"/>
    </row>
    <row r="3675" s="105" customFormat="1" spans="9:12">
      <c r="I3675" s="225"/>
      <c r="K3675" s="9"/>
      <c r="L3675" s="9"/>
    </row>
    <row r="3676" s="105" customFormat="1" spans="9:12">
      <c r="I3676" s="225"/>
      <c r="K3676" s="9"/>
      <c r="L3676" s="9"/>
    </row>
    <row r="3677" s="105" customFormat="1" spans="9:12">
      <c r="I3677" s="225"/>
      <c r="K3677" s="9"/>
      <c r="L3677" s="9"/>
    </row>
    <row r="3678" s="105" customFormat="1" spans="9:12">
      <c r="I3678" s="225"/>
      <c r="K3678" s="9"/>
      <c r="L3678" s="9"/>
    </row>
    <row r="3679" s="105" customFormat="1" spans="9:12">
      <c r="I3679" s="225"/>
      <c r="K3679" s="9"/>
      <c r="L3679" s="9"/>
    </row>
    <row r="3680" s="105" customFormat="1" spans="9:12">
      <c r="I3680" s="225"/>
      <c r="K3680" s="9"/>
      <c r="L3680" s="9"/>
    </row>
    <row r="3681" s="105" customFormat="1" spans="9:12">
      <c r="I3681" s="225"/>
      <c r="K3681" s="9"/>
      <c r="L3681" s="9"/>
    </row>
    <row r="3682" s="105" customFormat="1" spans="9:12">
      <c r="I3682" s="225"/>
      <c r="K3682" s="9"/>
      <c r="L3682" s="9"/>
    </row>
    <row r="3683" s="105" customFormat="1" spans="9:12">
      <c r="I3683" s="225"/>
      <c r="K3683" s="9"/>
      <c r="L3683" s="9"/>
    </row>
    <row r="3684" s="105" customFormat="1" spans="9:12">
      <c r="I3684" s="225"/>
      <c r="K3684" s="9"/>
      <c r="L3684" s="9"/>
    </row>
    <row r="3685" s="105" customFormat="1" spans="9:12">
      <c r="I3685" s="225"/>
      <c r="K3685" s="9"/>
      <c r="L3685" s="9"/>
    </row>
    <row r="3686" s="105" customFormat="1" spans="9:12">
      <c r="I3686" s="225"/>
      <c r="K3686" s="9"/>
      <c r="L3686" s="9"/>
    </row>
    <row r="3687" s="105" customFormat="1" spans="9:12">
      <c r="I3687" s="225"/>
      <c r="K3687" s="9"/>
      <c r="L3687" s="9"/>
    </row>
    <row r="3688" s="105" customFormat="1" spans="9:12">
      <c r="I3688" s="225"/>
      <c r="K3688" s="9"/>
      <c r="L3688" s="9"/>
    </row>
    <row r="3689" s="105" customFormat="1" spans="9:12">
      <c r="I3689" s="225"/>
      <c r="K3689" s="9"/>
      <c r="L3689" s="9"/>
    </row>
    <row r="3690" s="105" customFormat="1" spans="9:12">
      <c r="I3690" s="225"/>
      <c r="K3690" s="9"/>
      <c r="L3690" s="9"/>
    </row>
    <row r="3691" s="105" customFormat="1" spans="9:12">
      <c r="I3691" s="225"/>
      <c r="K3691" s="9"/>
      <c r="L3691" s="9"/>
    </row>
    <row r="3692" s="105" customFormat="1" spans="9:12">
      <c r="I3692" s="225"/>
      <c r="K3692" s="9"/>
      <c r="L3692" s="9"/>
    </row>
    <row r="3693" s="105" customFormat="1" spans="9:12">
      <c r="I3693" s="225"/>
      <c r="K3693" s="9"/>
      <c r="L3693" s="9"/>
    </row>
    <row r="3694" s="105" customFormat="1" spans="9:12">
      <c r="I3694" s="225"/>
      <c r="K3694" s="9"/>
      <c r="L3694" s="9"/>
    </row>
    <row r="3695" s="105" customFormat="1" spans="9:12">
      <c r="I3695" s="225"/>
      <c r="K3695" s="9"/>
      <c r="L3695" s="9"/>
    </row>
    <row r="3696" s="105" customFormat="1" spans="9:12">
      <c r="I3696" s="225"/>
      <c r="K3696" s="9"/>
      <c r="L3696" s="9"/>
    </row>
    <row r="3697" s="105" customFormat="1" spans="9:12">
      <c r="I3697" s="225"/>
      <c r="K3697" s="9"/>
      <c r="L3697" s="9"/>
    </row>
    <row r="3698" s="105" customFormat="1" spans="9:12">
      <c r="I3698" s="225"/>
      <c r="K3698" s="9"/>
      <c r="L3698" s="9"/>
    </row>
    <row r="3699" s="105" customFormat="1" spans="9:12">
      <c r="I3699" s="225"/>
      <c r="K3699" s="9"/>
      <c r="L3699" s="9"/>
    </row>
    <row r="3700" s="105" customFormat="1" spans="9:12">
      <c r="I3700" s="225"/>
      <c r="K3700" s="9"/>
      <c r="L3700" s="9"/>
    </row>
    <row r="3701" s="105" customFormat="1" spans="9:12">
      <c r="I3701" s="225"/>
      <c r="K3701" s="9"/>
      <c r="L3701" s="9"/>
    </row>
    <row r="3702" s="105" customFormat="1" spans="9:12">
      <c r="I3702" s="225"/>
      <c r="K3702" s="9"/>
      <c r="L3702" s="9"/>
    </row>
    <row r="3703" s="105" customFormat="1" spans="9:12">
      <c r="I3703" s="225"/>
      <c r="K3703" s="9"/>
      <c r="L3703" s="9"/>
    </row>
    <row r="3704" s="105" customFormat="1" spans="9:12">
      <c r="I3704" s="225"/>
      <c r="K3704" s="9"/>
      <c r="L3704" s="9"/>
    </row>
    <row r="3705" s="105" customFormat="1" spans="9:12">
      <c r="I3705" s="225"/>
      <c r="K3705" s="9"/>
      <c r="L3705" s="9"/>
    </row>
    <row r="3706" s="105" customFormat="1" spans="9:12">
      <c r="I3706" s="225"/>
      <c r="K3706" s="9"/>
      <c r="L3706" s="9"/>
    </row>
    <row r="3707" s="105" customFormat="1" spans="9:12">
      <c r="I3707" s="225"/>
      <c r="K3707" s="9"/>
      <c r="L3707" s="9"/>
    </row>
    <row r="3708" s="105" customFormat="1" spans="9:12">
      <c r="I3708" s="225"/>
      <c r="K3708" s="9"/>
      <c r="L3708" s="9"/>
    </row>
    <row r="3709" s="105" customFormat="1" spans="9:12">
      <c r="I3709" s="225"/>
      <c r="K3709" s="9"/>
      <c r="L3709" s="9"/>
    </row>
    <row r="3710" s="105" customFormat="1" spans="9:12">
      <c r="I3710" s="225"/>
      <c r="K3710" s="9"/>
      <c r="L3710" s="9"/>
    </row>
    <row r="3711" s="105" customFormat="1" spans="9:12">
      <c r="I3711" s="225"/>
      <c r="K3711" s="9"/>
      <c r="L3711" s="9"/>
    </row>
    <row r="3712" s="105" customFormat="1" spans="9:12">
      <c r="I3712" s="225"/>
      <c r="K3712" s="9"/>
      <c r="L3712" s="9"/>
    </row>
    <row r="3713" s="105" customFormat="1" spans="9:12">
      <c r="I3713" s="225"/>
      <c r="K3713" s="9"/>
      <c r="L3713" s="9"/>
    </row>
    <row r="3714" s="105" customFormat="1" spans="9:12">
      <c r="I3714" s="225"/>
      <c r="K3714" s="9"/>
      <c r="L3714" s="9"/>
    </row>
    <row r="3715" s="105" customFormat="1" spans="9:12">
      <c r="I3715" s="225"/>
      <c r="K3715" s="9"/>
      <c r="L3715" s="9"/>
    </row>
    <row r="3716" s="105" customFormat="1" spans="9:12">
      <c r="I3716" s="225"/>
      <c r="K3716" s="9"/>
      <c r="L3716" s="9"/>
    </row>
    <row r="3717" s="105" customFormat="1" spans="9:12">
      <c r="I3717" s="225"/>
      <c r="K3717" s="9"/>
      <c r="L3717" s="9"/>
    </row>
    <row r="3718" s="105" customFormat="1" spans="9:12">
      <c r="I3718" s="225"/>
      <c r="K3718" s="9"/>
      <c r="L3718" s="9"/>
    </row>
    <row r="3719" s="105" customFormat="1" spans="9:12">
      <c r="I3719" s="225"/>
      <c r="K3719" s="9"/>
      <c r="L3719" s="9"/>
    </row>
    <row r="3720" s="105" customFormat="1" spans="9:12">
      <c r="I3720" s="225"/>
      <c r="K3720" s="9"/>
      <c r="L3720" s="9"/>
    </row>
    <row r="3721" s="105" customFormat="1" spans="9:12">
      <c r="I3721" s="225"/>
      <c r="K3721" s="9"/>
      <c r="L3721" s="9"/>
    </row>
    <row r="3722" s="105" customFormat="1" spans="9:12">
      <c r="I3722" s="225"/>
      <c r="K3722" s="9"/>
      <c r="L3722" s="9"/>
    </row>
    <row r="3723" s="105" customFormat="1" spans="9:12">
      <c r="I3723" s="225"/>
      <c r="K3723" s="9"/>
      <c r="L3723" s="9"/>
    </row>
    <row r="3724" s="105" customFormat="1" spans="9:12">
      <c r="I3724" s="225"/>
      <c r="K3724" s="9"/>
      <c r="L3724" s="9"/>
    </row>
    <row r="3725" s="105" customFormat="1" spans="9:12">
      <c r="I3725" s="225"/>
      <c r="K3725" s="9"/>
      <c r="L3725" s="9"/>
    </row>
    <row r="3726" s="105" customFormat="1" spans="9:12">
      <c r="I3726" s="225"/>
      <c r="K3726" s="9"/>
      <c r="L3726" s="9"/>
    </row>
    <row r="3727" s="105" customFormat="1" spans="9:12">
      <c r="I3727" s="225"/>
      <c r="K3727" s="9"/>
      <c r="L3727" s="9"/>
    </row>
    <row r="3728" s="105" customFormat="1" spans="9:12">
      <c r="I3728" s="225"/>
      <c r="K3728" s="9"/>
      <c r="L3728" s="9"/>
    </row>
    <row r="3729" s="105" customFormat="1" spans="9:12">
      <c r="I3729" s="225"/>
      <c r="K3729" s="9"/>
      <c r="L3729" s="9"/>
    </row>
    <row r="3730" s="105" customFormat="1" spans="9:12">
      <c r="I3730" s="225"/>
      <c r="K3730" s="9"/>
      <c r="L3730" s="9"/>
    </row>
    <row r="3731" s="105" customFormat="1" spans="9:12">
      <c r="I3731" s="225"/>
      <c r="K3731" s="9"/>
      <c r="L3731" s="9"/>
    </row>
    <row r="3732" s="105" customFormat="1" spans="9:12">
      <c r="I3732" s="225"/>
      <c r="K3732" s="9"/>
      <c r="L3732" s="9"/>
    </row>
    <row r="3733" s="105" customFormat="1" spans="9:12">
      <c r="I3733" s="225"/>
      <c r="K3733" s="9"/>
      <c r="L3733" s="9"/>
    </row>
    <row r="3734" s="105" customFormat="1" spans="9:12">
      <c r="I3734" s="225"/>
      <c r="K3734" s="9"/>
      <c r="L3734" s="9"/>
    </row>
    <row r="3735" s="105" customFormat="1" spans="9:12">
      <c r="I3735" s="225"/>
      <c r="K3735" s="9"/>
      <c r="L3735" s="9"/>
    </row>
    <row r="3736" s="105" customFormat="1" spans="9:12">
      <c r="I3736" s="225"/>
      <c r="K3736" s="9"/>
      <c r="L3736" s="9"/>
    </row>
    <row r="3737" s="105" customFormat="1" spans="9:12">
      <c r="I3737" s="225"/>
      <c r="K3737" s="9"/>
      <c r="L3737" s="9"/>
    </row>
    <row r="3738" s="105" customFormat="1" spans="9:12">
      <c r="I3738" s="225"/>
      <c r="K3738" s="9"/>
      <c r="L3738" s="9"/>
    </row>
    <row r="3739" s="105" customFormat="1" spans="9:12">
      <c r="I3739" s="225"/>
      <c r="K3739" s="9"/>
      <c r="L3739" s="9"/>
    </row>
    <row r="3740" s="105" customFormat="1" spans="9:12">
      <c r="I3740" s="225"/>
      <c r="K3740" s="9"/>
      <c r="L3740" s="9"/>
    </row>
    <row r="3741" s="105" customFormat="1" spans="9:12">
      <c r="I3741" s="225"/>
      <c r="K3741" s="9"/>
      <c r="L3741" s="9"/>
    </row>
    <row r="3742" s="105" customFormat="1" spans="9:12">
      <c r="I3742" s="225"/>
      <c r="K3742" s="9"/>
      <c r="L3742" s="9"/>
    </row>
    <row r="3743" s="105" customFormat="1" spans="9:12">
      <c r="I3743" s="225"/>
      <c r="K3743" s="9"/>
      <c r="L3743" s="9"/>
    </row>
    <row r="3744" s="105" customFormat="1" spans="9:12">
      <c r="I3744" s="225"/>
      <c r="K3744" s="9"/>
      <c r="L3744" s="9"/>
    </row>
    <row r="3745" s="105" customFormat="1" spans="9:12">
      <c r="I3745" s="225"/>
      <c r="K3745" s="9"/>
      <c r="L3745" s="9"/>
    </row>
    <row r="3746" s="105" customFormat="1" spans="9:12">
      <c r="I3746" s="225"/>
      <c r="K3746" s="9"/>
      <c r="L3746" s="9"/>
    </row>
    <row r="3747" s="105" customFormat="1" spans="9:12">
      <c r="I3747" s="225"/>
      <c r="K3747" s="9"/>
      <c r="L3747" s="9"/>
    </row>
    <row r="3748" s="105" customFormat="1" spans="9:12">
      <c r="I3748" s="225"/>
      <c r="K3748" s="9"/>
      <c r="L3748" s="9"/>
    </row>
    <row r="3749" s="105" customFormat="1" spans="9:12">
      <c r="I3749" s="225"/>
      <c r="K3749" s="9"/>
      <c r="L3749" s="9"/>
    </row>
    <row r="3750" s="105" customFormat="1" spans="9:12">
      <c r="I3750" s="225"/>
      <c r="K3750" s="9"/>
      <c r="L3750" s="9"/>
    </row>
    <row r="3751" s="105" customFormat="1" spans="9:12">
      <c r="I3751" s="225"/>
      <c r="K3751" s="9"/>
      <c r="L3751" s="9"/>
    </row>
    <row r="3752" s="105" customFormat="1" spans="9:12">
      <c r="I3752" s="225"/>
      <c r="K3752" s="9"/>
      <c r="L3752" s="9"/>
    </row>
    <row r="3753" s="105" customFormat="1" spans="9:12">
      <c r="I3753" s="225"/>
      <c r="K3753" s="9"/>
      <c r="L3753" s="9"/>
    </row>
    <row r="3754" s="105" customFormat="1" spans="9:12">
      <c r="I3754" s="225"/>
      <c r="K3754" s="9"/>
      <c r="L3754" s="9"/>
    </row>
    <row r="3755" s="105" customFormat="1" spans="9:12">
      <c r="I3755" s="225"/>
      <c r="K3755" s="9"/>
      <c r="L3755" s="9"/>
    </row>
    <row r="3756" s="105" customFormat="1" spans="9:12">
      <c r="I3756" s="225"/>
      <c r="K3756" s="9"/>
      <c r="L3756" s="9"/>
    </row>
    <row r="3757" s="105" customFormat="1" spans="9:12">
      <c r="I3757" s="225"/>
      <c r="K3757" s="9"/>
      <c r="L3757" s="9"/>
    </row>
    <row r="3758" s="105" customFormat="1" spans="9:12">
      <c r="I3758" s="225"/>
      <c r="K3758" s="9"/>
      <c r="L3758" s="9"/>
    </row>
    <row r="3759" s="105" customFormat="1" spans="9:12">
      <c r="I3759" s="225"/>
      <c r="K3759" s="9"/>
      <c r="L3759" s="9"/>
    </row>
    <row r="3760" s="105" customFormat="1" spans="9:12">
      <c r="I3760" s="225"/>
      <c r="K3760" s="9"/>
      <c r="L3760" s="9"/>
    </row>
    <row r="3761" s="105" customFormat="1" spans="9:12">
      <c r="I3761" s="225"/>
      <c r="K3761" s="9"/>
      <c r="L3761" s="9"/>
    </row>
    <row r="3762" s="105" customFormat="1" spans="9:12">
      <c r="I3762" s="225"/>
      <c r="K3762" s="9"/>
      <c r="L3762" s="9"/>
    </row>
    <row r="3763" s="105" customFormat="1" spans="9:12">
      <c r="I3763" s="225"/>
      <c r="K3763" s="9"/>
      <c r="L3763" s="9"/>
    </row>
    <row r="3764" s="105" customFormat="1" spans="9:12">
      <c r="I3764" s="225"/>
      <c r="K3764" s="9"/>
      <c r="L3764" s="9"/>
    </row>
    <row r="3765" s="105" customFormat="1" spans="9:12">
      <c r="I3765" s="225"/>
      <c r="K3765" s="9"/>
      <c r="L3765" s="9"/>
    </row>
    <row r="3766" s="105" customFormat="1" spans="9:12">
      <c r="I3766" s="225"/>
      <c r="K3766" s="9"/>
      <c r="L3766" s="9"/>
    </row>
    <row r="3767" s="105" customFormat="1" spans="9:12">
      <c r="I3767" s="225"/>
      <c r="K3767" s="9"/>
      <c r="L3767" s="9"/>
    </row>
    <row r="3768" s="105" customFormat="1" spans="9:12">
      <c r="I3768" s="225"/>
      <c r="K3768" s="9"/>
      <c r="L3768" s="9"/>
    </row>
    <row r="3769" s="105" customFormat="1" spans="9:12">
      <c r="I3769" s="225"/>
      <c r="K3769" s="9"/>
      <c r="L3769" s="9"/>
    </row>
    <row r="3770" s="105" customFormat="1" spans="9:12">
      <c r="I3770" s="225"/>
      <c r="K3770" s="9"/>
      <c r="L3770" s="9"/>
    </row>
    <row r="3771" s="105" customFormat="1" spans="9:12">
      <c r="I3771" s="225"/>
      <c r="K3771" s="9"/>
      <c r="L3771" s="9"/>
    </row>
    <row r="3772" s="105" customFormat="1" spans="9:12">
      <c r="I3772" s="225"/>
      <c r="K3772" s="9"/>
      <c r="L3772" s="9"/>
    </row>
    <row r="3773" s="105" customFormat="1" spans="9:12">
      <c r="I3773" s="225"/>
      <c r="K3773" s="9"/>
      <c r="L3773" s="9"/>
    </row>
    <row r="3774" s="105" customFormat="1" spans="9:12">
      <c r="I3774" s="225"/>
      <c r="K3774" s="9"/>
      <c r="L3774" s="9"/>
    </row>
    <row r="3775" s="105" customFormat="1" spans="9:12">
      <c r="I3775" s="225"/>
      <c r="K3775" s="9"/>
      <c r="L3775" s="9"/>
    </row>
    <row r="3776" s="105" customFormat="1" spans="9:12">
      <c r="I3776" s="225"/>
      <c r="K3776" s="9"/>
      <c r="L3776" s="9"/>
    </row>
    <row r="3777" s="105" customFormat="1" spans="9:12">
      <c r="I3777" s="225"/>
      <c r="K3777" s="9"/>
      <c r="L3777" s="9"/>
    </row>
    <row r="3778" s="105" customFormat="1" spans="9:12">
      <c r="I3778" s="225"/>
      <c r="K3778" s="9"/>
      <c r="L3778" s="9"/>
    </row>
    <row r="3779" s="105" customFormat="1" spans="9:12">
      <c r="I3779" s="225"/>
      <c r="K3779" s="9"/>
      <c r="L3779" s="9"/>
    </row>
    <row r="3780" s="105" customFormat="1" spans="9:12">
      <c r="I3780" s="225"/>
      <c r="K3780" s="9"/>
      <c r="L3780" s="9"/>
    </row>
    <row r="3781" s="105" customFormat="1" spans="9:12">
      <c r="I3781" s="225"/>
      <c r="K3781" s="9"/>
      <c r="L3781" s="9"/>
    </row>
    <row r="3782" s="105" customFormat="1" spans="9:12">
      <c r="I3782" s="225"/>
      <c r="K3782" s="9"/>
      <c r="L3782" s="9"/>
    </row>
    <row r="3783" s="105" customFormat="1" spans="9:12">
      <c r="I3783" s="225"/>
      <c r="K3783" s="9"/>
      <c r="L3783" s="9"/>
    </row>
    <row r="3784" s="105" customFormat="1" spans="9:12">
      <c r="I3784" s="225"/>
      <c r="K3784" s="9"/>
      <c r="L3784" s="9"/>
    </row>
    <row r="3785" s="105" customFormat="1" spans="9:12">
      <c r="I3785" s="225"/>
      <c r="K3785" s="9"/>
      <c r="L3785" s="9"/>
    </row>
    <row r="3786" s="105" customFormat="1" spans="9:12">
      <c r="I3786" s="225"/>
      <c r="K3786" s="9"/>
      <c r="L3786" s="9"/>
    </row>
    <row r="3787" s="105" customFormat="1" spans="9:12">
      <c r="I3787" s="225"/>
      <c r="K3787" s="9"/>
      <c r="L3787" s="9"/>
    </row>
    <row r="3788" s="105" customFormat="1" spans="9:12">
      <c r="I3788" s="225"/>
      <c r="K3788" s="9"/>
      <c r="L3788" s="9"/>
    </row>
    <row r="3789" s="105" customFormat="1" spans="9:12">
      <c r="I3789" s="225"/>
      <c r="K3789" s="9"/>
      <c r="L3789" s="9"/>
    </row>
    <row r="3790" s="105" customFormat="1" spans="9:12">
      <c r="I3790" s="225"/>
      <c r="K3790" s="9"/>
      <c r="L3790" s="9"/>
    </row>
    <row r="3791" s="105" customFormat="1" spans="9:12">
      <c r="I3791" s="225"/>
      <c r="K3791" s="9"/>
      <c r="L3791" s="9"/>
    </row>
    <row r="3792" s="105" customFormat="1" spans="9:12">
      <c r="I3792" s="225"/>
      <c r="K3792" s="9"/>
      <c r="L3792" s="9"/>
    </row>
    <row r="3793" s="105" customFormat="1" spans="9:12">
      <c r="I3793" s="225"/>
      <c r="K3793" s="9"/>
      <c r="L3793" s="9"/>
    </row>
    <row r="3794" s="105" customFormat="1" spans="9:12">
      <c r="I3794" s="225"/>
      <c r="K3794" s="9"/>
      <c r="L3794" s="9"/>
    </row>
    <row r="3795" s="105" customFormat="1" spans="9:12">
      <c r="I3795" s="225"/>
      <c r="K3795" s="9"/>
      <c r="L3795" s="9"/>
    </row>
    <row r="3796" s="105" customFormat="1" spans="9:12">
      <c r="I3796" s="225"/>
      <c r="K3796" s="9"/>
      <c r="L3796" s="9"/>
    </row>
    <row r="3797" s="105" customFormat="1" spans="9:12">
      <c r="I3797" s="225"/>
      <c r="K3797" s="9"/>
      <c r="L3797" s="9"/>
    </row>
    <row r="3798" s="105" customFormat="1" spans="9:12">
      <c r="I3798" s="225"/>
      <c r="K3798" s="9"/>
      <c r="L3798" s="9"/>
    </row>
    <row r="3799" s="105" customFormat="1" spans="9:12">
      <c r="I3799" s="225"/>
      <c r="K3799" s="9"/>
      <c r="L3799" s="9"/>
    </row>
    <row r="3800" s="105" customFormat="1" spans="9:12">
      <c r="I3800" s="225"/>
      <c r="K3800" s="9"/>
      <c r="L3800" s="9"/>
    </row>
    <row r="3801" s="105" customFormat="1" spans="9:12">
      <c r="I3801" s="225"/>
      <c r="K3801" s="9"/>
      <c r="L3801" s="9"/>
    </row>
    <row r="3802" s="105" customFormat="1" spans="9:12">
      <c r="I3802" s="225"/>
      <c r="K3802" s="9"/>
      <c r="L3802" s="9"/>
    </row>
    <row r="3803" s="105" customFormat="1" spans="9:12">
      <c r="I3803" s="225"/>
      <c r="K3803" s="9"/>
      <c r="L3803" s="9"/>
    </row>
    <row r="3804" s="105" customFormat="1" spans="9:12">
      <c r="I3804" s="225"/>
      <c r="K3804" s="9"/>
      <c r="L3804" s="9"/>
    </row>
    <row r="3805" s="105" customFormat="1" spans="9:12">
      <c r="I3805" s="225"/>
      <c r="K3805" s="9"/>
      <c r="L3805" s="9"/>
    </row>
    <row r="3806" s="105" customFormat="1" spans="9:12">
      <c r="I3806" s="225"/>
      <c r="K3806" s="9"/>
      <c r="L3806" s="9"/>
    </row>
    <row r="3807" s="105" customFormat="1" spans="9:12">
      <c r="I3807" s="225"/>
      <c r="K3807" s="9"/>
      <c r="L3807" s="9"/>
    </row>
    <row r="3808" s="105" customFormat="1" spans="9:12">
      <c r="I3808" s="225"/>
      <c r="K3808" s="9"/>
      <c r="L3808" s="9"/>
    </row>
    <row r="3809" s="105" customFormat="1" spans="9:12">
      <c r="I3809" s="225"/>
      <c r="K3809" s="9"/>
      <c r="L3809" s="9"/>
    </row>
    <row r="3810" s="105" customFormat="1" spans="9:12">
      <c r="I3810" s="225"/>
      <c r="K3810" s="9"/>
      <c r="L3810" s="9"/>
    </row>
    <row r="3811" s="105" customFormat="1" spans="9:12">
      <c r="I3811" s="225"/>
      <c r="K3811" s="9"/>
      <c r="L3811" s="9"/>
    </row>
    <row r="3812" s="105" customFormat="1" spans="9:12">
      <c r="I3812" s="225"/>
      <c r="K3812" s="9"/>
      <c r="L3812" s="9"/>
    </row>
    <row r="3813" s="105" customFormat="1" spans="9:12">
      <c r="I3813" s="225"/>
      <c r="K3813" s="9"/>
      <c r="L3813" s="9"/>
    </row>
    <row r="3814" s="105" customFormat="1" spans="9:12">
      <c r="I3814" s="225"/>
      <c r="K3814" s="9"/>
      <c r="L3814" s="9"/>
    </row>
    <row r="3815" s="105" customFormat="1" spans="9:12">
      <c r="I3815" s="225"/>
      <c r="K3815" s="9"/>
      <c r="L3815" s="9"/>
    </row>
    <row r="3816" s="105" customFormat="1" spans="9:12">
      <c r="I3816" s="225"/>
      <c r="K3816" s="9"/>
      <c r="L3816" s="9"/>
    </row>
    <row r="3817" s="105" customFormat="1" spans="9:12">
      <c r="I3817" s="225"/>
      <c r="K3817" s="9"/>
      <c r="L3817" s="9"/>
    </row>
    <row r="3818" s="105" customFormat="1" spans="9:12">
      <c r="I3818" s="225"/>
      <c r="K3818" s="9"/>
      <c r="L3818" s="9"/>
    </row>
    <row r="3819" s="105" customFormat="1" spans="9:12">
      <c r="I3819" s="225"/>
      <c r="K3819" s="9"/>
      <c r="L3819" s="9"/>
    </row>
    <row r="3820" s="105" customFormat="1" spans="9:12">
      <c r="I3820" s="225"/>
      <c r="K3820" s="9"/>
      <c r="L3820" s="9"/>
    </row>
    <row r="3821" s="105" customFormat="1" spans="9:12">
      <c r="I3821" s="225"/>
      <c r="K3821" s="9"/>
      <c r="L3821" s="9"/>
    </row>
    <row r="3822" s="105" customFormat="1" spans="9:12">
      <c r="I3822" s="225"/>
      <c r="K3822" s="9"/>
      <c r="L3822" s="9"/>
    </row>
    <row r="3823" s="105" customFormat="1" spans="9:12">
      <c r="I3823" s="225"/>
      <c r="K3823" s="9"/>
      <c r="L3823" s="9"/>
    </row>
    <row r="3824" s="105" customFormat="1" spans="9:12">
      <c r="I3824" s="225"/>
      <c r="K3824" s="9"/>
      <c r="L3824" s="9"/>
    </row>
    <row r="3825" s="105" customFormat="1" spans="9:12">
      <c r="I3825" s="225"/>
      <c r="K3825" s="9"/>
      <c r="L3825" s="9"/>
    </row>
    <row r="3826" s="105" customFormat="1" spans="9:12">
      <c r="I3826" s="225"/>
      <c r="K3826" s="9"/>
      <c r="L3826" s="9"/>
    </row>
    <row r="3827" s="105" customFormat="1" spans="9:12">
      <c r="I3827" s="225"/>
      <c r="K3827" s="9"/>
      <c r="L3827" s="9"/>
    </row>
    <row r="3828" s="105" customFormat="1" spans="9:12">
      <c r="I3828" s="225"/>
      <c r="K3828" s="9"/>
      <c r="L3828" s="9"/>
    </row>
    <row r="3829" s="105" customFormat="1" spans="9:12">
      <c r="I3829" s="225"/>
      <c r="K3829" s="9"/>
      <c r="L3829" s="9"/>
    </row>
    <row r="3830" s="105" customFormat="1" spans="9:12">
      <c r="I3830" s="225"/>
      <c r="K3830" s="9"/>
      <c r="L3830" s="9"/>
    </row>
    <row r="3831" s="105" customFormat="1" spans="9:12">
      <c r="I3831" s="225"/>
      <c r="K3831" s="9"/>
      <c r="L3831" s="9"/>
    </row>
    <row r="3832" s="105" customFormat="1" spans="9:12">
      <c r="I3832" s="225"/>
      <c r="K3832" s="9"/>
      <c r="L3832" s="9"/>
    </row>
    <row r="3833" s="105" customFormat="1" spans="9:12">
      <c r="I3833" s="225"/>
      <c r="K3833" s="9"/>
      <c r="L3833" s="9"/>
    </row>
    <row r="3834" s="105" customFormat="1" spans="9:12">
      <c r="I3834" s="225"/>
      <c r="K3834" s="9"/>
      <c r="L3834" s="9"/>
    </row>
    <row r="3835" s="105" customFormat="1" spans="9:12">
      <c r="I3835" s="225"/>
      <c r="K3835" s="9"/>
      <c r="L3835" s="9"/>
    </row>
    <row r="3836" s="105" customFormat="1" spans="9:12">
      <c r="I3836" s="225"/>
      <c r="K3836" s="9"/>
      <c r="L3836" s="9"/>
    </row>
    <row r="3837" s="105" customFormat="1" spans="9:12">
      <c r="I3837" s="225"/>
      <c r="K3837" s="9"/>
      <c r="L3837" s="9"/>
    </row>
    <row r="3838" s="105" customFormat="1" spans="9:12">
      <c r="I3838" s="225"/>
      <c r="K3838" s="9"/>
      <c r="L3838" s="9"/>
    </row>
    <row r="3839" s="105" customFormat="1" spans="9:12">
      <c r="I3839" s="225"/>
      <c r="K3839" s="9"/>
      <c r="L3839" s="9"/>
    </row>
    <row r="3840" s="105" customFormat="1" spans="9:12">
      <c r="I3840" s="225"/>
      <c r="K3840" s="9"/>
      <c r="L3840" s="9"/>
    </row>
    <row r="3841" s="105" customFormat="1" spans="9:12">
      <c r="I3841" s="225"/>
      <c r="K3841" s="9"/>
      <c r="L3841" s="9"/>
    </row>
    <row r="3842" s="105" customFormat="1" spans="9:12">
      <c r="I3842" s="225"/>
      <c r="K3842" s="9"/>
      <c r="L3842" s="9"/>
    </row>
    <row r="3843" s="105" customFormat="1" spans="9:12">
      <c r="I3843" s="225"/>
      <c r="K3843" s="9"/>
      <c r="L3843" s="9"/>
    </row>
    <row r="3844" s="105" customFormat="1" spans="9:12">
      <c r="I3844" s="225"/>
      <c r="K3844" s="9"/>
      <c r="L3844" s="9"/>
    </row>
    <row r="3845" s="105" customFormat="1" spans="9:12">
      <c r="I3845" s="225"/>
      <c r="K3845" s="9"/>
      <c r="L3845" s="9"/>
    </row>
    <row r="3846" s="105" customFormat="1" spans="9:12">
      <c r="I3846" s="225"/>
      <c r="K3846" s="9"/>
      <c r="L3846" s="9"/>
    </row>
    <row r="3847" s="105" customFormat="1" spans="9:12">
      <c r="I3847" s="225"/>
      <c r="K3847" s="9"/>
      <c r="L3847" s="9"/>
    </row>
    <row r="3848" s="105" customFormat="1" spans="9:12">
      <c r="I3848" s="225"/>
      <c r="K3848" s="9"/>
      <c r="L3848" s="9"/>
    </row>
    <row r="3849" s="105" customFormat="1" spans="9:12">
      <c r="I3849" s="225"/>
      <c r="K3849" s="9"/>
      <c r="L3849" s="9"/>
    </row>
    <row r="3850" s="105" customFormat="1" spans="9:12">
      <c r="I3850" s="225"/>
      <c r="K3850" s="9"/>
      <c r="L3850" s="9"/>
    </row>
    <row r="3851" s="105" customFormat="1" spans="9:12">
      <c r="I3851" s="225"/>
      <c r="K3851" s="9"/>
      <c r="L3851" s="9"/>
    </row>
    <row r="3852" s="105" customFormat="1" spans="9:12">
      <c r="I3852" s="225"/>
      <c r="K3852" s="9"/>
      <c r="L3852" s="9"/>
    </row>
    <row r="3853" s="105" customFormat="1" spans="9:12">
      <c r="I3853" s="225"/>
      <c r="K3853" s="9"/>
      <c r="L3853" s="9"/>
    </row>
    <row r="3854" s="105" customFormat="1" spans="9:12">
      <c r="I3854" s="225"/>
      <c r="K3854" s="9"/>
      <c r="L3854" s="9"/>
    </row>
    <row r="3855" s="105" customFormat="1" spans="9:12">
      <c r="I3855" s="225"/>
      <c r="K3855" s="9"/>
      <c r="L3855" s="9"/>
    </row>
    <row r="3856" s="105" customFormat="1" spans="9:12">
      <c r="I3856" s="225"/>
      <c r="K3856" s="9"/>
      <c r="L3856" s="9"/>
    </row>
    <row r="3857" s="105" customFormat="1" spans="9:12">
      <c r="I3857" s="225"/>
      <c r="K3857" s="9"/>
      <c r="L3857" s="9"/>
    </row>
    <row r="3858" s="105" customFormat="1" spans="9:12">
      <c r="I3858" s="225"/>
      <c r="K3858" s="9"/>
      <c r="L3858" s="9"/>
    </row>
    <row r="3859" s="105" customFormat="1" spans="9:12">
      <c r="I3859" s="225"/>
      <c r="K3859" s="9"/>
      <c r="L3859" s="9"/>
    </row>
    <row r="3860" s="105" customFormat="1" spans="9:12">
      <c r="I3860" s="225"/>
      <c r="K3860" s="9"/>
      <c r="L3860" s="9"/>
    </row>
    <row r="3861" s="105" customFormat="1" spans="9:12">
      <c r="I3861" s="225"/>
      <c r="K3861" s="9"/>
      <c r="L3861" s="9"/>
    </row>
    <row r="3862" s="105" customFormat="1" spans="9:12">
      <c r="I3862" s="225"/>
      <c r="K3862" s="9"/>
      <c r="L3862" s="9"/>
    </row>
    <row r="3863" s="105" customFormat="1" spans="9:12">
      <c r="I3863" s="225"/>
      <c r="K3863" s="9"/>
      <c r="L3863" s="9"/>
    </row>
    <row r="3864" s="105" customFormat="1" spans="9:12">
      <c r="I3864" s="225"/>
      <c r="K3864" s="9"/>
      <c r="L3864" s="9"/>
    </row>
    <row r="3865" s="105" customFormat="1" spans="9:12">
      <c r="I3865" s="225"/>
      <c r="K3865" s="9"/>
      <c r="L3865" s="9"/>
    </row>
    <row r="3866" s="105" customFormat="1" spans="9:12">
      <c r="I3866" s="225"/>
      <c r="K3866" s="9"/>
      <c r="L3866" s="9"/>
    </row>
    <row r="3867" s="105" customFormat="1" spans="9:12">
      <c r="I3867" s="225"/>
      <c r="K3867" s="9"/>
      <c r="L3867" s="9"/>
    </row>
    <row r="3868" s="105" customFormat="1" spans="9:12">
      <c r="I3868" s="225"/>
      <c r="K3868" s="9"/>
      <c r="L3868" s="9"/>
    </row>
    <row r="3869" s="105" customFormat="1" spans="9:12">
      <c r="I3869" s="225"/>
      <c r="K3869" s="9"/>
      <c r="L3869" s="9"/>
    </row>
    <row r="3870" s="105" customFormat="1" spans="9:12">
      <c r="I3870" s="225"/>
      <c r="K3870" s="9"/>
      <c r="L3870" s="9"/>
    </row>
    <row r="3871" s="105" customFormat="1" spans="9:12">
      <c r="I3871" s="225"/>
      <c r="K3871" s="9"/>
      <c r="L3871" s="9"/>
    </row>
    <row r="3872" s="105" customFormat="1" spans="9:12">
      <c r="I3872" s="225"/>
      <c r="K3872" s="9"/>
      <c r="L3872" s="9"/>
    </row>
    <row r="3873" s="105" customFormat="1" spans="9:12">
      <c r="I3873" s="225"/>
      <c r="K3873" s="9"/>
      <c r="L3873" s="9"/>
    </row>
    <row r="3874" s="105" customFormat="1" spans="9:12">
      <c r="I3874" s="225"/>
      <c r="K3874" s="9"/>
      <c r="L3874" s="9"/>
    </row>
    <row r="3875" s="105" customFormat="1" spans="9:12">
      <c r="I3875" s="225"/>
      <c r="K3875" s="9"/>
      <c r="L3875" s="9"/>
    </row>
    <row r="3876" s="105" customFormat="1" spans="9:12">
      <c r="I3876" s="225"/>
      <c r="K3876" s="9"/>
      <c r="L3876" s="9"/>
    </row>
    <row r="3877" s="105" customFormat="1" spans="9:12">
      <c r="I3877" s="225"/>
      <c r="K3877" s="9"/>
      <c r="L3877" s="9"/>
    </row>
    <row r="3878" s="105" customFormat="1" spans="9:12">
      <c r="I3878" s="225"/>
      <c r="K3878" s="9"/>
      <c r="L3878" s="9"/>
    </row>
    <row r="3879" s="105" customFormat="1" spans="9:12">
      <c r="I3879" s="225"/>
      <c r="K3879" s="9"/>
      <c r="L3879" s="9"/>
    </row>
    <row r="3880" s="105" customFormat="1" spans="9:12">
      <c r="I3880" s="225"/>
      <c r="K3880" s="9"/>
      <c r="L3880" s="9"/>
    </row>
    <row r="3881" s="105" customFormat="1" spans="9:12">
      <c r="I3881" s="225"/>
      <c r="K3881" s="9"/>
      <c r="L3881" s="9"/>
    </row>
    <row r="3882" s="105" customFormat="1" spans="9:12">
      <c r="I3882" s="225"/>
      <c r="K3882" s="9"/>
      <c r="L3882" s="9"/>
    </row>
    <row r="3883" s="105" customFormat="1" spans="9:12">
      <c r="I3883" s="225"/>
      <c r="K3883" s="9"/>
      <c r="L3883" s="9"/>
    </row>
    <row r="3884" s="105" customFormat="1" spans="9:12">
      <c r="I3884" s="225"/>
      <c r="K3884" s="9"/>
      <c r="L3884" s="9"/>
    </row>
    <row r="3885" s="105" customFormat="1" spans="9:12">
      <c r="I3885" s="225"/>
      <c r="K3885" s="9"/>
      <c r="L3885" s="9"/>
    </row>
    <row r="3886" s="105" customFormat="1" spans="9:12">
      <c r="I3886" s="225"/>
      <c r="K3886" s="9"/>
      <c r="L3886" s="9"/>
    </row>
    <row r="3887" s="105" customFormat="1" spans="9:12">
      <c r="I3887" s="225"/>
      <c r="K3887" s="9"/>
      <c r="L3887" s="9"/>
    </row>
    <row r="3888" s="105" customFormat="1" spans="9:12">
      <c r="I3888" s="225"/>
      <c r="K3888" s="9"/>
      <c r="L3888" s="9"/>
    </row>
    <row r="3889" s="105" customFormat="1" spans="9:12">
      <c r="I3889" s="225"/>
      <c r="K3889" s="9"/>
      <c r="L3889" s="9"/>
    </row>
    <row r="3890" s="105" customFormat="1" spans="9:12">
      <c r="I3890" s="225"/>
      <c r="K3890" s="9"/>
      <c r="L3890" s="9"/>
    </row>
    <row r="3891" s="105" customFormat="1" spans="9:12">
      <c r="I3891" s="225"/>
      <c r="K3891" s="9"/>
      <c r="L3891" s="9"/>
    </row>
    <row r="3892" s="105" customFormat="1" spans="9:12">
      <c r="I3892" s="225"/>
      <c r="K3892" s="9"/>
      <c r="L3892" s="9"/>
    </row>
    <row r="3893" s="105" customFormat="1" spans="9:12">
      <c r="I3893" s="225"/>
      <c r="K3893" s="9"/>
      <c r="L3893" s="9"/>
    </row>
    <row r="3894" s="105" customFormat="1" spans="9:12">
      <c r="I3894" s="225"/>
      <c r="K3894" s="9"/>
      <c r="L3894" s="9"/>
    </row>
    <row r="3895" s="105" customFormat="1" spans="9:12">
      <c r="I3895" s="225"/>
      <c r="K3895" s="9"/>
      <c r="L3895" s="9"/>
    </row>
    <row r="3896" s="105" customFormat="1" spans="9:12">
      <c r="I3896" s="225"/>
      <c r="K3896" s="9"/>
      <c r="L3896" s="9"/>
    </row>
    <row r="3897" s="105" customFormat="1" spans="9:12">
      <c r="I3897" s="225"/>
      <c r="K3897" s="9"/>
      <c r="L3897" s="9"/>
    </row>
    <row r="3898" s="105" customFormat="1" spans="9:12">
      <c r="I3898" s="225"/>
      <c r="K3898" s="9"/>
      <c r="L3898" s="9"/>
    </row>
    <row r="3899" s="105" customFormat="1" spans="9:12">
      <c r="I3899" s="225"/>
      <c r="K3899" s="9"/>
      <c r="L3899" s="9"/>
    </row>
    <row r="3900" s="105" customFormat="1" spans="9:12">
      <c r="I3900" s="225"/>
      <c r="K3900" s="9"/>
      <c r="L3900" s="9"/>
    </row>
    <row r="3901" s="105" customFormat="1" spans="9:12">
      <c r="I3901" s="225"/>
      <c r="K3901" s="9"/>
      <c r="L3901" s="9"/>
    </row>
    <row r="3902" s="105" customFormat="1" spans="9:12">
      <c r="I3902" s="225"/>
      <c r="K3902" s="9"/>
      <c r="L3902" s="9"/>
    </row>
    <row r="3903" s="105" customFormat="1" spans="9:12">
      <c r="I3903" s="225"/>
      <c r="K3903" s="9"/>
      <c r="L3903" s="9"/>
    </row>
    <row r="3904" s="105" customFormat="1" spans="9:12">
      <c r="I3904" s="225"/>
      <c r="K3904" s="9"/>
      <c r="L3904" s="9"/>
    </row>
    <row r="3905" s="105" customFormat="1" spans="9:12">
      <c r="I3905" s="225"/>
      <c r="K3905" s="9"/>
      <c r="L3905" s="9"/>
    </row>
    <row r="3906" s="105" customFormat="1" spans="9:12">
      <c r="I3906" s="225"/>
      <c r="K3906" s="9"/>
      <c r="L3906" s="9"/>
    </row>
    <row r="3907" s="105" customFormat="1" spans="9:12">
      <c r="I3907" s="225"/>
      <c r="K3907" s="9"/>
      <c r="L3907" s="9"/>
    </row>
    <row r="3908" s="105" customFormat="1" spans="9:12">
      <c r="I3908" s="225"/>
      <c r="K3908" s="9"/>
      <c r="L3908" s="9"/>
    </row>
    <row r="3909" s="105" customFormat="1" spans="9:12">
      <c r="I3909" s="225"/>
      <c r="K3909" s="9"/>
      <c r="L3909" s="9"/>
    </row>
    <row r="3910" s="105" customFormat="1" spans="9:12">
      <c r="I3910" s="225"/>
      <c r="K3910" s="9"/>
      <c r="L3910" s="9"/>
    </row>
    <row r="3911" s="105" customFormat="1" spans="9:12">
      <c r="I3911" s="225"/>
      <c r="K3911" s="9"/>
      <c r="L3911" s="9"/>
    </row>
    <row r="3912" s="105" customFormat="1" spans="9:12">
      <c r="I3912" s="225"/>
      <c r="K3912" s="9"/>
      <c r="L3912" s="9"/>
    </row>
    <row r="3913" s="105" customFormat="1" spans="9:12">
      <c r="I3913" s="225"/>
      <c r="K3913" s="9"/>
      <c r="L3913" s="9"/>
    </row>
    <row r="3914" s="105" customFormat="1" spans="9:12">
      <c r="I3914" s="225"/>
      <c r="K3914" s="9"/>
      <c r="L3914" s="9"/>
    </row>
    <row r="3915" s="105" customFormat="1" spans="9:12">
      <c r="I3915" s="225"/>
      <c r="K3915" s="9"/>
      <c r="L3915" s="9"/>
    </row>
    <row r="3916" s="105" customFormat="1" spans="9:12">
      <c r="I3916" s="225"/>
      <c r="K3916" s="9"/>
      <c r="L3916" s="9"/>
    </row>
    <row r="3917" s="105" customFormat="1" spans="9:12">
      <c r="I3917" s="225"/>
      <c r="K3917" s="9"/>
      <c r="L3917" s="9"/>
    </row>
    <row r="3918" s="105" customFormat="1" spans="9:12">
      <c r="I3918" s="225"/>
      <c r="K3918" s="9"/>
      <c r="L3918" s="9"/>
    </row>
    <row r="3919" s="105" customFormat="1" spans="9:12">
      <c r="I3919" s="225"/>
      <c r="K3919" s="9"/>
      <c r="L3919" s="9"/>
    </row>
    <row r="3920" s="105" customFormat="1" spans="9:12">
      <c r="I3920" s="225"/>
      <c r="K3920" s="9"/>
      <c r="L3920" s="9"/>
    </row>
    <row r="3921" s="105" customFormat="1" spans="9:12">
      <c r="I3921" s="225"/>
      <c r="K3921" s="9"/>
      <c r="L3921" s="9"/>
    </row>
    <row r="3922" s="105" customFormat="1" spans="9:12">
      <c r="I3922" s="225"/>
      <c r="K3922" s="9"/>
      <c r="L3922" s="9"/>
    </row>
    <row r="3923" s="105" customFormat="1" spans="9:12">
      <c r="I3923" s="225"/>
      <c r="K3923" s="9"/>
      <c r="L3923" s="9"/>
    </row>
    <row r="3924" s="105" customFormat="1" spans="9:12">
      <c r="I3924" s="225"/>
      <c r="K3924" s="9"/>
      <c r="L3924" s="9"/>
    </row>
    <row r="3925" s="105" customFormat="1" spans="9:12">
      <c r="I3925" s="225"/>
      <c r="K3925" s="9"/>
      <c r="L3925" s="9"/>
    </row>
    <row r="3926" s="105" customFormat="1" spans="9:12">
      <c r="I3926" s="225"/>
      <c r="K3926" s="9"/>
      <c r="L3926" s="9"/>
    </row>
    <row r="3927" s="105" customFormat="1" spans="9:12">
      <c r="I3927" s="225"/>
      <c r="K3927" s="9"/>
      <c r="L3927" s="9"/>
    </row>
    <row r="3928" s="105" customFormat="1" spans="9:12">
      <c r="I3928" s="225"/>
      <c r="K3928" s="9"/>
      <c r="L3928" s="9"/>
    </row>
    <row r="3929" s="105" customFormat="1" spans="9:12">
      <c r="I3929" s="225"/>
      <c r="K3929" s="9"/>
      <c r="L3929" s="9"/>
    </row>
    <row r="3930" s="105" customFormat="1" spans="9:12">
      <c r="I3930" s="225"/>
      <c r="K3930" s="9"/>
      <c r="L3930" s="9"/>
    </row>
    <row r="3931" s="105" customFormat="1" spans="9:12">
      <c r="I3931" s="225"/>
      <c r="K3931" s="9"/>
      <c r="L3931" s="9"/>
    </row>
    <row r="3932" s="105" customFormat="1" spans="9:12">
      <c r="I3932" s="225"/>
      <c r="K3932" s="9"/>
      <c r="L3932" s="9"/>
    </row>
    <row r="3933" s="105" customFormat="1" spans="9:12">
      <c r="I3933" s="225"/>
      <c r="K3933" s="9"/>
      <c r="L3933" s="9"/>
    </row>
    <row r="3934" s="105" customFormat="1" spans="9:12">
      <c r="I3934" s="225"/>
      <c r="K3934" s="9"/>
      <c r="L3934" s="9"/>
    </row>
    <row r="3935" s="105" customFormat="1" spans="9:12">
      <c r="I3935" s="225"/>
      <c r="K3935" s="9"/>
      <c r="L3935" s="9"/>
    </row>
    <row r="3936" s="105" customFormat="1" spans="9:12">
      <c r="I3936" s="225"/>
      <c r="K3936" s="9"/>
      <c r="L3936" s="9"/>
    </row>
    <row r="3937" s="105" customFormat="1" spans="9:12">
      <c r="I3937" s="225"/>
      <c r="K3937" s="9"/>
      <c r="L3937" s="9"/>
    </row>
    <row r="3938" s="105" customFormat="1" spans="9:12">
      <c r="I3938" s="225"/>
      <c r="K3938" s="9"/>
      <c r="L3938" s="9"/>
    </row>
    <row r="3939" s="105" customFormat="1" spans="9:12">
      <c r="I3939" s="225"/>
      <c r="K3939" s="9"/>
      <c r="L3939" s="9"/>
    </row>
    <row r="3940" s="105" customFormat="1" spans="9:12">
      <c r="I3940" s="225"/>
      <c r="K3940" s="9"/>
      <c r="L3940" s="9"/>
    </row>
    <row r="3941" s="105" customFormat="1" spans="9:12">
      <c r="I3941" s="225"/>
      <c r="K3941" s="9"/>
      <c r="L3941" s="9"/>
    </row>
    <row r="3942" s="105" customFormat="1" spans="9:12">
      <c r="I3942" s="225"/>
      <c r="K3942" s="9"/>
      <c r="L3942" s="9"/>
    </row>
    <row r="3943" s="105" customFormat="1" spans="9:12">
      <c r="I3943" s="225"/>
      <c r="K3943" s="9"/>
      <c r="L3943" s="9"/>
    </row>
    <row r="3944" s="105" customFormat="1" spans="9:12">
      <c r="I3944" s="225"/>
      <c r="K3944" s="9"/>
      <c r="L3944" s="9"/>
    </row>
    <row r="3945" s="105" customFormat="1" spans="9:12">
      <c r="I3945" s="225"/>
      <c r="K3945" s="9"/>
      <c r="L3945" s="9"/>
    </row>
    <row r="3946" s="105" customFormat="1" spans="9:12">
      <c r="I3946" s="225"/>
      <c r="K3946" s="9"/>
      <c r="L3946" s="9"/>
    </row>
    <row r="3947" s="105" customFormat="1" spans="9:12">
      <c r="I3947" s="225"/>
      <c r="K3947" s="9"/>
      <c r="L3947" s="9"/>
    </row>
    <row r="3948" s="105" customFormat="1" spans="9:12">
      <c r="I3948" s="225"/>
      <c r="K3948" s="9"/>
      <c r="L3948" s="9"/>
    </row>
    <row r="3949" s="105" customFormat="1" spans="9:12">
      <c r="I3949" s="225"/>
      <c r="K3949" s="9"/>
      <c r="L3949" s="9"/>
    </row>
    <row r="3950" s="105" customFormat="1" spans="9:12">
      <c r="I3950" s="225"/>
      <c r="K3950" s="9"/>
      <c r="L3950" s="9"/>
    </row>
    <row r="3951" s="105" customFormat="1" spans="9:12">
      <c r="I3951" s="225"/>
      <c r="K3951" s="9"/>
      <c r="L3951" s="9"/>
    </row>
    <row r="3952" s="105" customFormat="1" spans="9:12">
      <c r="I3952" s="225"/>
      <c r="K3952" s="9"/>
      <c r="L3952" s="9"/>
    </row>
    <row r="3953" s="105" customFormat="1" spans="9:12">
      <c r="I3953" s="225"/>
      <c r="K3953" s="9"/>
      <c r="L3953" s="9"/>
    </row>
    <row r="3954" s="105" customFormat="1" spans="9:12">
      <c r="I3954" s="225"/>
      <c r="K3954" s="9"/>
      <c r="L3954" s="9"/>
    </row>
    <row r="3955" s="105" customFormat="1" spans="9:12">
      <c r="I3955" s="225"/>
      <c r="K3955" s="9"/>
      <c r="L3955" s="9"/>
    </row>
    <row r="3956" s="105" customFormat="1" spans="9:12">
      <c r="I3956" s="225"/>
      <c r="K3956" s="9"/>
      <c r="L3956" s="9"/>
    </row>
    <row r="3957" s="105" customFormat="1" spans="9:12">
      <c r="I3957" s="225"/>
      <c r="K3957" s="9"/>
      <c r="L3957" s="9"/>
    </row>
    <row r="3958" s="105" customFormat="1" spans="9:12">
      <c r="I3958" s="225"/>
      <c r="K3958" s="9"/>
      <c r="L3958" s="9"/>
    </row>
    <row r="3959" s="105" customFormat="1" spans="9:12">
      <c r="I3959" s="225"/>
      <c r="K3959" s="9"/>
      <c r="L3959" s="9"/>
    </row>
    <row r="3960" s="105" customFormat="1" spans="9:12">
      <c r="I3960" s="225"/>
      <c r="K3960" s="9"/>
      <c r="L3960" s="9"/>
    </row>
    <row r="3961" s="105" customFormat="1" spans="9:12">
      <c r="I3961" s="225"/>
      <c r="K3961" s="9"/>
      <c r="L3961" s="9"/>
    </row>
    <row r="3962" s="105" customFormat="1" spans="9:12">
      <c r="I3962" s="225"/>
      <c r="K3962" s="9"/>
      <c r="L3962" s="9"/>
    </row>
    <row r="3963" s="105" customFormat="1" spans="9:12">
      <c r="I3963" s="225"/>
      <c r="K3963" s="9"/>
      <c r="L3963" s="9"/>
    </row>
    <row r="3964" s="105" customFormat="1" spans="9:12">
      <c r="I3964" s="225"/>
      <c r="K3964" s="9"/>
      <c r="L3964" s="9"/>
    </row>
    <row r="3965" s="105" customFormat="1" spans="9:12">
      <c r="I3965" s="225"/>
      <c r="K3965" s="9"/>
      <c r="L3965" s="9"/>
    </row>
    <row r="3966" s="105" customFormat="1" spans="9:12">
      <c r="I3966" s="225"/>
      <c r="K3966" s="9"/>
      <c r="L3966" s="9"/>
    </row>
    <row r="3967" s="105" customFormat="1" spans="9:12">
      <c r="I3967" s="225"/>
      <c r="K3967" s="9"/>
      <c r="L3967" s="9"/>
    </row>
    <row r="3968" s="105" customFormat="1" spans="9:12">
      <c r="I3968" s="225"/>
      <c r="K3968" s="9"/>
      <c r="L3968" s="9"/>
    </row>
    <row r="3969" s="105" customFormat="1" spans="9:12">
      <c r="I3969" s="225"/>
      <c r="K3969" s="9"/>
      <c r="L3969" s="9"/>
    </row>
    <row r="3970" s="105" customFormat="1" spans="9:12">
      <c r="I3970" s="225"/>
      <c r="K3970" s="9"/>
      <c r="L3970" s="9"/>
    </row>
    <row r="3971" s="105" customFormat="1" spans="9:12">
      <c r="I3971" s="225"/>
      <c r="K3971" s="9"/>
      <c r="L3971" s="9"/>
    </row>
    <row r="3972" s="105" customFormat="1" spans="9:12">
      <c r="I3972" s="225"/>
      <c r="K3972" s="9"/>
      <c r="L3972" s="9"/>
    </row>
    <row r="3973" s="105" customFormat="1" spans="9:12">
      <c r="I3973" s="225"/>
      <c r="K3973" s="9"/>
      <c r="L3973" s="9"/>
    </row>
    <row r="3974" s="105" customFormat="1" spans="9:12">
      <c r="I3974" s="225"/>
      <c r="K3974" s="9"/>
      <c r="L3974" s="9"/>
    </row>
    <row r="3975" s="105" customFormat="1" spans="9:12">
      <c r="I3975" s="225"/>
      <c r="K3975" s="9"/>
      <c r="L3975" s="9"/>
    </row>
    <row r="3976" s="105" customFormat="1" spans="9:12">
      <c r="I3976" s="225"/>
      <c r="K3976" s="9"/>
      <c r="L3976" s="9"/>
    </row>
    <row r="3977" s="105" customFormat="1" spans="9:12">
      <c r="I3977" s="225"/>
      <c r="K3977" s="9"/>
      <c r="L3977" s="9"/>
    </row>
    <row r="3978" s="105" customFormat="1" spans="9:12">
      <c r="I3978" s="225"/>
      <c r="K3978" s="9"/>
      <c r="L3978" s="9"/>
    </row>
    <row r="3979" s="105" customFormat="1" spans="9:12">
      <c r="I3979" s="225"/>
      <c r="K3979" s="9"/>
      <c r="L3979" s="9"/>
    </row>
    <row r="3980" s="105" customFormat="1" spans="9:12">
      <c r="I3980" s="225"/>
      <c r="K3980" s="9"/>
      <c r="L3980" s="9"/>
    </row>
    <row r="3981" s="105" customFormat="1" spans="9:12">
      <c r="I3981" s="225"/>
      <c r="K3981" s="9"/>
      <c r="L3981" s="9"/>
    </row>
    <row r="3982" s="105" customFormat="1" spans="9:12">
      <c r="I3982" s="225"/>
      <c r="K3982" s="9"/>
      <c r="L3982" s="9"/>
    </row>
    <row r="3983" s="105" customFormat="1" spans="9:12">
      <c r="I3983" s="225"/>
      <c r="K3983" s="9"/>
      <c r="L3983" s="9"/>
    </row>
    <row r="3984" s="105" customFormat="1" spans="9:12">
      <c r="I3984" s="225"/>
      <c r="K3984" s="9"/>
      <c r="L3984" s="9"/>
    </row>
    <row r="3985" s="105" customFormat="1" spans="9:12">
      <c r="I3985" s="225"/>
      <c r="K3985" s="9"/>
      <c r="L3985" s="9"/>
    </row>
    <row r="3986" s="105" customFormat="1" spans="9:12">
      <c r="I3986" s="225"/>
      <c r="K3986" s="9"/>
      <c r="L3986" s="9"/>
    </row>
    <row r="3987" s="105" customFormat="1" spans="9:12">
      <c r="I3987" s="225"/>
      <c r="K3987" s="9"/>
      <c r="L3987" s="9"/>
    </row>
    <row r="3988" s="105" customFormat="1" spans="9:12">
      <c r="I3988" s="225"/>
      <c r="K3988" s="9"/>
      <c r="L3988" s="9"/>
    </row>
    <row r="3989" s="105" customFormat="1" spans="9:12">
      <c r="I3989" s="225"/>
      <c r="K3989" s="9"/>
      <c r="L3989" s="9"/>
    </row>
    <row r="3990" s="105" customFormat="1" spans="9:12">
      <c r="I3990" s="225"/>
      <c r="K3990" s="9"/>
      <c r="L3990" s="9"/>
    </row>
    <row r="3991" s="105" customFormat="1" spans="9:12">
      <c r="I3991" s="225"/>
      <c r="K3991" s="9"/>
      <c r="L3991" s="9"/>
    </row>
    <row r="3992" s="105" customFormat="1" spans="9:12">
      <c r="I3992" s="225"/>
      <c r="K3992" s="9"/>
      <c r="L3992" s="9"/>
    </row>
    <row r="3993" s="105" customFormat="1" spans="9:12">
      <c r="I3993" s="225"/>
      <c r="K3993" s="9"/>
      <c r="L3993" s="9"/>
    </row>
    <row r="3994" s="105" customFormat="1" spans="9:12">
      <c r="I3994" s="225"/>
      <c r="K3994" s="9"/>
      <c r="L3994" s="9"/>
    </row>
    <row r="3995" s="105" customFormat="1" spans="9:12">
      <c r="I3995" s="225"/>
      <c r="K3995" s="9"/>
      <c r="L3995" s="9"/>
    </row>
    <row r="3996" s="105" customFormat="1" spans="9:12">
      <c r="I3996" s="225"/>
      <c r="K3996" s="9"/>
      <c r="L3996" s="9"/>
    </row>
    <row r="3997" s="105" customFormat="1" spans="9:12">
      <c r="I3997" s="225"/>
      <c r="K3997" s="9"/>
      <c r="L3997" s="9"/>
    </row>
    <row r="3998" s="105" customFormat="1" spans="9:12">
      <c r="I3998" s="225"/>
      <c r="K3998" s="9"/>
      <c r="L3998" s="9"/>
    </row>
    <row r="3999" s="105" customFormat="1" spans="9:12">
      <c r="I3999" s="225"/>
      <c r="K3999" s="9"/>
      <c r="L3999" s="9"/>
    </row>
    <row r="4000" s="105" customFormat="1" spans="9:12">
      <c r="I4000" s="225"/>
      <c r="K4000" s="9"/>
      <c r="L4000" s="9"/>
    </row>
    <row r="4001" s="105" customFormat="1" spans="9:12">
      <c r="I4001" s="225"/>
      <c r="K4001" s="9"/>
      <c r="L4001" s="9"/>
    </row>
    <row r="4002" s="105" customFormat="1" spans="9:12">
      <c r="I4002" s="225"/>
      <c r="K4002" s="9"/>
      <c r="L4002" s="9"/>
    </row>
    <row r="4003" s="105" customFormat="1" spans="9:12">
      <c r="I4003" s="225"/>
      <c r="K4003" s="9"/>
      <c r="L4003" s="9"/>
    </row>
    <row r="4004" s="105" customFormat="1" spans="9:12">
      <c r="I4004" s="225"/>
      <c r="K4004" s="9"/>
      <c r="L4004" s="9"/>
    </row>
    <row r="4005" s="105" customFormat="1" spans="9:12">
      <c r="I4005" s="225"/>
      <c r="K4005" s="9"/>
      <c r="L4005" s="9"/>
    </row>
    <row r="4006" s="105" customFormat="1" spans="9:12">
      <c r="I4006" s="225"/>
      <c r="K4006" s="9"/>
      <c r="L4006" s="9"/>
    </row>
    <row r="4007" s="105" customFormat="1" spans="9:12">
      <c r="I4007" s="225"/>
      <c r="K4007" s="9"/>
      <c r="L4007" s="9"/>
    </row>
    <row r="4008" s="105" customFormat="1" spans="9:12">
      <c r="I4008" s="225"/>
      <c r="K4008" s="9"/>
      <c r="L4008" s="9"/>
    </row>
    <row r="4009" s="105" customFormat="1" spans="9:12">
      <c r="I4009" s="225"/>
      <c r="K4009" s="9"/>
      <c r="L4009" s="9"/>
    </row>
    <row r="4010" s="105" customFormat="1" spans="9:12">
      <c r="I4010" s="225"/>
      <c r="K4010" s="9"/>
      <c r="L4010" s="9"/>
    </row>
    <row r="4011" s="105" customFormat="1" spans="9:12">
      <c r="I4011" s="225"/>
      <c r="K4011" s="9"/>
      <c r="L4011" s="9"/>
    </row>
    <row r="4012" s="105" customFormat="1" spans="9:12">
      <c r="I4012" s="225"/>
      <c r="K4012" s="9"/>
      <c r="L4012" s="9"/>
    </row>
    <row r="4013" s="105" customFormat="1" spans="9:12">
      <c r="I4013" s="225"/>
      <c r="K4013" s="9"/>
      <c r="L4013" s="9"/>
    </row>
    <row r="4014" s="105" customFormat="1" spans="9:12">
      <c r="I4014" s="225"/>
      <c r="K4014" s="9"/>
      <c r="L4014" s="9"/>
    </row>
    <row r="4015" s="105" customFormat="1" spans="9:12">
      <c r="I4015" s="225"/>
      <c r="K4015" s="9"/>
      <c r="L4015" s="9"/>
    </row>
    <row r="4016" s="105" customFormat="1" spans="9:12">
      <c r="I4016" s="225"/>
      <c r="K4016" s="9"/>
      <c r="L4016" s="9"/>
    </row>
    <row r="4017" s="105" customFormat="1" spans="9:12">
      <c r="I4017" s="225"/>
      <c r="K4017" s="9"/>
      <c r="L4017" s="9"/>
    </row>
    <row r="4018" s="105" customFormat="1" spans="9:12">
      <c r="I4018" s="225"/>
      <c r="K4018" s="9"/>
      <c r="L4018" s="9"/>
    </row>
    <row r="4019" s="105" customFormat="1" spans="9:12">
      <c r="I4019" s="225"/>
      <c r="K4019" s="9"/>
      <c r="L4019" s="9"/>
    </row>
    <row r="4020" s="105" customFormat="1" spans="9:12">
      <c r="I4020" s="225"/>
      <c r="K4020" s="9"/>
      <c r="L4020" s="9"/>
    </row>
    <row r="4021" s="105" customFormat="1" spans="9:12">
      <c r="I4021" s="225"/>
      <c r="K4021" s="9"/>
      <c r="L4021" s="9"/>
    </row>
    <row r="4022" s="105" customFormat="1" spans="9:12">
      <c r="I4022" s="225"/>
      <c r="K4022" s="9"/>
      <c r="L4022" s="9"/>
    </row>
    <row r="4023" s="105" customFormat="1" spans="9:12">
      <c r="I4023" s="225"/>
      <c r="K4023" s="9"/>
      <c r="L4023" s="9"/>
    </row>
    <row r="4024" s="105" customFormat="1" spans="9:12">
      <c r="I4024" s="225"/>
      <c r="K4024" s="9"/>
      <c r="L4024" s="9"/>
    </row>
    <row r="4025" s="105" customFormat="1" spans="9:12">
      <c r="I4025" s="225"/>
      <c r="K4025" s="9"/>
      <c r="L4025" s="9"/>
    </row>
    <row r="4026" s="105" customFormat="1" spans="9:12">
      <c r="I4026" s="225"/>
      <c r="K4026" s="9"/>
      <c r="L4026" s="9"/>
    </row>
    <row r="4027" s="105" customFormat="1" spans="9:12">
      <c r="I4027" s="225"/>
      <c r="K4027" s="9"/>
      <c r="L4027" s="9"/>
    </row>
    <row r="4028" s="105" customFormat="1" spans="9:12">
      <c r="I4028" s="225"/>
      <c r="K4028" s="9"/>
      <c r="L4028" s="9"/>
    </row>
    <row r="4029" s="105" customFormat="1" spans="9:12">
      <c r="I4029" s="225"/>
      <c r="K4029" s="9"/>
      <c r="L4029" s="9"/>
    </row>
    <row r="4030" s="105" customFormat="1" spans="9:12">
      <c r="I4030" s="225"/>
      <c r="K4030" s="9"/>
      <c r="L4030" s="9"/>
    </row>
    <row r="4031" s="105" customFormat="1" spans="9:12">
      <c r="I4031" s="225"/>
      <c r="K4031" s="9"/>
      <c r="L4031" s="9"/>
    </row>
    <row r="4032" s="105" customFormat="1" spans="9:12">
      <c r="I4032" s="225"/>
      <c r="K4032" s="9"/>
      <c r="L4032" s="9"/>
    </row>
    <row r="4033" s="105" customFormat="1" spans="9:12">
      <c r="I4033" s="225"/>
      <c r="K4033" s="9"/>
      <c r="L4033" s="9"/>
    </row>
    <row r="4034" s="105" customFormat="1" spans="9:12">
      <c r="I4034" s="225"/>
      <c r="K4034" s="9"/>
      <c r="L4034" s="9"/>
    </row>
    <row r="4035" s="105" customFormat="1" spans="9:12">
      <c r="I4035" s="225"/>
      <c r="K4035" s="9"/>
      <c r="L4035" s="9"/>
    </row>
    <row r="4036" s="105" customFormat="1" spans="9:12">
      <c r="I4036" s="225"/>
      <c r="K4036" s="9"/>
      <c r="L4036" s="9"/>
    </row>
    <row r="4037" s="105" customFormat="1" spans="9:12">
      <c r="I4037" s="225"/>
      <c r="K4037" s="9"/>
      <c r="L4037" s="9"/>
    </row>
    <row r="4038" s="105" customFormat="1" spans="9:12">
      <c r="I4038" s="225"/>
      <c r="K4038" s="9"/>
      <c r="L4038" s="9"/>
    </row>
    <row r="4039" s="105" customFormat="1" spans="9:12">
      <c r="I4039" s="225"/>
      <c r="K4039" s="9"/>
      <c r="L4039" s="9"/>
    </row>
    <row r="4040" s="105" customFormat="1" spans="9:12">
      <c r="I4040" s="225"/>
      <c r="K4040" s="9"/>
      <c r="L4040" s="9"/>
    </row>
    <row r="4041" s="105" customFormat="1" spans="9:12">
      <c r="I4041" s="225"/>
      <c r="K4041" s="9"/>
      <c r="L4041" s="9"/>
    </row>
    <row r="4042" s="105" customFormat="1" spans="9:12">
      <c r="I4042" s="225"/>
      <c r="K4042" s="9"/>
      <c r="L4042" s="9"/>
    </row>
    <row r="4043" s="105" customFormat="1" spans="9:12">
      <c r="I4043" s="225"/>
      <c r="K4043" s="9"/>
      <c r="L4043" s="9"/>
    </row>
    <row r="4044" s="105" customFormat="1" spans="9:12">
      <c r="I4044" s="225"/>
      <c r="K4044" s="9"/>
      <c r="L4044" s="9"/>
    </row>
    <row r="4045" s="105" customFormat="1" spans="9:12">
      <c r="I4045" s="225"/>
      <c r="K4045" s="9"/>
      <c r="L4045" s="9"/>
    </row>
    <row r="4046" s="105" customFormat="1" spans="9:12">
      <c r="I4046" s="225"/>
      <c r="K4046" s="9"/>
      <c r="L4046" s="9"/>
    </row>
    <row r="4047" s="105" customFormat="1" spans="9:12">
      <c r="I4047" s="225"/>
      <c r="K4047" s="9"/>
      <c r="L4047" s="9"/>
    </row>
    <row r="4048" s="105" customFormat="1" spans="9:12">
      <c r="I4048" s="225"/>
      <c r="K4048" s="9"/>
      <c r="L4048" s="9"/>
    </row>
    <row r="4049" s="105" customFormat="1" spans="9:12">
      <c r="I4049" s="225"/>
      <c r="K4049" s="9"/>
      <c r="L4049" s="9"/>
    </row>
    <row r="4050" s="105" customFormat="1" spans="9:12">
      <c r="I4050" s="225"/>
      <c r="K4050" s="9"/>
      <c r="L4050" s="9"/>
    </row>
    <row r="4051" s="105" customFormat="1" spans="9:12">
      <c r="I4051" s="225"/>
      <c r="K4051" s="9"/>
      <c r="L4051" s="9"/>
    </row>
    <row r="4052" s="105" customFormat="1" spans="9:12">
      <c r="I4052" s="225"/>
      <c r="K4052" s="9"/>
      <c r="L4052" s="9"/>
    </row>
    <row r="4053" s="105" customFormat="1" spans="9:12">
      <c r="I4053" s="225"/>
      <c r="K4053" s="9"/>
      <c r="L4053" s="9"/>
    </row>
    <row r="4054" s="105" customFormat="1" spans="9:12">
      <c r="I4054" s="225"/>
      <c r="K4054" s="9"/>
      <c r="L4054" s="9"/>
    </row>
    <row r="4055" s="105" customFormat="1" spans="9:12">
      <c r="I4055" s="225"/>
      <c r="K4055" s="9"/>
      <c r="L4055" s="9"/>
    </row>
    <row r="4056" s="105" customFormat="1" spans="9:12">
      <c r="I4056" s="225"/>
      <c r="K4056" s="9"/>
      <c r="L4056" s="9"/>
    </row>
    <row r="4057" s="105" customFormat="1" spans="9:12">
      <c r="I4057" s="225"/>
      <c r="K4057" s="9"/>
      <c r="L4057" s="9"/>
    </row>
    <row r="4058" s="105" customFormat="1" spans="9:12">
      <c r="I4058" s="225"/>
      <c r="K4058" s="9"/>
      <c r="L4058" s="9"/>
    </row>
    <row r="4059" s="105" customFormat="1" spans="9:12">
      <c r="I4059" s="225"/>
      <c r="K4059" s="9"/>
      <c r="L4059" s="9"/>
    </row>
    <row r="4060" s="105" customFormat="1" spans="9:12">
      <c r="I4060" s="225"/>
      <c r="K4060" s="9"/>
      <c r="L4060" s="9"/>
    </row>
    <row r="4061" s="105" customFormat="1" spans="9:12">
      <c r="I4061" s="225"/>
      <c r="K4061" s="9"/>
      <c r="L4061" s="9"/>
    </row>
    <row r="4062" s="105" customFormat="1" spans="9:12">
      <c r="I4062" s="225"/>
      <c r="K4062" s="9"/>
      <c r="L4062" s="9"/>
    </row>
    <row r="4063" s="105" customFormat="1" spans="9:12">
      <c r="I4063" s="225"/>
      <c r="K4063" s="9"/>
      <c r="L4063" s="9"/>
    </row>
    <row r="4064" s="105" customFormat="1" spans="9:12">
      <c r="I4064" s="225"/>
      <c r="K4064" s="9"/>
      <c r="L4064" s="9"/>
    </row>
    <row r="4065" s="105" customFormat="1" spans="9:12">
      <c r="I4065" s="225"/>
      <c r="K4065" s="9"/>
      <c r="L4065" s="9"/>
    </row>
    <row r="4066" s="105" customFormat="1" spans="9:12">
      <c r="I4066" s="225"/>
      <c r="K4066" s="9"/>
      <c r="L4066" s="9"/>
    </row>
    <row r="4067" s="105" customFormat="1" spans="9:12">
      <c r="I4067" s="225"/>
      <c r="K4067" s="9"/>
      <c r="L4067" s="9"/>
    </row>
    <row r="4068" s="105" customFormat="1" spans="9:12">
      <c r="I4068" s="225"/>
      <c r="K4068" s="9"/>
      <c r="L4068" s="9"/>
    </row>
    <row r="4069" s="105" customFormat="1" spans="9:12">
      <c r="I4069" s="225"/>
      <c r="K4069" s="9"/>
      <c r="L4069" s="9"/>
    </row>
    <row r="4070" s="105" customFormat="1" spans="9:12">
      <c r="I4070" s="225"/>
      <c r="K4070" s="9"/>
      <c r="L4070" s="9"/>
    </row>
    <row r="4071" s="105" customFormat="1" spans="9:12">
      <c r="I4071" s="225"/>
      <c r="K4071" s="9"/>
      <c r="L4071" s="9"/>
    </row>
    <row r="4072" s="105" customFormat="1" spans="9:12">
      <c r="I4072" s="225"/>
      <c r="K4072" s="9"/>
      <c r="L4072" s="9"/>
    </row>
    <row r="4073" s="105" customFormat="1" spans="9:12">
      <c r="I4073" s="225"/>
      <c r="K4073" s="9"/>
      <c r="L4073" s="9"/>
    </row>
    <row r="4074" s="105" customFormat="1" spans="9:12">
      <c r="I4074" s="225"/>
      <c r="K4074" s="9"/>
      <c r="L4074" s="9"/>
    </row>
    <row r="4075" s="105" customFormat="1" spans="9:12">
      <c r="I4075" s="225"/>
      <c r="K4075" s="9"/>
      <c r="L4075" s="9"/>
    </row>
    <row r="4076" s="105" customFormat="1" spans="9:12">
      <c r="I4076" s="225"/>
      <c r="K4076" s="9"/>
      <c r="L4076" s="9"/>
    </row>
    <row r="4077" s="105" customFormat="1" spans="9:12">
      <c r="I4077" s="225"/>
      <c r="K4077" s="9"/>
      <c r="L4077" s="9"/>
    </row>
    <row r="4078" s="105" customFormat="1" spans="9:12">
      <c r="I4078" s="225"/>
      <c r="K4078" s="9"/>
      <c r="L4078" s="9"/>
    </row>
    <row r="4079" s="105" customFormat="1" spans="9:12">
      <c r="I4079" s="225"/>
      <c r="K4079" s="9"/>
      <c r="L4079" s="9"/>
    </row>
    <row r="4080" s="105" customFormat="1" spans="9:12">
      <c r="I4080" s="225"/>
      <c r="K4080" s="9"/>
      <c r="L4080" s="9"/>
    </row>
    <row r="4081" s="105" customFormat="1" spans="9:12">
      <c r="I4081" s="225"/>
      <c r="K4081" s="9"/>
      <c r="L4081" s="9"/>
    </row>
    <row r="4082" s="105" customFormat="1" spans="9:12">
      <c r="I4082" s="225"/>
      <c r="K4082" s="9"/>
      <c r="L4082" s="9"/>
    </row>
    <row r="4083" s="105" customFormat="1" spans="9:12">
      <c r="I4083" s="225"/>
      <c r="K4083" s="9"/>
      <c r="L4083" s="9"/>
    </row>
    <row r="4084" s="105" customFormat="1" spans="9:12">
      <c r="I4084" s="225"/>
      <c r="K4084" s="9"/>
      <c r="L4084" s="9"/>
    </row>
    <row r="4085" s="105" customFormat="1" spans="9:12">
      <c r="I4085" s="225"/>
      <c r="K4085" s="9"/>
      <c r="L4085" s="9"/>
    </row>
    <row r="4086" s="105" customFormat="1" spans="9:12">
      <c r="I4086" s="225"/>
      <c r="K4086" s="9"/>
      <c r="L4086" s="9"/>
    </row>
    <row r="4087" s="105" customFormat="1" spans="9:12">
      <c r="I4087" s="225"/>
      <c r="K4087" s="9"/>
      <c r="L4087" s="9"/>
    </row>
    <row r="4088" s="105" customFormat="1" spans="9:12">
      <c r="I4088" s="225"/>
      <c r="K4088" s="9"/>
      <c r="L4088" s="9"/>
    </row>
    <row r="4089" s="105" customFormat="1" spans="9:12">
      <c r="I4089" s="225"/>
      <c r="K4089" s="9"/>
      <c r="L4089" s="9"/>
    </row>
    <row r="4090" s="105" customFormat="1" spans="9:12">
      <c r="I4090" s="225"/>
      <c r="K4090" s="9"/>
      <c r="L4090" s="9"/>
    </row>
    <row r="4091" s="105" customFormat="1" spans="9:12">
      <c r="I4091" s="225"/>
      <c r="K4091" s="9"/>
      <c r="L4091" s="9"/>
    </row>
    <row r="4092" s="105" customFormat="1" spans="9:12">
      <c r="I4092" s="225"/>
      <c r="K4092" s="9"/>
      <c r="L4092" s="9"/>
    </row>
    <row r="4093" s="105" customFormat="1" spans="9:12">
      <c r="I4093" s="225"/>
      <c r="K4093" s="9"/>
      <c r="L4093" s="9"/>
    </row>
    <row r="4094" s="105" customFormat="1" spans="9:12">
      <c r="I4094" s="225"/>
      <c r="K4094" s="9"/>
      <c r="L4094" s="9"/>
    </row>
    <row r="4095" s="105" customFormat="1" spans="9:12">
      <c r="I4095" s="225"/>
      <c r="K4095" s="9"/>
      <c r="L4095" s="9"/>
    </row>
    <row r="4096" s="105" customFormat="1" spans="9:12">
      <c r="I4096" s="225"/>
      <c r="K4096" s="9"/>
      <c r="L4096" s="9"/>
    </row>
    <row r="4097" s="105" customFormat="1" spans="9:12">
      <c r="I4097" s="225"/>
      <c r="K4097" s="9"/>
      <c r="L4097" s="9"/>
    </row>
    <row r="4098" s="105" customFormat="1" spans="9:12">
      <c r="I4098" s="225"/>
      <c r="K4098" s="9"/>
      <c r="L4098" s="9"/>
    </row>
    <row r="4099" s="105" customFormat="1" spans="9:12">
      <c r="I4099" s="225"/>
      <c r="K4099" s="9"/>
      <c r="L4099" s="9"/>
    </row>
    <row r="4100" s="105" customFormat="1" spans="9:12">
      <c r="I4100" s="225"/>
      <c r="K4100" s="9"/>
      <c r="L4100" s="9"/>
    </row>
    <row r="4101" s="105" customFormat="1" spans="9:12">
      <c r="I4101" s="225"/>
      <c r="K4101" s="9"/>
      <c r="L4101" s="9"/>
    </row>
    <row r="4102" s="105" customFormat="1" spans="9:12">
      <c r="I4102" s="225"/>
      <c r="K4102" s="9"/>
      <c r="L4102" s="9"/>
    </row>
    <row r="4103" s="105" customFormat="1" spans="9:12">
      <c r="I4103" s="225"/>
      <c r="K4103" s="9"/>
      <c r="L4103" s="9"/>
    </row>
    <row r="4104" s="105" customFormat="1" spans="9:12">
      <c r="I4104" s="225"/>
      <c r="K4104" s="9"/>
      <c r="L4104" s="9"/>
    </row>
    <row r="4105" s="105" customFormat="1" spans="9:12">
      <c r="I4105" s="225"/>
      <c r="K4105" s="9"/>
      <c r="L4105" s="9"/>
    </row>
    <row r="4106" s="105" customFormat="1" spans="9:12">
      <c r="I4106" s="225"/>
      <c r="K4106" s="9"/>
      <c r="L4106" s="9"/>
    </row>
    <row r="4107" s="105" customFormat="1" spans="9:12">
      <c r="I4107" s="225"/>
      <c r="K4107" s="9"/>
      <c r="L4107" s="9"/>
    </row>
    <row r="4108" s="105" customFormat="1" spans="9:12">
      <c r="I4108" s="225"/>
      <c r="K4108" s="9"/>
      <c r="L4108" s="9"/>
    </row>
    <row r="4109" s="105" customFormat="1" spans="9:12">
      <c r="I4109" s="225"/>
      <c r="K4109" s="9"/>
      <c r="L4109" s="9"/>
    </row>
    <row r="4110" s="105" customFormat="1" spans="9:12">
      <c r="I4110" s="225"/>
      <c r="K4110" s="9"/>
      <c r="L4110" s="9"/>
    </row>
    <row r="4111" s="105" customFormat="1" spans="9:12">
      <c r="I4111" s="225"/>
      <c r="K4111" s="9"/>
      <c r="L4111" s="9"/>
    </row>
    <row r="4112" s="105" customFormat="1" spans="9:12">
      <c r="I4112" s="225"/>
      <c r="K4112" s="9"/>
      <c r="L4112" s="9"/>
    </row>
    <row r="4113" s="105" customFormat="1" spans="9:12">
      <c r="I4113" s="225"/>
      <c r="K4113" s="9"/>
      <c r="L4113" s="9"/>
    </row>
    <row r="4114" s="105" customFormat="1" spans="9:12">
      <c r="I4114" s="225"/>
      <c r="K4114" s="9"/>
      <c r="L4114" s="9"/>
    </row>
    <row r="4115" s="105" customFormat="1" spans="9:12">
      <c r="I4115" s="225"/>
      <c r="K4115" s="9"/>
      <c r="L4115" s="9"/>
    </row>
    <row r="4116" s="105" customFormat="1" spans="9:12">
      <c r="I4116" s="225"/>
      <c r="K4116" s="9"/>
      <c r="L4116" s="9"/>
    </row>
    <row r="4117" s="105" customFormat="1" spans="9:12">
      <c r="I4117" s="225"/>
      <c r="K4117" s="9"/>
      <c r="L4117" s="9"/>
    </row>
    <row r="4118" s="105" customFormat="1" spans="9:12">
      <c r="I4118" s="225"/>
      <c r="K4118" s="9"/>
      <c r="L4118" s="9"/>
    </row>
    <row r="4119" s="105" customFormat="1" spans="9:12">
      <c r="I4119" s="225"/>
      <c r="K4119" s="9"/>
      <c r="L4119" s="9"/>
    </row>
    <row r="4120" s="105" customFormat="1" spans="9:12">
      <c r="I4120" s="225"/>
      <c r="K4120" s="9"/>
      <c r="L4120" s="9"/>
    </row>
    <row r="4121" s="105" customFormat="1" spans="9:12">
      <c r="I4121" s="225"/>
      <c r="K4121" s="9"/>
      <c r="L4121" s="9"/>
    </row>
    <row r="4122" s="105" customFormat="1" spans="9:12">
      <c r="I4122" s="225"/>
      <c r="K4122" s="9"/>
      <c r="L4122" s="9"/>
    </row>
    <row r="4123" s="105" customFormat="1" spans="9:12">
      <c r="I4123" s="225"/>
      <c r="K4123" s="9"/>
      <c r="L4123" s="9"/>
    </row>
    <row r="4124" s="105" customFormat="1" spans="9:12">
      <c r="I4124" s="225"/>
      <c r="K4124" s="9"/>
      <c r="L4124" s="9"/>
    </row>
    <row r="4125" s="105" customFormat="1" spans="9:12">
      <c r="I4125" s="225"/>
      <c r="K4125" s="9"/>
      <c r="L4125" s="9"/>
    </row>
    <row r="4126" s="105" customFormat="1" spans="9:12">
      <c r="I4126" s="225"/>
      <c r="K4126" s="9"/>
      <c r="L4126" s="9"/>
    </row>
    <row r="4127" s="105" customFormat="1" spans="9:12">
      <c r="I4127" s="225"/>
      <c r="K4127" s="9"/>
      <c r="L4127" s="9"/>
    </row>
    <row r="4128" s="105" customFormat="1" spans="9:12">
      <c r="I4128" s="225"/>
      <c r="K4128" s="9"/>
      <c r="L4128" s="9"/>
    </row>
    <row r="4129" s="105" customFormat="1" spans="9:12">
      <c r="I4129" s="225"/>
      <c r="K4129" s="9"/>
      <c r="L4129" s="9"/>
    </row>
    <row r="4130" s="105" customFormat="1" spans="9:12">
      <c r="I4130" s="225"/>
      <c r="K4130" s="9"/>
      <c r="L4130" s="9"/>
    </row>
    <row r="4131" s="105" customFormat="1" spans="9:12">
      <c r="I4131" s="225"/>
      <c r="K4131" s="9"/>
      <c r="L4131" s="9"/>
    </row>
    <row r="4132" s="105" customFormat="1" spans="9:12">
      <c r="I4132" s="225"/>
      <c r="K4132" s="9"/>
      <c r="L4132" s="9"/>
    </row>
    <row r="4133" s="105" customFormat="1" spans="9:12">
      <c r="I4133" s="225"/>
      <c r="K4133" s="9"/>
      <c r="L4133" s="9"/>
    </row>
    <row r="4134" s="105" customFormat="1" spans="9:12">
      <c r="I4134" s="225"/>
      <c r="K4134" s="9"/>
      <c r="L4134" s="9"/>
    </row>
    <row r="4135" s="105" customFormat="1" spans="9:12">
      <c r="I4135" s="225"/>
      <c r="K4135" s="9"/>
      <c r="L4135" s="9"/>
    </row>
    <row r="4136" s="105" customFormat="1" spans="9:12">
      <c r="I4136" s="225"/>
      <c r="K4136" s="9"/>
      <c r="L4136" s="9"/>
    </row>
    <row r="4137" s="105" customFormat="1" spans="9:12">
      <c r="I4137" s="225"/>
      <c r="K4137" s="9"/>
      <c r="L4137" s="9"/>
    </row>
    <row r="4138" s="105" customFormat="1" spans="9:12">
      <c r="I4138" s="225"/>
      <c r="K4138" s="9"/>
      <c r="L4138" s="9"/>
    </row>
    <row r="4139" s="105" customFormat="1" spans="9:12">
      <c r="I4139" s="225"/>
      <c r="K4139" s="9"/>
      <c r="L4139" s="9"/>
    </row>
    <row r="4140" s="105" customFormat="1" spans="9:12">
      <c r="I4140" s="225"/>
      <c r="K4140" s="9"/>
      <c r="L4140" s="9"/>
    </row>
    <row r="4141" s="105" customFormat="1" spans="9:12">
      <c r="I4141" s="225"/>
      <c r="K4141" s="9"/>
      <c r="L4141" s="9"/>
    </row>
    <row r="4142" s="105" customFormat="1" spans="9:12">
      <c r="I4142" s="225"/>
      <c r="K4142" s="9"/>
      <c r="L4142" s="9"/>
    </row>
    <row r="4143" s="105" customFormat="1" spans="9:12">
      <c r="I4143" s="225"/>
      <c r="K4143" s="9"/>
      <c r="L4143" s="9"/>
    </row>
    <row r="4144" s="105" customFormat="1" spans="9:12">
      <c r="I4144" s="225"/>
      <c r="K4144" s="9"/>
      <c r="L4144" s="9"/>
    </row>
    <row r="4145" s="105" customFormat="1" spans="9:12">
      <c r="I4145" s="225"/>
      <c r="K4145" s="9"/>
      <c r="L4145" s="9"/>
    </row>
    <row r="4146" s="105" customFormat="1" spans="9:12">
      <c r="I4146" s="225"/>
      <c r="K4146" s="9"/>
      <c r="L4146" s="9"/>
    </row>
    <row r="4147" s="105" customFormat="1" spans="9:12">
      <c r="I4147" s="225"/>
      <c r="K4147" s="9"/>
      <c r="L4147" s="9"/>
    </row>
    <row r="4148" s="105" customFormat="1" spans="9:12">
      <c r="I4148" s="225"/>
      <c r="K4148" s="9"/>
      <c r="L4148" s="9"/>
    </row>
    <row r="4149" s="105" customFormat="1" spans="9:12">
      <c r="I4149" s="225"/>
      <c r="K4149" s="9"/>
      <c r="L4149" s="9"/>
    </row>
    <row r="4150" s="105" customFormat="1" spans="9:12">
      <c r="I4150" s="225"/>
      <c r="K4150" s="9"/>
      <c r="L4150" s="9"/>
    </row>
    <row r="4151" s="105" customFormat="1" spans="9:12">
      <c r="I4151" s="225"/>
      <c r="K4151" s="9"/>
      <c r="L4151" s="9"/>
    </row>
    <row r="4152" s="105" customFormat="1" spans="9:12">
      <c r="I4152" s="225"/>
      <c r="K4152" s="9"/>
      <c r="L4152" s="9"/>
    </row>
    <row r="4153" s="105" customFormat="1" spans="9:12">
      <c r="I4153" s="225"/>
      <c r="K4153" s="9"/>
      <c r="L4153" s="9"/>
    </row>
    <row r="4154" s="105" customFormat="1" spans="9:12">
      <c r="I4154" s="225"/>
      <c r="K4154" s="9"/>
      <c r="L4154" s="9"/>
    </row>
    <row r="4155" s="105" customFormat="1" spans="9:12">
      <c r="I4155" s="225"/>
      <c r="K4155" s="9"/>
      <c r="L4155" s="9"/>
    </row>
    <row r="4156" s="105" customFormat="1" spans="9:12">
      <c r="I4156" s="225"/>
      <c r="K4156" s="9"/>
      <c r="L4156" s="9"/>
    </row>
    <row r="4157" s="105" customFormat="1" spans="9:12">
      <c r="I4157" s="225"/>
      <c r="K4157" s="9"/>
      <c r="L4157" s="9"/>
    </row>
    <row r="4158" s="105" customFormat="1" spans="9:12">
      <c r="I4158" s="225"/>
      <c r="K4158" s="9"/>
      <c r="L4158" s="9"/>
    </row>
    <row r="4159" s="105" customFormat="1" spans="9:12">
      <c r="I4159" s="225"/>
      <c r="K4159" s="9"/>
      <c r="L4159" s="9"/>
    </row>
    <row r="4160" s="105" customFormat="1" spans="9:12">
      <c r="I4160" s="225"/>
      <c r="K4160" s="9"/>
      <c r="L4160" s="9"/>
    </row>
    <row r="4161" s="105" customFormat="1" spans="9:12">
      <c r="I4161" s="225"/>
      <c r="K4161" s="9"/>
      <c r="L4161" s="9"/>
    </row>
    <row r="4162" s="105" customFormat="1" spans="9:12">
      <c r="I4162" s="225"/>
      <c r="K4162" s="9"/>
      <c r="L4162" s="9"/>
    </row>
    <row r="4163" s="105" customFormat="1" spans="9:12">
      <c r="I4163" s="225"/>
      <c r="K4163" s="9"/>
      <c r="L4163" s="9"/>
    </row>
    <row r="4164" s="105" customFormat="1" spans="9:12">
      <c r="I4164" s="225"/>
      <c r="K4164" s="9"/>
      <c r="L4164" s="9"/>
    </row>
    <row r="4165" s="105" customFormat="1" spans="9:12">
      <c r="I4165" s="225"/>
      <c r="K4165" s="9"/>
      <c r="L4165" s="9"/>
    </row>
    <row r="4166" s="105" customFormat="1" spans="9:12">
      <c r="I4166" s="225"/>
      <c r="K4166" s="9"/>
      <c r="L4166" s="9"/>
    </row>
    <row r="4167" s="105" customFormat="1" spans="9:12">
      <c r="I4167" s="225"/>
      <c r="K4167" s="9"/>
      <c r="L4167" s="9"/>
    </row>
    <row r="4168" s="105" customFormat="1" spans="9:12">
      <c r="I4168" s="225"/>
      <c r="K4168" s="9"/>
      <c r="L4168" s="9"/>
    </row>
    <row r="4169" s="105" customFormat="1" spans="9:12">
      <c r="I4169" s="225"/>
      <c r="K4169" s="9"/>
      <c r="L4169" s="9"/>
    </row>
    <row r="4170" s="105" customFormat="1" spans="9:12">
      <c r="I4170" s="225"/>
      <c r="K4170" s="9"/>
      <c r="L4170" s="9"/>
    </row>
    <row r="4171" s="105" customFormat="1" spans="9:12">
      <c r="I4171" s="225"/>
      <c r="K4171" s="9"/>
      <c r="L4171" s="9"/>
    </row>
    <row r="4172" s="105" customFormat="1" spans="9:12">
      <c r="I4172" s="225"/>
      <c r="K4172" s="9"/>
      <c r="L4172" s="9"/>
    </row>
    <row r="4173" s="105" customFormat="1" spans="9:12">
      <c r="I4173" s="225"/>
      <c r="K4173" s="9"/>
      <c r="L4173" s="9"/>
    </row>
    <row r="4174" s="105" customFormat="1" spans="9:12">
      <c r="I4174" s="225"/>
      <c r="K4174" s="9"/>
      <c r="L4174" s="9"/>
    </row>
    <row r="4175" s="105" customFormat="1" spans="9:12">
      <c r="I4175" s="225"/>
      <c r="K4175" s="9"/>
      <c r="L4175" s="9"/>
    </row>
    <row r="4176" s="105" customFormat="1" spans="9:12">
      <c r="I4176" s="225"/>
      <c r="K4176" s="9"/>
      <c r="L4176" s="9"/>
    </row>
    <row r="4177" s="105" customFormat="1" spans="9:12">
      <c r="I4177" s="225"/>
      <c r="K4177" s="9"/>
      <c r="L4177" s="9"/>
    </row>
    <row r="4178" s="105" customFormat="1" spans="9:12">
      <c r="I4178" s="225"/>
      <c r="K4178" s="9"/>
      <c r="L4178" s="9"/>
    </row>
    <row r="4179" s="105" customFormat="1" spans="9:12">
      <c r="I4179" s="225"/>
      <c r="K4179" s="9"/>
      <c r="L4179" s="9"/>
    </row>
    <row r="4180" s="105" customFormat="1" spans="9:12">
      <c r="I4180" s="225"/>
      <c r="K4180" s="9"/>
      <c r="L4180" s="9"/>
    </row>
    <row r="4181" s="105" customFormat="1" spans="9:12">
      <c r="I4181" s="225"/>
      <c r="K4181" s="9"/>
      <c r="L4181" s="9"/>
    </row>
    <row r="4182" s="105" customFormat="1" spans="9:12">
      <c r="I4182" s="225"/>
      <c r="K4182" s="9"/>
      <c r="L4182" s="9"/>
    </row>
    <row r="4183" s="105" customFormat="1" spans="9:12">
      <c r="I4183" s="225"/>
      <c r="K4183" s="9"/>
      <c r="L4183" s="9"/>
    </row>
    <row r="4184" s="105" customFormat="1" spans="9:12">
      <c r="I4184" s="225"/>
      <c r="K4184" s="9"/>
      <c r="L4184" s="9"/>
    </row>
    <row r="4185" s="105" customFormat="1" spans="9:12">
      <c r="I4185" s="225"/>
      <c r="K4185" s="9"/>
      <c r="L4185" s="9"/>
    </row>
    <row r="4186" s="105" customFormat="1" spans="9:12">
      <c r="I4186" s="225"/>
      <c r="K4186" s="9"/>
      <c r="L4186" s="9"/>
    </row>
    <row r="4187" s="105" customFormat="1" spans="9:12">
      <c r="I4187" s="225"/>
      <c r="K4187" s="9"/>
      <c r="L4187" s="9"/>
    </row>
    <row r="4188" s="105" customFormat="1" spans="9:12">
      <c r="I4188" s="225"/>
      <c r="K4188" s="9"/>
      <c r="L4188" s="9"/>
    </row>
    <row r="4189" s="105" customFormat="1" spans="9:12">
      <c r="I4189" s="225"/>
      <c r="K4189" s="9"/>
      <c r="L4189" s="9"/>
    </row>
    <row r="4190" s="105" customFormat="1" spans="9:12">
      <c r="I4190" s="225"/>
      <c r="K4190" s="9"/>
      <c r="L4190" s="9"/>
    </row>
    <row r="4191" s="105" customFormat="1" spans="9:12">
      <c r="I4191" s="225"/>
      <c r="K4191" s="9"/>
      <c r="L4191" s="9"/>
    </row>
    <row r="4192" s="105" customFormat="1" spans="9:12">
      <c r="I4192" s="225"/>
      <c r="K4192" s="9"/>
      <c r="L4192" s="9"/>
    </row>
    <row r="4193" s="105" customFormat="1" spans="9:12">
      <c r="I4193" s="225"/>
      <c r="K4193" s="9"/>
      <c r="L4193" s="9"/>
    </row>
    <row r="4194" s="105" customFormat="1" spans="9:12">
      <c r="I4194" s="225"/>
      <c r="K4194" s="9"/>
      <c r="L4194" s="9"/>
    </row>
    <row r="4195" s="105" customFormat="1" spans="9:12">
      <c r="I4195" s="225"/>
      <c r="K4195" s="9"/>
      <c r="L4195" s="9"/>
    </row>
    <row r="4196" s="105" customFormat="1" spans="9:12">
      <c r="I4196" s="225"/>
      <c r="K4196" s="9"/>
      <c r="L4196" s="9"/>
    </row>
    <row r="4197" s="105" customFormat="1" spans="9:12">
      <c r="I4197" s="225"/>
      <c r="K4197" s="9"/>
      <c r="L4197" s="9"/>
    </row>
    <row r="4198" s="105" customFormat="1" spans="9:12">
      <c r="I4198" s="225"/>
      <c r="K4198" s="9"/>
      <c r="L4198" s="9"/>
    </row>
    <row r="4199" s="105" customFormat="1" spans="9:12">
      <c r="I4199" s="225"/>
      <c r="K4199" s="9"/>
      <c r="L4199" s="9"/>
    </row>
    <row r="4200" s="105" customFormat="1" spans="9:12">
      <c r="I4200" s="225"/>
      <c r="K4200" s="9"/>
      <c r="L4200" s="9"/>
    </row>
    <row r="4201" s="105" customFormat="1" spans="9:12">
      <c r="I4201" s="225"/>
      <c r="K4201" s="9"/>
      <c r="L4201" s="9"/>
    </row>
    <row r="4202" s="105" customFormat="1" spans="9:12">
      <c r="I4202" s="225"/>
      <c r="K4202" s="9"/>
      <c r="L4202" s="9"/>
    </row>
    <row r="4203" s="105" customFormat="1" spans="9:12">
      <c r="I4203" s="225"/>
      <c r="K4203" s="9"/>
      <c r="L4203" s="9"/>
    </row>
    <row r="4204" s="105" customFormat="1" spans="9:12">
      <c r="I4204" s="225"/>
      <c r="K4204" s="9"/>
      <c r="L4204" s="9"/>
    </row>
    <row r="4205" s="105" customFormat="1" spans="9:12">
      <c r="I4205" s="225"/>
      <c r="K4205" s="9"/>
      <c r="L4205" s="9"/>
    </row>
    <row r="4206" s="105" customFormat="1" spans="9:12">
      <c r="I4206" s="225"/>
      <c r="K4206" s="9"/>
      <c r="L4206" s="9"/>
    </row>
    <row r="4207" s="105" customFormat="1" spans="9:12">
      <c r="I4207" s="225"/>
      <c r="K4207" s="9"/>
      <c r="L4207" s="9"/>
    </row>
    <row r="4208" s="105" customFormat="1" spans="9:12">
      <c r="I4208" s="225"/>
      <c r="K4208" s="9"/>
      <c r="L4208" s="9"/>
    </row>
    <row r="4209" s="105" customFormat="1" spans="9:12">
      <c r="I4209" s="225"/>
      <c r="K4209" s="9"/>
      <c r="L4209" s="9"/>
    </row>
    <row r="4210" s="105" customFormat="1" spans="9:12">
      <c r="I4210" s="225"/>
      <c r="K4210" s="9"/>
      <c r="L4210" s="9"/>
    </row>
    <row r="4211" s="105" customFormat="1" spans="9:12">
      <c r="I4211" s="225"/>
      <c r="K4211" s="9"/>
      <c r="L4211" s="9"/>
    </row>
    <row r="4212" s="105" customFormat="1" spans="9:12">
      <c r="I4212" s="225"/>
      <c r="K4212" s="9"/>
      <c r="L4212" s="9"/>
    </row>
    <row r="4213" s="105" customFormat="1" spans="9:12">
      <c r="I4213" s="225"/>
      <c r="K4213" s="9"/>
      <c r="L4213" s="9"/>
    </row>
    <row r="4214" s="105" customFormat="1" spans="9:12">
      <c r="I4214" s="225"/>
      <c r="K4214" s="9"/>
      <c r="L4214" s="9"/>
    </row>
    <row r="4215" s="105" customFormat="1" spans="9:12">
      <c r="I4215" s="225"/>
      <c r="K4215" s="9"/>
      <c r="L4215" s="9"/>
    </row>
    <row r="4216" s="105" customFormat="1" spans="9:12">
      <c r="I4216" s="225"/>
      <c r="K4216" s="9"/>
      <c r="L4216" s="9"/>
    </row>
    <row r="4217" s="105" customFormat="1" spans="9:12">
      <c r="I4217" s="225"/>
      <c r="K4217" s="9"/>
      <c r="L4217" s="9"/>
    </row>
    <row r="4218" s="105" customFormat="1" spans="9:12">
      <c r="I4218" s="225"/>
      <c r="K4218" s="9"/>
      <c r="L4218" s="9"/>
    </row>
    <row r="4219" s="105" customFormat="1" spans="9:12">
      <c r="I4219" s="225"/>
      <c r="K4219" s="9"/>
      <c r="L4219" s="9"/>
    </row>
    <row r="4220" s="105" customFormat="1" spans="9:12">
      <c r="I4220" s="225"/>
      <c r="K4220" s="9"/>
      <c r="L4220" s="9"/>
    </row>
    <row r="4221" s="105" customFormat="1" spans="9:12">
      <c r="I4221" s="225"/>
      <c r="K4221" s="9"/>
      <c r="L4221" s="9"/>
    </row>
    <row r="4222" s="105" customFormat="1" spans="9:12">
      <c r="I4222" s="225"/>
      <c r="K4222" s="9"/>
      <c r="L4222" s="9"/>
    </row>
    <row r="4223" s="105" customFormat="1" spans="9:12">
      <c r="I4223" s="225"/>
      <c r="K4223" s="9"/>
      <c r="L4223" s="9"/>
    </row>
    <row r="4224" s="105" customFormat="1" spans="9:12">
      <c r="I4224" s="225"/>
      <c r="K4224" s="9"/>
      <c r="L4224" s="9"/>
    </row>
    <row r="4225" s="105" customFormat="1" spans="9:12">
      <c r="I4225" s="225"/>
      <c r="K4225" s="9"/>
      <c r="L4225" s="9"/>
    </row>
    <row r="4226" s="105" customFormat="1" spans="9:12">
      <c r="I4226" s="225"/>
      <c r="K4226" s="9"/>
      <c r="L4226" s="9"/>
    </row>
    <row r="4227" s="105" customFormat="1" spans="9:12">
      <c r="I4227" s="225"/>
      <c r="K4227" s="9"/>
      <c r="L4227" s="9"/>
    </row>
    <row r="4228" s="105" customFormat="1" spans="9:12">
      <c r="I4228" s="225"/>
      <c r="K4228" s="9"/>
      <c r="L4228" s="9"/>
    </row>
    <row r="4229" s="105" customFormat="1" spans="9:12">
      <c r="I4229" s="225"/>
      <c r="K4229" s="9"/>
      <c r="L4229" s="9"/>
    </row>
    <row r="4230" s="105" customFormat="1" spans="9:12">
      <c r="I4230" s="225"/>
      <c r="K4230" s="9"/>
      <c r="L4230" s="9"/>
    </row>
    <row r="4231" s="105" customFormat="1" spans="9:12">
      <c r="I4231" s="225"/>
      <c r="K4231" s="9"/>
      <c r="L4231" s="9"/>
    </row>
    <row r="4232" s="105" customFormat="1" spans="9:12">
      <c r="I4232" s="225"/>
      <c r="K4232" s="9"/>
      <c r="L4232" s="9"/>
    </row>
    <row r="4233" s="105" customFormat="1" spans="9:12">
      <c r="I4233" s="225"/>
      <c r="K4233" s="9"/>
      <c r="L4233" s="9"/>
    </row>
    <row r="4234" s="105" customFormat="1" spans="9:12">
      <c r="I4234" s="225"/>
      <c r="K4234" s="9"/>
      <c r="L4234" s="9"/>
    </row>
    <row r="4235" s="105" customFormat="1" spans="9:12">
      <c r="I4235" s="225"/>
      <c r="K4235" s="9"/>
      <c r="L4235" s="9"/>
    </row>
    <row r="4236" s="105" customFormat="1" spans="9:12">
      <c r="I4236" s="225"/>
      <c r="K4236" s="9"/>
      <c r="L4236" s="9"/>
    </row>
    <row r="4237" s="105" customFormat="1" spans="9:12">
      <c r="I4237" s="225"/>
      <c r="K4237" s="9"/>
      <c r="L4237" s="9"/>
    </row>
    <row r="4238" s="105" customFormat="1" spans="9:12">
      <c r="I4238" s="225"/>
      <c r="K4238" s="9"/>
      <c r="L4238" s="9"/>
    </row>
    <row r="4239" s="105" customFormat="1" spans="9:12">
      <c r="I4239" s="225"/>
      <c r="K4239" s="9"/>
      <c r="L4239" s="9"/>
    </row>
    <row r="4240" s="105" customFormat="1" spans="9:12">
      <c r="I4240" s="225"/>
      <c r="K4240" s="9"/>
      <c r="L4240" s="9"/>
    </row>
    <row r="4241" s="105" customFormat="1" spans="9:12">
      <c r="I4241" s="225"/>
      <c r="K4241" s="9"/>
      <c r="L4241" s="9"/>
    </row>
    <row r="4242" s="105" customFormat="1" spans="9:12">
      <c r="I4242" s="225"/>
      <c r="K4242" s="9"/>
      <c r="L4242" s="9"/>
    </row>
    <row r="4243" s="105" customFormat="1" spans="9:12">
      <c r="I4243" s="225"/>
      <c r="K4243" s="9"/>
      <c r="L4243" s="9"/>
    </row>
    <row r="4244" s="105" customFormat="1" spans="9:12">
      <c r="I4244" s="225"/>
      <c r="K4244" s="9"/>
      <c r="L4244" s="9"/>
    </row>
    <row r="4245" s="105" customFormat="1" spans="9:12">
      <c r="I4245" s="225"/>
      <c r="K4245" s="9"/>
      <c r="L4245" s="9"/>
    </row>
    <row r="4246" s="105" customFormat="1" spans="9:12">
      <c r="I4246" s="225"/>
      <c r="K4246" s="9"/>
      <c r="L4246" s="9"/>
    </row>
    <row r="4247" s="105" customFormat="1" spans="9:12">
      <c r="I4247" s="225"/>
      <c r="K4247" s="9"/>
      <c r="L4247" s="9"/>
    </row>
    <row r="4248" s="105" customFormat="1" spans="9:12">
      <c r="I4248" s="225"/>
      <c r="K4248" s="9"/>
      <c r="L4248" s="9"/>
    </row>
    <row r="4249" s="105" customFormat="1" spans="9:12">
      <c r="I4249" s="225"/>
      <c r="K4249" s="9"/>
      <c r="L4249" s="9"/>
    </row>
    <row r="4250" s="105" customFormat="1" spans="9:12">
      <c r="I4250" s="225"/>
      <c r="K4250" s="9"/>
      <c r="L4250" s="9"/>
    </row>
    <row r="4251" s="105" customFormat="1" spans="9:12">
      <c r="I4251" s="225"/>
      <c r="K4251" s="9"/>
      <c r="L4251" s="9"/>
    </row>
    <row r="4252" s="105" customFormat="1" spans="9:12">
      <c r="I4252" s="225"/>
      <c r="K4252" s="9"/>
      <c r="L4252" s="9"/>
    </row>
    <row r="4253" s="105" customFormat="1" spans="9:12">
      <c r="I4253" s="225"/>
      <c r="K4253" s="9"/>
      <c r="L4253" s="9"/>
    </row>
    <row r="4254" s="105" customFormat="1" spans="9:12">
      <c r="I4254" s="225"/>
      <c r="K4254" s="9"/>
      <c r="L4254" s="9"/>
    </row>
    <row r="4255" s="105" customFormat="1" spans="9:12">
      <c r="I4255" s="225"/>
      <c r="K4255" s="9"/>
      <c r="L4255" s="9"/>
    </row>
    <row r="4256" s="105" customFormat="1" spans="9:12">
      <c r="I4256" s="225"/>
      <c r="K4256" s="9"/>
      <c r="L4256" s="9"/>
    </row>
    <row r="4257" s="105" customFormat="1" spans="9:12">
      <c r="I4257" s="225"/>
      <c r="K4257" s="9"/>
      <c r="L4257" s="9"/>
    </row>
    <row r="4258" s="105" customFormat="1" spans="9:12">
      <c r="I4258" s="225"/>
      <c r="K4258" s="9"/>
      <c r="L4258" s="9"/>
    </row>
    <row r="4259" s="105" customFormat="1" spans="9:12">
      <c r="I4259" s="225"/>
      <c r="K4259" s="9"/>
      <c r="L4259" s="9"/>
    </row>
    <row r="4260" s="105" customFormat="1" spans="9:12">
      <c r="I4260" s="225"/>
      <c r="K4260" s="9"/>
      <c r="L4260" s="9"/>
    </row>
    <row r="4261" s="105" customFormat="1" spans="9:12">
      <c r="I4261" s="225"/>
      <c r="K4261" s="9"/>
      <c r="L4261" s="9"/>
    </row>
    <row r="4262" s="105" customFormat="1" spans="9:12">
      <c r="I4262" s="225"/>
      <c r="K4262" s="9"/>
      <c r="L4262" s="9"/>
    </row>
    <row r="4263" s="105" customFormat="1" spans="9:12">
      <c r="I4263" s="225"/>
      <c r="K4263" s="9"/>
      <c r="L4263" s="9"/>
    </row>
    <row r="4264" s="105" customFormat="1" spans="9:12">
      <c r="I4264" s="225"/>
      <c r="K4264" s="9"/>
      <c r="L4264" s="9"/>
    </row>
    <row r="4265" s="105" customFormat="1" spans="9:12">
      <c r="I4265" s="225"/>
      <c r="K4265" s="9"/>
      <c r="L4265" s="9"/>
    </row>
    <row r="4266" s="105" customFormat="1" spans="9:12">
      <c r="I4266" s="225"/>
      <c r="K4266" s="9"/>
      <c r="L4266" s="9"/>
    </row>
    <row r="4267" s="105" customFormat="1" spans="9:12">
      <c r="I4267" s="225"/>
      <c r="K4267" s="9"/>
      <c r="L4267" s="9"/>
    </row>
    <row r="4268" s="105" customFormat="1" spans="9:12">
      <c r="I4268" s="225"/>
      <c r="K4268" s="9"/>
      <c r="L4268" s="9"/>
    </row>
    <row r="4269" s="105" customFormat="1" spans="9:12">
      <c r="I4269" s="225"/>
      <c r="K4269" s="9"/>
      <c r="L4269" s="9"/>
    </row>
    <row r="4270" s="105" customFormat="1" spans="9:12">
      <c r="I4270" s="225"/>
      <c r="K4270" s="9"/>
      <c r="L4270" s="9"/>
    </row>
    <row r="4271" s="105" customFormat="1" spans="9:12">
      <c r="I4271" s="225"/>
      <c r="K4271" s="9"/>
      <c r="L4271" s="9"/>
    </row>
    <row r="4272" s="105" customFormat="1" spans="9:12">
      <c r="I4272" s="225"/>
      <c r="K4272" s="9"/>
      <c r="L4272" s="9"/>
    </row>
    <row r="4273" s="105" customFormat="1" spans="9:12">
      <c r="I4273" s="225"/>
      <c r="K4273" s="9"/>
      <c r="L4273" s="9"/>
    </row>
    <row r="4274" s="105" customFormat="1" spans="9:12">
      <c r="I4274" s="225"/>
      <c r="K4274" s="9"/>
      <c r="L4274" s="9"/>
    </row>
    <row r="4275" s="105" customFormat="1" spans="9:12">
      <c r="I4275" s="225"/>
      <c r="K4275" s="9"/>
      <c r="L4275" s="9"/>
    </row>
    <row r="4276" s="105" customFormat="1" spans="9:12">
      <c r="I4276" s="225"/>
      <c r="K4276" s="9"/>
      <c r="L4276" s="9"/>
    </row>
    <row r="4277" s="105" customFormat="1" spans="9:12">
      <c r="I4277" s="225"/>
      <c r="K4277" s="9"/>
      <c r="L4277" s="9"/>
    </row>
    <row r="4278" s="105" customFormat="1" spans="9:12">
      <c r="I4278" s="225"/>
      <c r="K4278" s="9"/>
      <c r="L4278" s="9"/>
    </row>
    <row r="4279" s="105" customFormat="1" spans="9:12">
      <c r="I4279" s="225"/>
      <c r="K4279" s="9"/>
      <c r="L4279" s="9"/>
    </row>
    <row r="4280" s="105" customFormat="1" spans="9:12">
      <c r="I4280" s="225"/>
      <c r="K4280" s="9"/>
      <c r="L4280" s="9"/>
    </row>
    <row r="4281" s="105" customFormat="1" spans="9:12">
      <c r="I4281" s="225"/>
      <c r="K4281" s="9"/>
      <c r="L4281" s="9"/>
    </row>
    <row r="4282" s="105" customFormat="1" spans="9:12">
      <c r="I4282" s="225"/>
      <c r="K4282" s="9"/>
      <c r="L4282" s="9"/>
    </row>
    <row r="4283" s="105" customFormat="1" spans="9:12">
      <c r="I4283" s="225"/>
      <c r="K4283" s="9"/>
      <c r="L4283" s="9"/>
    </row>
    <row r="4284" s="105" customFormat="1" spans="9:12">
      <c r="I4284" s="225"/>
      <c r="K4284" s="9"/>
      <c r="L4284" s="9"/>
    </row>
    <row r="4285" s="105" customFormat="1" spans="9:12">
      <c r="I4285" s="225"/>
      <c r="K4285" s="9"/>
      <c r="L4285" s="9"/>
    </row>
    <row r="4286" s="105" customFormat="1" spans="9:12">
      <c r="I4286" s="225"/>
      <c r="K4286" s="9"/>
      <c r="L4286" s="9"/>
    </row>
    <row r="4287" s="105" customFormat="1" spans="9:12">
      <c r="I4287" s="225"/>
      <c r="K4287" s="9"/>
      <c r="L4287" s="9"/>
    </row>
    <row r="4288" s="105" customFormat="1" spans="9:12">
      <c r="I4288" s="225"/>
      <c r="K4288" s="9"/>
      <c r="L4288" s="9"/>
    </row>
    <row r="4289" s="105" customFormat="1" spans="9:12">
      <c r="I4289" s="225"/>
      <c r="K4289" s="9"/>
      <c r="L4289" s="9"/>
    </row>
    <row r="4290" s="105" customFormat="1" spans="9:12">
      <c r="I4290" s="225"/>
      <c r="K4290" s="9"/>
      <c r="L4290" s="9"/>
    </row>
    <row r="4291" s="105" customFormat="1" spans="9:12">
      <c r="I4291" s="225"/>
      <c r="K4291" s="9"/>
      <c r="L4291" s="9"/>
    </row>
    <row r="4292" s="105" customFormat="1" spans="9:12">
      <c r="I4292" s="225"/>
      <c r="K4292" s="9"/>
      <c r="L4292" s="9"/>
    </row>
    <row r="4293" s="105" customFormat="1" spans="9:12">
      <c r="I4293" s="225"/>
      <c r="K4293" s="9"/>
      <c r="L4293" s="9"/>
    </row>
    <row r="4294" s="105" customFormat="1" spans="9:12">
      <c r="I4294" s="225"/>
      <c r="K4294" s="9"/>
      <c r="L4294" s="9"/>
    </row>
    <row r="4295" s="105" customFormat="1" spans="9:12">
      <c r="I4295" s="225"/>
      <c r="K4295" s="9"/>
      <c r="L4295" s="9"/>
    </row>
    <row r="4296" s="105" customFormat="1" spans="9:12">
      <c r="I4296" s="225"/>
      <c r="K4296" s="9"/>
      <c r="L4296" s="9"/>
    </row>
    <row r="4297" s="105" customFormat="1" spans="9:12">
      <c r="I4297" s="225"/>
      <c r="K4297" s="9"/>
      <c r="L4297" s="9"/>
    </row>
    <row r="4298" s="105" customFormat="1" spans="9:12">
      <c r="I4298" s="225"/>
      <c r="K4298" s="9"/>
      <c r="L4298" s="9"/>
    </row>
    <row r="4299" s="105" customFormat="1" spans="9:12">
      <c r="I4299" s="225"/>
      <c r="K4299" s="9"/>
      <c r="L4299" s="9"/>
    </row>
    <row r="4300" s="105" customFormat="1" spans="9:12">
      <c r="I4300" s="225"/>
      <c r="K4300" s="9"/>
      <c r="L4300" s="9"/>
    </row>
    <row r="4301" s="105" customFormat="1" spans="9:12">
      <c r="I4301" s="225"/>
      <c r="K4301" s="9"/>
      <c r="L4301" s="9"/>
    </row>
    <row r="4302" s="105" customFormat="1" spans="9:12">
      <c r="I4302" s="225"/>
      <c r="K4302" s="9"/>
      <c r="L4302" s="9"/>
    </row>
    <row r="4303" s="105" customFormat="1" spans="9:12">
      <c r="I4303" s="225"/>
      <c r="K4303" s="9"/>
      <c r="L4303" s="9"/>
    </row>
    <row r="4304" s="105" customFormat="1" spans="9:12">
      <c r="I4304" s="225"/>
      <c r="K4304" s="9"/>
      <c r="L4304" s="9"/>
    </row>
    <row r="4305" s="105" customFormat="1" spans="9:12">
      <c r="I4305" s="225"/>
      <c r="K4305" s="9"/>
      <c r="L4305" s="9"/>
    </row>
    <row r="4306" s="105" customFormat="1" spans="9:12">
      <c r="I4306" s="225"/>
      <c r="K4306" s="9"/>
      <c r="L4306" s="9"/>
    </row>
    <row r="4307" s="105" customFormat="1" spans="9:12">
      <c r="I4307" s="225"/>
      <c r="K4307" s="9"/>
      <c r="L4307" s="9"/>
    </row>
    <row r="4308" s="105" customFormat="1" spans="9:12">
      <c r="I4308" s="225"/>
      <c r="K4308" s="9"/>
      <c r="L4308" s="9"/>
    </row>
    <row r="4309" s="105" customFormat="1" spans="9:12">
      <c r="I4309" s="225"/>
      <c r="K4309" s="9"/>
      <c r="L4309" s="9"/>
    </row>
    <row r="4310" s="105" customFormat="1" spans="9:12">
      <c r="I4310" s="225"/>
      <c r="K4310" s="9"/>
      <c r="L4310" s="9"/>
    </row>
    <row r="4311" s="105" customFormat="1" spans="9:12">
      <c r="I4311" s="225"/>
      <c r="K4311" s="9"/>
      <c r="L4311" s="9"/>
    </row>
    <row r="4312" s="105" customFormat="1" spans="9:12">
      <c r="I4312" s="225"/>
      <c r="K4312" s="9"/>
      <c r="L4312" s="9"/>
    </row>
    <row r="4313" s="105" customFormat="1" spans="9:12">
      <c r="I4313" s="225"/>
      <c r="K4313" s="9"/>
      <c r="L4313" s="9"/>
    </row>
    <row r="4314" s="105" customFormat="1" spans="9:12">
      <c r="I4314" s="225"/>
      <c r="K4314" s="9"/>
      <c r="L4314" s="9"/>
    </row>
    <row r="4315" s="105" customFormat="1" spans="9:12">
      <c r="I4315" s="225"/>
      <c r="K4315" s="9"/>
      <c r="L4315" s="9"/>
    </row>
    <row r="4316" s="105" customFormat="1" spans="9:12">
      <c r="I4316" s="225"/>
      <c r="K4316" s="9"/>
      <c r="L4316" s="9"/>
    </row>
    <row r="4317" s="105" customFormat="1" spans="9:12">
      <c r="I4317" s="225"/>
      <c r="K4317" s="9"/>
      <c r="L4317" s="9"/>
    </row>
    <row r="4318" s="105" customFormat="1" spans="9:12">
      <c r="I4318" s="225"/>
      <c r="K4318" s="9"/>
      <c r="L4318" s="9"/>
    </row>
    <row r="4319" s="105" customFormat="1" spans="9:12">
      <c r="I4319" s="225"/>
      <c r="K4319" s="9"/>
      <c r="L4319" s="9"/>
    </row>
    <row r="4320" s="105" customFormat="1" spans="9:12">
      <c r="I4320" s="225"/>
      <c r="K4320" s="9"/>
      <c r="L4320" s="9"/>
    </row>
    <row r="4321" s="105" customFormat="1" spans="9:12">
      <c r="I4321" s="225"/>
      <c r="K4321" s="9"/>
      <c r="L4321" s="9"/>
    </row>
    <row r="4322" s="105" customFormat="1" spans="9:12">
      <c r="I4322" s="225"/>
      <c r="K4322" s="9"/>
      <c r="L4322" s="9"/>
    </row>
    <row r="4323" s="105" customFormat="1" spans="9:12">
      <c r="I4323" s="225"/>
      <c r="K4323" s="9"/>
      <c r="L4323" s="9"/>
    </row>
    <row r="4324" s="105" customFormat="1" spans="9:12">
      <c r="I4324" s="225"/>
      <c r="K4324" s="9"/>
      <c r="L4324" s="9"/>
    </row>
    <row r="4325" s="105" customFormat="1" spans="9:12">
      <c r="I4325" s="225"/>
      <c r="K4325" s="9"/>
      <c r="L4325" s="9"/>
    </row>
    <row r="4326" s="105" customFormat="1" spans="9:12">
      <c r="I4326" s="225"/>
      <c r="K4326" s="9"/>
      <c r="L4326" s="9"/>
    </row>
    <row r="4327" s="105" customFormat="1" spans="9:12">
      <c r="I4327" s="225"/>
      <c r="K4327" s="9"/>
      <c r="L4327" s="9"/>
    </row>
    <row r="4328" s="105" customFormat="1" spans="9:12">
      <c r="I4328" s="225"/>
      <c r="K4328" s="9"/>
      <c r="L4328" s="9"/>
    </row>
    <row r="4329" s="105" customFormat="1" spans="9:12">
      <c r="I4329" s="225"/>
      <c r="K4329" s="9"/>
      <c r="L4329" s="9"/>
    </row>
    <row r="4330" s="105" customFormat="1" spans="9:12">
      <c r="I4330" s="225"/>
      <c r="K4330" s="9"/>
      <c r="L4330" s="9"/>
    </row>
    <row r="4331" s="105" customFormat="1" spans="9:12">
      <c r="I4331" s="225"/>
      <c r="K4331" s="9"/>
      <c r="L4331" s="9"/>
    </row>
    <row r="4332" s="105" customFormat="1" spans="9:12">
      <c r="I4332" s="225"/>
      <c r="K4332" s="9"/>
      <c r="L4332" s="9"/>
    </row>
    <row r="4333" s="105" customFormat="1" spans="9:12">
      <c r="I4333" s="225"/>
      <c r="K4333" s="9"/>
      <c r="L4333" s="9"/>
    </row>
    <row r="4334" s="105" customFormat="1" spans="9:12">
      <c r="I4334" s="225"/>
      <c r="K4334" s="9"/>
      <c r="L4334" s="9"/>
    </row>
    <row r="4335" s="105" customFormat="1" spans="9:12">
      <c r="I4335" s="225"/>
      <c r="K4335" s="9"/>
      <c r="L4335" s="9"/>
    </row>
    <row r="4336" s="105" customFormat="1" spans="9:12">
      <c r="I4336" s="225"/>
      <c r="K4336" s="9"/>
      <c r="L4336" s="9"/>
    </row>
    <row r="4337" s="105" customFormat="1" spans="9:12">
      <c r="I4337" s="225"/>
      <c r="K4337" s="9"/>
      <c r="L4337" s="9"/>
    </row>
    <row r="4338" s="105" customFormat="1" spans="9:12">
      <c r="I4338" s="225"/>
      <c r="K4338" s="9"/>
      <c r="L4338" s="9"/>
    </row>
    <row r="4339" s="105" customFormat="1" spans="9:12">
      <c r="I4339" s="225"/>
      <c r="K4339" s="9"/>
      <c r="L4339" s="9"/>
    </row>
    <row r="4340" s="105" customFormat="1" spans="9:12">
      <c r="I4340" s="225"/>
      <c r="K4340" s="9"/>
      <c r="L4340" s="9"/>
    </row>
    <row r="4341" s="105" customFormat="1" spans="9:12">
      <c r="I4341" s="225"/>
      <c r="K4341" s="9"/>
      <c r="L4341" s="9"/>
    </row>
    <row r="4342" s="105" customFormat="1" spans="9:12">
      <c r="I4342" s="225"/>
      <c r="K4342" s="9"/>
      <c r="L4342" s="9"/>
    </row>
    <row r="4343" s="105" customFormat="1" spans="9:12">
      <c r="I4343" s="225"/>
      <c r="K4343" s="9"/>
      <c r="L4343" s="9"/>
    </row>
    <row r="4344" s="105" customFormat="1" spans="9:12">
      <c r="I4344" s="225"/>
      <c r="K4344" s="9"/>
      <c r="L4344" s="9"/>
    </row>
    <row r="4345" s="105" customFormat="1" spans="9:12">
      <c r="I4345" s="225"/>
      <c r="K4345" s="9"/>
      <c r="L4345" s="9"/>
    </row>
    <row r="4346" s="105" customFormat="1" spans="9:12">
      <c r="I4346" s="225"/>
      <c r="K4346" s="9"/>
      <c r="L4346" s="9"/>
    </row>
    <row r="4347" s="105" customFormat="1" spans="9:12">
      <c r="I4347" s="225"/>
      <c r="K4347" s="9"/>
      <c r="L4347" s="9"/>
    </row>
    <row r="4348" s="105" customFormat="1" spans="9:12">
      <c r="I4348" s="225"/>
      <c r="K4348" s="9"/>
      <c r="L4348" s="9"/>
    </row>
    <row r="4349" s="105" customFormat="1" spans="9:12">
      <c r="I4349" s="225"/>
      <c r="K4349" s="9"/>
      <c r="L4349" s="9"/>
    </row>
    <row r="4350" s="105" customFormat="1" spans="9:12">
      <c r="I4350" s="225"/>
      <c r="K4350" s="9"/>
      <c r="L4350" s="9"/>
    </row>
    <row r="4351" s="105" customFormat="1" spans="9:12">
      <c r="I4351" s="225"/>
      <c r="K4351" s="9"/>
      <c r="L4351" s="9"/>
    </row>
    <row r="4352" s="105" customFormat="1" spans="9:12">
      <c r="I4352" s="225"/>
      <c r="K4352" s="9"/>
      <c r="L4352" s="9"/>
    </row>
    <row r="4353" s="105" customFormat="1" spans="9:12">
      <c r="I4353" s="225"/>
      <c r="K4353" s="9"/>
      <c r="L4353" s="9"/>
    </row>
    <row r="4354" s="105" customFormat="1" spans="9:12">
      <c r="I4354" s="225"/>
      <c r="K4354" s="9"/>
      <c r="L4354" s="9"/>
    </row>
    <row r="4355" s="105" customFormat="1" spans="9:12">
      <c r="I4355" s="225"/>
      <c r="K4355" s="9"/>
      <c r="L4355" s="9"/>
    </row>
    <row r="4356" s="105" customFormat="1" spans="9:12">
      <c r="I4356" s="225"/>
      <c r="K4356" s="9"/>
      <c r="L4356" s="9"/>
    </row>
    <row r="4357" s="105" customFormat="1" spans="9:12">
      <c r="I4357" s="225"/>
      <c r="K4357" s="9"/>
      <c r="L4357" s="9"/>
    </row>
    <row r="4358" s="105" customFormat="1" spans="9:12">
      <c r="I4358" s="225"/>
      <c r="K4358" s="9"/>
      <c r="L4358" s="9"/>
    </row>
    <row r="4359" s="105" customFormat="1" spans="9:12">
      <c r="I4359" s="225"/>
      <c r="K4359" s="9"/>
      <c r="L4359" s="9"/>
    </row>
    <row r="4360" s="105" customFormat="1" spans="9:12">
      <c r="I4360" s="225"/>
      <c r="K4360" s="9"/>
      <c r="L4360" s="9"/>
    </row>
    <row r="4361" s="105" customFormat="1" spans="9:12">
      <c r="I4361" s="225"/>
      <c r="K4361" s="9"/>
      <c r="L4361" s="9"/>
    </row>
    <row r="4362" s="105" customFormat="1" spans="9:12">
      <c r="I4362" s="225"/>
      <c r="K4362" s="9"/>
      <c r="L4362" s="9"/>
    </row>
    <row r="4363" s="105" customFormat="1" spans="9:12">
      <c r="I4363" s="225"/>
      <c r="K4363" s="9"/>
      <c r="L4363" s="9"/>
    </row>
    <row r="4364" s="105" customFormat="1" spans="9:12">
      <c r="I4364" s="225"/>
      <c r="K4364" s="9"/>
      <c r="L4364" s="9"/>
    </row>
    <row r="4365" s="105" customFormat="1" spans="9:12">
      <c r="I4365" s="225"/>
      <c r="K4365" s="9"/>
      <c r="L4365" s="9"/>
    </row>
    <row r="4366" s="105" customFormat="1" spans="9:12">
      <c r="I4366" s="225"/>
      <c r="K4366" s="9"/>
      <c r="L4366" s="9"/>
    </row>
    <row r="4367" s="105" customFormat="1" spans="9:12">
      <c r="I4367" s="225"/>
      <c r="K4367" s="9"/>
      <c r="L4367" s="9"/>
    </row>
    <row r="4368" s="105" customFormat="1" spans="9:12">
      <c r="I4368" s="225"/>
      <c r="K4368" s="9"/>
      <c r="L4368" s="9"/>
    </row>
    <row r="4369" s="105" customFormat="1" spans="9:12">
      <c r="I4369" s="225"/>
      <c r="K4369" s="9"/>
      <c r="L4369" s="9"/>
    </row>
    <row r="4370" s="105" customFormat="1" spans="9:12">
      <c r="I4370" s="225"/>
      <c r="K4370" s="9"/>
      <c r="L4370" s="9"/>
    </row>
    <row r="4371" s="105" customFormat="1" spans="9:12">
      <c r="I4371" s="225"/>
      <c r="K4371" s="9"/>
      <c r="L4371" s="9"/>
    </row>
    <row r="4372" s="105" customFormat="1" spans="9:12">
      <c r="I4372" s="225"/>
      <c r="K4372" s="9"/>
      <c r="L4372" s="9"/>
    </row>
    <row r="4373" s="105" customFormat="1" spans="9:12">
      <c r="I4373" s="225"/>
      <c r="K4373" s="9"/>
      <c r="L4373" s="9"/>
    </row>
    <row r="4374" s="105" customFormat="1" spans="9:12">
      <c r="I4374" s="225"/>
      <c r="K4374" s="9"/>
      <c r="L4374" s="9"/>
    </row>
    <row r="4375" s="105" customFormat="1" spans="9:12">
      <c r="I4375" s="225"/>
      <c r="K4375" s="9"/>
      <c r="L4375" s="9"/>
    </row>
    <row r="4376" s="105" customFormat="1" spans="9:12">
      <c r="I4376" s="225"/>
      <c r="K4376" s="9"/>
      <c r="L4376" s="9"/>
    </row>
    <row r="4377" s="105" customFormat="1" spans="9:12">
      <c r="I4377" s="225"/>
      <c r="K4377" s="9"/>
      <c r="L4377" s="9"/>
    </row>
    <row r="4378" s="105" customFormat="1" spans="9:12">
      <c r="I4378" s="225"/>
      <c r="K4378" s="9"/>
      <c r="L4378" s="9"/>
    </row>
    <row r="4379" s="105" customFormat="1" spans="9:12">
      <c r="I4379" s="225"/>
      <c r="K4379" s="9"/>
      <c r="L4379" s="9"/>
    </row>
    <row r="4380" s="105" customFormat="1" spans="9:12">
      <c r="I4380" s="225"/>
      <c r="K4380" s="9"/>
      <c r="L4380" s="9"/>
    </row>
    <row r="4381" s="105" customFormat="1" spans="9:12">
      <c r="I4381" s="225"/>
      <c r="K4381" s="9"/>
      <c r="L4381" s="9"/>
    </row>
    <row r="4382" s="105" customFormat="1" spans="9:12">
      <c r="I4382" s="225"/>
      <c r="K4382" s="9"/>
      <c r="L4382" s="9"/>
    </row>
    <row r="4383" s="105" customFormat="1" spans="9:12">
      <c r="I4383" s="225"/>
      <c r="K4383" s="9"/>
      <c r="L4383" s="9"/>
    </row>
    <row r="4384" s="105" customFormat="1" spans="9:12">
      <c r="I4384" s="225"/>
      <c r="K4384" s="9"/>
      <c r="L4384" s="9"/>
    </row>
    <row r="4385" s="105" customFormat="1" spans="9:12">
      <c r="I4385" s="225"/>
      <c r="K4385" s="9"/>
      <c r="L4385" s="9"/>
    </row>
    <row r="4386" s="105" customFormat="1" spans="9:12">
      <c r="I4386" s="225"/>
      <c r="K4386" s="9"/>
      <c r="L4386" s="9"/>
    </row>
    <row r="4387" s="105" customFormat="1" spans="9:12">
      <c r="I4387" s="225"/>
      <c r="K4387" s="9"/>
      <c r="L4387" s="9"/>
    </row>
    <row r="4388" s="105" customFormat="1" spans="9:12">
      <c r="I4388" s="225"/>
      <c r="K4388" s="9"/>
      <c r="L4388" s="9"/>
    </row>
    <row r="4389" s="105" customFormat="1" spans="9:12">
      <c r="I4389" s="225"/>
      <c r="K4389" s="9"/>
      <c r="L4389" s="9"/>
    </row>
    <row r="4390" s="105" customFormat="1" spans="9:12">
      <c r="I4390" s="225"/>
      <c r="K4390" s="9"/>
      <c r="L4390" s="9"/>
    </row>
    <row r="4391" s="105" customFormat="1" spans="9:12">
      <c r="I4391" s="225"/>
      <c r="K4391" s="9"/>
      <c r="L4391" s="9"/>
    </row>
    <row r="4392" s="105" customFormat="1" spans="9:12">
      <c r="I4392" s="225"/>
      <c r="K4392" s="9"/>
      <c r="L4392" s="9"/>
    </row>
    <row r="4393" s="105" customFormat="1" spans="9:12">
      <c r="I4393" s="225"/>
      <c r="K4393" s="9"/>
      <c r="L4393" s="9"/>
    </row>
    <row r="4394" s="105" customFormat="1" spans="9:12">
      <c r="I4394" s="225"/>
      <c r="K4394" s="9"/>
      <c r="L4394" s="9"/>
    </row>
    <row r="4395" s="105" customFormat="1" spans="9:12">
      <c r="I4395" s="225"/>
      <c r="K4395" s="9"/>
      <c r="L4395" s="9"/>
    </row>
    <row r="4396" s="105" customFormat="1" spans="9:12">
      <c r="I4396" s="225"/>
      <c r="K4396" s="9"/>
      <c r="L4396" s="9"/>
    </row>
    <row r="4397" s="105" customFormat="1" spans="9:12">
      <c r="I4397" s="225"/>
      <c r="K4397" s="9"/>
      <c r="L4397" s="9"/>
    </row>
    <row r="4398" s="105" customFormat="1" spans="9:12">
      <c r="I4398" s="225"/>
      <c r="K4398" s="9"/>
      <c r="L4398" s="9"/>
    </row>
    <row r="4399" s="105" customFormat="1" spans="9:12">
      <c r="I4399" s="225"/>
      <c r="K4399" s="9"/>
      <c r="L4399" s="9"/>
    </row>
    <row r="4400" s="105" customFormat="1" spans="9:12">
      <c r="I4400" s="225"/>
      <c r="K4400" s="9"/>
      <c r="L4400" s="9"/>
    </row>
    <row r="4401" s="105" customFormat="1" spans="9:12">
      <c r="I4401" s="225"/>
      <c r="K4401" s="9"/>
      <c r="L4401" s="9"/>
    </row>
    <row r="4402" s="105" customFormat="1" spans="9:12">
      <c r="I4402" s="225"/>
      <c r="K4402" s="9"/>
      <c r="L4402" s="9"/>
    </row>
    <row r="4403" s="105" customFormat="1" spans="9:12">
      <c r="I4403" s="225"/>
      <c r="K4403" s="9"/>
      <c r="L4403" s="9"/>
    </row>
    <row r="4404" s="105" customFormat="1" spans="9:12">
      <c r="I4404" s="225"/>
      <c r="K4404" s="9"/>
      <c r="L4404" s="9"/>
    </row>
    <row r="4405" s="105" customFormat="1" spans="9:12">
      <c r="I4405" s="225"/>
      <c r="K4405" s="9"/>
      <c r="L4405" s="9"/>
    </row>
    <row r="4406" s="105" customFormat="1" spans="9:12">
      <c r="I4406" s="225"/>
      <c r="K4406" s="9"/>
      <c r="L4406" s="9"/>
    </row>
    <row r="4407" s="105" customFormat="1" spans="9:12">
      <c r="I4407" s="225"/>
      <c r="K4407" s="9"/>
      <c r="L4407" s="9"/>
    </row>
    <row r="4408" s="105" customFormat="1" spans="9:12">
      <c r="I4408" s="225"/>
      <c r="K4408" s="9"/>
      <c r="L4408" s="9"/>
    </row>
    <row r="4409" s="105" customFormat="1" spans="9:12">
      <c r="I4409" s="225"/>
      <c r="K4409" s="9"/>
      <c r="L4409" s="9"/>
    </row>
    <row r="4410" s="105" customFormat="1" spans="9:12">
      <c r="I4410" s="225"/>
      <c r="K4410" s="9"/>
      <c r="L4410" s="9"/>
    </row>
    <row r="4411" s="105" customFormat="1" spans="9:12">
      <c r="I4411" s="225"/>
      <c r="K4411" s="9"/>
      <c r="L4411" s="9"/>
    </row>
    <row r="4412" s="105" customFormat="1" spans="9:12">
      <c r="I4412" s="225"/>
      <c r="K4412" s="9"/>
      <c r="L4412" s="9"/>
    </row>
    <row r="4413" s="105" customFormat="1" spans="9:12">
      <c r="I4413" s="225"/>
      <c r="K4413" s="9"/>
      <c r="L4413" s="9"/>
    </row>
    <row r="4414" s="105" customFormat="1" spans="9:12">
      <c r="I4414" s="225"/>
      <c r="K4414" s="9"/>
      <c r="L4414" s="9"/>
    </row>
    <row r="4415" s="105" customFormat="1" spans="9:12">
      <c r="I4415" s="225"/>
      <c r="K4415" s="9"/>
      <c r="L4415" s="9"/>
    </row>
    <row r="4416" s="105" customFormat="1" spans="9:12">
      <c r="I4416" s="225"/>
      <c r="K4416" s="9"/>
      <c r="L4416" s="9"/>
    </row>
    <row r="4417" s="105" customFormat="1" spans="9:12">
      <c r="I4417" s="225"/>
      <c r="K4417" s="9"/>
      <c r="L4417" s="9"/>
    </row>
    <row r="4418" s="105" customFormat="1" spans="9:12">
      <c r="I4418" s="225"/>
      <c r="K4418" s="9"/>
      <c r="L4418" s="9"/>
    </row>
    <row r="4419" s="105" customFormat="1" spans="9:12">
      <c r="I4419" s="225"/>
      <c r="K4419" s="9"/>
      <c r="L4419" s="9"/>
    </row>
    <row r="4420" s="105" customFormat="1" spans="9:12">
      <c r="I4420" s="225"/>
      <c r="K4420" s="9"/>
      <c r="L4420" s="9"/>
    </row>
    <row r="4421" s="105" customFormat="1" spans="9:12">
      <c r="I4421" s="225"/>
      <c r="K4421" s="9"/>
      <c r="L4421" s="9"/>
    </row>
    <row r="4422" s="105" customFormat="1" spans="9:12">
      <c r="I4422" s="225"/>
      <c r="K4422" s="9"/>
      <c r="L4422" s="9"/>
    </row>
    <row r="4423" s="105" customFormat="1" spans="9:12">
      <c r="I4423" s="225"/>
      <c r="K4423" s="9"/>
      <c r="L4423" s="9"/>
    </row>
    <row r="4424" s="105" customFormat="1" spans="9:12">
      <c r="I4424" s="225"/>
      <c r="K4424" s="9"/>
      <c r="L4424" s="9"/>
    </row>
    <row r="4425" s="105" customFormat="1" spans="9:12">
      <c r="I4425" s="225"/>
      <c r="K4425" s="9"/>
      <c r="L4425" s="9"/>
    </row>
    <row r="4426" s="105" customFormat="1" spans="9:12">
      <c r="I4426" s="225"/>
      <c r="K4426" s="9"/>
      <c r="L4426" s="9"/>
    </row>
    <row r="4427" s="105" customFormat="1" spans="9:12">
      <c r="I4427" s="225"/>
      <c r="K4427" s="9"/>
      <c r="L4427" s="9"/>
    </row>
    <row r="4428" s="105" customFormat="1" spans="9:12">
      <c r="I4428" s="225"/>
      <c r="K4428" s="9"/>
      <c r="L4428" s="9"/>
    </row>
    <row r="4429" s="105" customFormat="1" spans="9:12">
      <c r="I4429" s="225"/>
      <c r="K4429" s="9"/>
      <c r="L4429" s="9"/>
    </row>
    <row r="4430" s="105" customFormat="1" spans="9:12">
      <c r="I4430" s="225"/>
      <c r="K4430" s="9"/>
      <c r="L4430" s="9"/>
    </row>
    <row r="4431" s="105" customFormat="1" spans="9:12">
      <c r="I4431" s="225"/>
      <c r="K4431" s="9"/>
      <c r="L4431" s="9"/>
    </row>
    <row r="4432" s="105" customFormat="1" spans="9:12">
      <c r="I4432" s="225"/>
      <c r="K4432" s="9"/>
      <c r="L4432" s="9"/>
    </row>
    <row r="4433" s="105" customFormat="1" spans="9:12">
      <c r="I4433" s="225"/>
      <c r="K4433" s="9"/>
      <c r="L4433" s="9"/>
    </row>
    <row r="4434" s="105" customFormat="1" spans="9:12">
      <c r="I4434" s="225"/>
      <c r="K4434" s="9"/>
      <c r="L4434" s="9"/>
    </row>
    <row r="4435" s="105" customFormat="1" spans="9:12">
      <c r="I4435" s="225"/>
      <c r="K4435" s="9"/>
      <c r="L4435" s="9"/>
    </row>
    <row r="4436" s="105" customFormat="1" spans="9:12">
      <c r="I4436" s="225"/>
      <c r="K4436" s="9"/>
      <c r="L4436" s="9"/>
    </row>
    <row r="4437" s="105" customFormat="1" spans="9:12">
      <c r="I4437" s="225"/>
      <c r="K4437" s="9"/>
      <c r="L4437" s="9"/>
    </row>
    <row r="4438" s="105" customFormat="1" spans="9:12">
      <c r="I4438" s="225"/>
      <c r="K4438" s="9"/>
      <c r="L4438" s="9"/>
    </row>
    <row r="4439" s="105" customFormat="1" spans="9:12">
      <c r="I4439" s="225"/>
      <c r="K4439" s="9"/>
      <c r="L4439" s="9"/>
    </row>
    <row r="4440" s="105" customFormat="1" spans="9:12">
      <c r="I4440" s="225"/>
      <c r="K4440" s="9"/>
      <c r="L4440" s="9"/>
    </row>
    <row r="4441" s="105" customFormat="1" spans="9:12">
      <c r="I4441" s="225"/>
      <c r="K4441" s="9"/>
      <c r="L4441" s="9"/>
    </row>
    <row r="4442" s="105" customFormat="1" spans="9:12">
      <c r="I4442" s="225"/>
      <c r="K4442" s="9"/>
      <c r="L4442" s="9"/>
    </row>
    <row r="4443" s="105" customFormat="1" spans="9:12">
      <c r="I4443" s="225"/>
      <c r="K4443" s="9"/>
      <c r="L4443" s="9"/>
    </row>
    <row r="4444" s="105" customFormat="1" spans="9:12">
      <c r="I4444" s="225"/>
      <c r="K4444" s="9"/>
      <c r="L4444" s="9"/>
    </row>
    <row r="4445" s="105" customFormat="1" spans="9:12">
      <c r="I4445" s="225"/>
      <c r="K4445" s="9"/>
      <c r="L4445" s="9"/>
    </row>
    <row r="4446" s="105" customFormat="1" spans="9:12">
      <c r="I4446" s="225"/>
      <c r="K4446" s="9"/>
      <c r="L4446" s="9"/>
    </row>
    <row r="4447" s="105" customFormat="1" spans="9:12">
      <c r="I4447" s="225"/>
      <c r="K4447" s="9"/>
      <c r="L4447" s="9"/>
    </row>
    <row r="4448" s="105" customFormat="1" spans="9:12">
      <c r="I4448" s="225"/>
      <c r="K4448" s="9"/>
      <c r="L4448" s="9"/>
    </row>
    <row r="4449" s="105" customFormat="1" spans="9:12">
      <c r="I4449" s="225"/>
      <c r="K4449" s="9"/>
      <c r="L4449" s="9"/>
    </row>
    <row r="4450" s="105" customFormat="1" spans="9:12">
      <c r="I4450" s="225"/>
      <c r="K4450" s="9"/>
      <c r="L4450" s="9"/>
    </row>
    <row r="4451" s="105" customFormat="1" spans="9:12">
      <c r="I4451" s="225"/>
      <c r="K4451" s="9"/>
      <c r="L4451" s="9"/>
    </row>
    <row r="4452" s="105" customFormat="1" spans="9:12">
      <c r="I4452" s="225"/>
      <c r="K4452" s="9"/>
      <c r="L4452" s="9"/>
    </row>
    <row r="4453" s="105" customFormat="1" spans="9:12">
      <c r="I4453" s="225"/>
      <c r="K4453" s="9"/>
      <c r="L4453" s="9"/>
    </row>
    <row r="4454" s="105" customFormat="1" spans="9:12">
      <c r="I4454" s="225"/>
      <c r="K4454" s="9"/>
      <c r="L4454" s="9"/>
    </row>
    <row r="4455" s="105" customFormat="1" spans="9:12">
      <c r="I4455" s="225"/>
      <c r="K4455" s="9"/>
      <c r="L4455" s="9"/>
    </row>
    <row r="4456" s="105" customFormat="1" spans="9:12">
      <c r="I4456" s="225"/>
      <c r="K4456" s="9"/>
      <c r="L4456" s="9"/>
    </row>
    <row r="4457" s="105" customFormat="1" spans="9:12">
      <c r="I4457" s="225"/>
      <c r="K4457" s="9"/>
      <c r="L4457" s="9"/>
    </row>
    <row r="4458" s="105" customFormat="1" spans="9:12">
      <c r="I4458" s="225"/>
      <c r="K4458" s="9"/>
      <c r="L4458" s="9"/>
    </row>
    <row r="4459" s="105" customFormat="1" spans="9:12">
      <c r="I4459" s="225"/>
      <c r="K4459" s="9"/>
      <c r="L4459" s="9"/>
    </row>
    <row r="4460" s="105" customFormat="1" spans="9:12">
      <c r="I4460" s="225"/>
      <c r="K4460" s="9"/>
      <c r="L4460" s="9"/>
    </row>
    <row r="4461" s="105" customFormat="1" spans="9:12">
      <c r="I4461" s="225"/>
      <c r="K4461" s="9"/>
      <c r="L4461" s="9"/>
    </row>
    <row r="4462" s="105" customFormat="1" spans="9:12">
      <c r="I4462" s="225"/>
      <c r="K4462" s="9"/>
      <c r="L4462" s="9"/>
    </row>
    <row r="4463" s="105" customFormat="1" spans="9:12">
      <c r="I4463" s="225"/>
      <c r="K4463" s="9"/>
      <c r="L4463" s="9"/>
    </row>
    <row r="4464" s="105" customFormat="1" spans="9:12">
      <c r="I4464" s="225"/>
      <c r="K4464" s="9"/>
      <c r="L4464" s="9"/>
    </row>
    <row r="4465" s="105" customFormat="1" spans="9:12">
      <c r="I4465" s="225"/>
      <c r="K4465" s="9"/>
      <c r="L4465" s="9"/>
    </row>
    <row r="4466" s="105" customFormat="1" spans="9:12">
      <c r="I4466" s="225"/>
      <c r="K4466" s="9"/>
      <c r="L4466" s="9"/>
    </row>
    <row r="4467" s="105" customFormat="1" spans="9:12">
      <c r="I4467" s="225"/>
      <c r="K4467" s="9"/>
      <c r="L4467" s="9"/>
    </row>
    <row r="4468" s="105" customFormat="1" spans="9:12">
      <c r="I4468" s="225"/>
      <c r="K4468" s="9"/>
      <c r="L4468" s="9"/>
    </row>
    <row r="4469" s="105" customFormat="1" spans="9:12">
      <c r="I4469" s="225"/>
      <c r="K4469" s="9"/>
      <c r="L4469" s="9"/>
    </row>
    <row r="4470" s="105" customFormat="1" spans="9:12">
      <c r="I4470" s="225"/>
      <c r="K4470" s="9"/>
      <c r="L4470" s="9"/>
    </row>
    <row r="4471" s="105" customFormat="1" spans="9:12">
      <c r="I4471" s="225"/>
      <c r="K4471" s="9"/>
      <c r="L4471" s="9"/>
    </row>
    <row r="4472" s="105" customFormat="1" spans="9:12">
      <c r="I4472" s="225"/>
      <c r="K4472" s="9"/>
      <c r="L4472" s="9"/>
    </row>
    <row r="4473" s="105" customFormat="1" spans="9:12">
      <c r="I4473" s="225"/>
      <c r="K4473" s="9"/>
      <c r="L4473" s="9"/>
    </row>
    <row r="4474" s="105" customFormat="1" spans="9:12">
      <c r="I4474" s="225"/>
      <c r="K4474" s="9"/>
      <c r="L4474" s="9"/>
    </row>
    <row r="4475" s="105" customFormat="1" spans="9:12">
      <c r="I4475" s="225"/>
      <c r="K4475" s="9"/>
      <c r="L4475" s="9"/>
    </row>
    <row r="4476" s="105" customFormat="1" spans="9:12">
      <c r="I4476" s="225"/>
      <c r="K4476" s="9"/>
      <c r="L4476" s="9"/>
    </row>
    <row r="4477" s="105" customFormat="1" spans="9:12">
      <c r="I4477" s="225"/>
      <c r="K4477" s="9"/>
      <c r="L4477" s="9"/>
    </row>
    <row r="4478" s="105" customFormat="1" spans="9:12">
      <c r="I4478" s="225"/>
      <c r="K4478" s="9"/>
      <c r="L4478" s="9"/>
    </row>
    <row r="4479" s="105" customFormat="1" spans="9:12">
      <c r="I4479" s="225"/>
      <c r="K4479" s="9"/>
      <c r="L4479" s="9"/>
    </row>
    <row r="4480" s="105" customFormat="1" spans="9:12">
      <c r="I4480" s="225"/>
      <c r="K4480" s="9"/>
      <c r="L4480" s="9"/>
    </row>
    <row r="4481" s="105" customFormat="1" spans="9:12">
      <c r="I4481" s="225"/>
      <c r="K4481" s="9"/>
      <c r="L4481" s="9"/>
    </row>
    <row r="4482" s="105" customFormat="1" spans="9:12">
      <c r="I4482" s="225"/>
      <c r="K4482" s="9"/>
      <c r="L4482" s="9"/>
    </row>
    <row r="4483" s="105" customFormat="1" spans="9:12">
      <c r="I4483" s="225"/>
      <c r="K4483" s="9"/>
      <c r="L4483" s="9"/>
    </row>
    <row r="4484" s="105" customFormat="1" spans="9:12">
      <c r="I4484" s="225"/>
      <c r="K4484" s="9"/>
      <c r="L4484" s="9"/>
    </row>
    <row r="4485" s="105" customFormat="1" spans="9:12">
      <c r="I4485" s="225"/>
      <c r="K4485" s="9"/>
      <c r="L4485" s="9"/>
    </row>
    <row r="4486" s="105" customFormat="1" spans="9:12">
      <c r="I4486" s="225"/>
      <c r="K4486" s="9"/>
      <c r="L4486" s="9"/>
    </row>
    <row r="4487" s="105" customFormat="1" spans="9:12">
      <c r="I4487" s="225"/>
      <c r="K4487" s="9"/>
      <c r="L4487" s="9"/>
    </row>
    <row r="4488" s="105" customFormat="1" spans="9:12">
      <c r="I4488" s="225"/>
      <c r="K4488" s="9"/>
      <c r="L4488" s="9"/>
    </row>
    <row r="4489" s="105" customFormat="1" spans="9:12">
      <c r="I4489" s="225"/>
      <c r="K4489" s="9"/>
      <c r="L4489" s="9"/>
    </row>
    <row r="4490" s="105" customFormat="1" spans="9:12">
      <c r="I4490" s="225"/>
      <c r="K4490" s="9"/>
      <c r="L4490" s="9"/>
    </row>
    <row r="4491" s="105" customFormat="1" spans="9:12">
      <c r="I4491" s="225"/>
      <c r="K4491" s="9"/>
      <c r="L4491" s="9"/>
    </row>
    <row r="4492" s="105" customFormat="1" spans="9:12">
      <c r="I4492" s="225"/>
      <c r="K4492" s="9"/>
      <c r="L4492" s="9"/>
    </row>
    <row r="4493" s="105" customFormat="1" spans="9:12">
      <c r="I4493" s="225"/>
      <c r="K4493" s="9"/>
      <c r="L4493" s="9"/>
    </row>
    <row r="4494" s="105" customFormat="1" spans="9:12">
      <c r="I4494" s="225"/>
      <c r="K4494" s="9"/>
      <c r="L4494" s="9"/>
    </row>
    <row r="4495" s="105" customFormat="1" spans="9:12">
      <c r="I4495" s="225"/>
      <c r="K4495" s="9"/>
      <c r="L4495" s="9"/>
    </row>
    <row r="4496" s="105" customFormat="1" spans="9:12">
      <c r="I4496" s="225"/>
      <c r="K4496" s="9"/>
      <c r="L4496" s="9"/>
    </row>
    <row r="4497" s="105" customFormat="1" spans="9:12">
      <c r="I4497" s="225"/>
      <c r="K4497" s="9"/>
      <c r="L4497" s="9"/>
    </row>
    <row r="4498" s="105" customFormat="1" spans="9:12">
      <c r="I4498" s="225"/>
      <c r="K4498" s="9"/>
      <c r="L4498" s="9"/>
    </row>
    <row r="4499" s="105" customFormat="1" spans="9:12">
      <c r="I4499" s="225"/>
      <c r="K4499" s="9"/>
      <c r="L4499" s="9"/>
    </row>
    <row r="4500" s="105" customFormat="1" spans="9:12">
      <c r="I4500" s="225"/>
      <c r="K4500" s="9"/>
      <c r="L4500" s="9"/>
    </row>
    <row r="4501" s="105" customFormat="1" spans="9:12">
      <c r="I4501" s="225"/>
      <c r="K4501" s="9"/>
      <c r="L4501" s="9"/>
    </row>
    <row r="4502" s="105" customFormat="1" spans="9:12">
      <c r="I4502" s="225"/>
      <c r="K4502" s="9"/>
      <c r="L4502" s="9"/>
    </row>
    <row r="4503" s="105" customFormat="1" spans="9:12">
      <c r="I4503" s="225"/>
      <c r="K4503" s="9"/>
      <c r="L4503" s="9"/>
    </row>
    <row r="4504" s="105" customFormat="1" spans="9:12">
      <c r="I4504" s="225"/>
      <c r="K4504" s="9"/>
      <c r="L4504" s="9"/>
    </row>
    <row r="4505" s="105" customFormat="1" spans="9:12">
      <c r="I4505" s="225"/>
      <c r="K4505" s="9"/>
      <c r="L4505" s="9"/>
    </row>
    <row r="4506" s="105" customFormat="1" spans="9:12">
      <c r="I4506" s="225"/>
      <c r="K4506" s="9"/>
      <c r="L4506" s="9"/>
    </row>
    <row r="4507" s="105" customFormat="1" spans="9:12">
      <c r="I4507" s="225"/>
      <c r="K4507" s="9"/>
      <c r="L4507" s="9"/>
    </row>
    <row r="4508" s="105" customFormat="1" spans="9:12">
      <c r="I4508" s="225"/>
      <c r="K4508" s="9"/>
      <c r="L4508" s="9"/>
    </row>
    <row r="4509" s="105" customFormat="1" spans="9:12">
      <c r="I4509" s="225"/>
      <c r="K4509" s="9"/>
      <c r="L4509" s="9"/>
    </row>
    <row r="4510" s="105" customFormat="1" spans="9:12">
      <c r="I4510" s="225"/>
      <c r="K4510" s="9"/>
      <c r="L4510" s="9"/>
    </row>
    <row r="4511" s="105" customFormat="1" spans="9:12">
      <c r="I4511" s="225"/>
      <c r="K4511" s="9"/>
      <c r="L4511" s="9"/>
    </row>
    <row r="4512" s="105" customFormat="1" spans="9:12">
      <c r="I4512" s="225"/>
      <c r="K4512" s="9"/>
      <c r="L4512" s="9"/>
    </row>
    <row r="4513" s="105" customFormat="1" spans="9:12">
      <c r="I4513" s="225"/>
      <c r="K4513" s="9"/>
      <c r="L4513" s="9"/>
    </row>
    <row r="4514" s="105" customFormat="1" spans="9:12">
      <c r="I4514" s="225"/>
      <c r="K4514" s="9"/>
      <c r="L4514" s="9"/>
    </row>
    <row r="4515" s="105" customFormat="1" spans="9:12">
      <c r="I4515" s="225"/>
      <c r="K4515" s="9"/>
      <c r="L4515" s="9"/>
    </row>
    <row r="4516" s="105" customFormat="1" spans="9:12">
      <c r="I4516" s="225"/>
      <c r="K4516" s="9"/>
      <c r="L4516" s="9"/>
    </row>
    <row r="4517" s="105" customFormat="1" spans="9:12">
      <c r="I4517" s="225"/>
      <c r="K4517" s="9"/>
      <c r="L4517" s="9"/>
    </row>
    <row r="4518" s="105" customFormat="1" spans="9:12">
      <c r="I4518" s="225"/>
      <c r="K4518" s="9"/>
      <c r="L4518" s="9"/>
    </row>
    <row r="4519" s="105" customFormat="1" spans="9:12">
      <c r="I4519" s="225"/>
      <c r="K4519" s="9"/>
      <c r="L4519" s="9"/>
    </row>
    <row r="4520" s="105" customFormat="1" spans="9:12">
      <c r="I4520" s="225"/>
      <c r="K4520" s="9"/>
      <c r="L4520" s="9"/>
    </row>
    <row r="4521" s="105" customFormat="1" spans="9:12">
      <c r="I4521" s="225"/>
      <c r="K4521" s="9"/>
      <c r="L4521" s="9"/>
    </row>
    <row r="4522" s="105" customFormat="1" spans="9:12">
      <c r="I4522" s="225"/>
      <c r="K4522" s="9"/>
      <c r="L4522" s="9"/>
    </row>
    <row r="4523" s="105" customFormat="1" spans="9:12">
      <c r="I4523" s="225"/>
      <c r="K4523" s="9"/>
      <c r="L4523" s="9"/>
    </row>
    <row r="4524" s="105" customFormat="1" spans="9:12">
      <c r="I4524" s="225"/>
      <c r="K4524" s="9"/>
      <c r="L4524" s="9"/>
    </row>
    <row r="4525" s="105" customFormat="1" spans="9:12">
      <c r="I4525" s="225"/>
      <c r="K4525" s="9"/>
      <c r="L4525" s="9"/>
    </row>
    <row r="4526" s="105" customFormat="1" spans="9:12">
      <c r="I4526" s="225"/>
      <c r="K4526" s="9"/>
      <c r="L4526" s="9"/>
    </row>
    <row r="4527" s="105" customFormat="1" spans="9:12">
      <c r="I4527" s="225"/>
      <c r="K4527" s="9"/>
      <c r="L4527" s="9"/>
    </row>
    <row r="4528" s="105" customFormat="1" spans="9:12">
      <c r="I4528" s="225"/>
      <c r="K4528" s="9"/>
      <c r="L4528" s="9"/>
    </row>
    <row r="4529" s="105" customFormat="1" spans="9:12">
      <c r="I4529" s="225"/>
      <c r="K4529" s="9"/>
      <c r="L4529" s="9"/>
    </row>
    <row r="4530" s="105" customFormat="1" spans="9:12">
      <c r="I4530" s="225"/>
      <c r="K4530" s="9"/>
      <c r="L4530" s="9"/>
    </row>
    <row r="4531" s="105" customFormat="1" spans="9:12">
      <c r="I4531" s="225"/>
      <c r="K4531" s="9"/>
      <c r="L4531" s="9"/>
    </row>
    <row r="4532" s="105" customFormat="1" spans="9:12">
      <c r="I4532" s="225"/>
      <c r="K4532" s="9"/>
      <c r="L4532" s="9"/>
    </row>
    <row r="4533" s="105" customFormat="1" spans="9:12">
      <c r="I4533" s="225"/>
      <c r="K4533" s="9"/>
      <c r="L4533" s="9"/>
    </row>
    <row r="4534" s="105" customFormat="1" spans="9:12">
      <c r="I4534" s="225"/>
      <c r="K4534" s="9"/>
      <c r="L4534" s="9"/>
    </row>
    <row r="4535" s="105" customFormat="1" spans="9:12">
      <c r="I4535" s="225"/>
      <c r="K4535" s="9"/>
      <c r="L4535" s="9"/>
    </row>
    <row r="4536" s="105" customFormat="1" spans="9:12">
      <c r="I4536" s="225"/>
      <c r="K4536" s="9"/>
      <c r="L4536" s="9"/>
    </row>
    <row r="4537" s="105" customFormat="1" spans="9:12">
      <c r="I4537" s="225"/>
      <c r="K4537" s="9"/>
      <c r="L4537" s="9"/>
    </row>
    <row r="4538" s="105" customFormat="1" spans="9:12">
      <c r="I4538" s="225"/>
      <c r="K4538" s="9"/>
      <c r="L4538" s="9"/>
    </row>
    <row r="4539" s="105" customFormat="1" spans="9:12">
      <c r="I4539" s="225"/>
      <c r="K4539" s="9"/>
      <c r="L4539" s="9"/>
    </row>
    <row r="4540" s="105" customFormat="1" spans="9:12">
      <c r="I4540" s="225"/>
      <c r="K4540" s="9"/>
      <c r="L4540" s="9"/>
    </row>
    <row r="4541" s="105" customFormat="1" spans="9:12">
      <c r="I4541" s="225"/>
      <c r="K4541" s="9"/>
      <c r="L4541" s="9"/>
    </row>
    <row r="4542" s="105" customFormat="1" spans="9:12">
      <c r="I4542" s="225"/>
      <c r="K4542" s="9"/>
      <c r="L4542" s="9"/>
    </row>
    <row r="4543" s="105" customFormat="1" spans="9:12">
      <c r="I4543" s="225"/>
      <c r="K4543" s="9"/>
      <c r="L4543" s="9"/>
    </row>
    <row r="4544" s="105" customFormat="1" spans="9:12">
      <c r="I4544" s="225"/>
      <c r="K4544" s="9"/>
      <c r="L4544" s="9"/>
    </row>
    <row r="4545" s="105" customFormat="1" spans="9:12">
      <c r="I4545" s="225"/>
      <c r="K4545" s="9"/>
      <c r="L4545" s="9"/>
    </row>
    <row r="4546" s="105" customFormat="1" spans="9:12">
      <c r="I4546" s="225"/>
      <c r="K4546" s="9"/>
      <c r="L4546" s="9"/>
    </row>
    <row r="4547" s="105" customFormat="1" spans="9:12">
      <c r="I4547" s="225"/>
      <c r="K4547" s="9"/>
      <c r="L4547" s="9"/>
    </row>
    <row r="4548" s="105" customFormat="1" spans="9:12">
      <c r="I4548" s="225"/>
      <c r="K4548" s="9"/>
      <c r="L4548" s="9"/>
    </row>
    <row r="4549" s="105" customFormat="1" spans="9:12">
      <c r="I4549" s="225"/>
      <c r="K4549" s="9"/>
      <c r="L4549" s="9"/>
    </row>
    <row r="4550" s="105" customFormat="1" spans="9:12">
      <c r="I4550" s="225"/>
      <c r="K4550" s="9"/>
      <c r="L4550" s="9"/>
    </row>
    <row r="4551" s="105" customFormat="1" spans="9:12">
      <c r="I4551" s="225"/>
      <c r="K4551" s="9"/>
      <c r="L4551" s="9"/>
    </row>
    <row r="4552" s="105" customFormat="1" spans="9:12">
      <c r="I4552" s="225"/>
      <c r="K4552" s="9"/>
      <c r="L4552" s="9"/>
    </row>
    <row r="4553" s="105" customFormat="1" spans="9:12">
      <c r="I4553" s="225"/>
      <c r="K4553" s="9"/>
      <c r="L4553" s="9"/>
    </row>
    <row r="4554" s="105" customFormat="1" spans="9:12">
      <c r="I4554" s="225"/>
      <c r="K4554" s="9"/>
      <c r="L4554" s="9"/>
    </row>
    <row r="4555" s="105" customFormat="1" spans="9:12">
      <c r="I4555" s="225"/>
      <c r="K4555" s="9"/>
      <c r="L4555" s="9"/>
    </row>
    <row r="4556" s="105" customFormat="1" spans="9:12">
      <c r="I4556" s="225"/>
      <c r="K4556" s="9"/>
      <c r="L4556" s="9"/>
    </row>
    <row r="4557" s="105" customFormat="1" spans="9:12">
      <c r="I4557" s="225"/>
      <c r="K4557" s="9"/>
      <c r="L4557" s="9"/>
    </row>
    <row r="4558" s="105" customFormat="1" spans="9:12">
      <c r="I4558" s="225"/>
      <c r="K4558" s="9"/>
      <c r="L4558" s="9"/>
    </row>
    <row r="4559" s="105" customFormat="1" spans="9:12">
      <c r="I4559" s="225"/>
      <c r="K4559" s="9"/>
      <c r="L4559" s="9"/>
    </row>
    <row r="4560" s="105" customFormat="1" spans="9:12">
      <c r="I4560" s="225"/>
      <c r="K4560" s="9"/>
      <c r="L4560" s="9"/>
    </row>
    <row r="4561" s="105" customFormat="1" spans="9:12">
      <c r="I4561" s="225"/>
      <c r="K4561" s="9"/>
      <c r="L4561" s="9"/>
    </row>
    <row r="4562" s="105" customFormat="1" spans="9:12">
      <c r="I4562" s="225"/>
      <c r="K4562" s="9"/>
      <c r="L4562" s="9"/>
    </row>
    <row r="4563" s="105" customFormat="1" spans="9:12">
      <c r="I4563" s="225"/>
      <c r="K4563" s="9"/>
      <c r="L4563" s="9"/>
    </row>
    <row r="4564" s="105" customFormat="1" spans="9:12">
      <c r="I4564" s="225"/>
      <c r="K4564" s="9"/>
      <c r="L4564" s="9"/>
    </row>
    <row r="4565" s="105" customFormat="1" spans="9:12">
      <c r="I4565" s="225"/>
      <c r="K4565" s="9"/>
      <c r="L4565" s="9"/>
    </row>
    <row r="4566" s="105" customFormat="1" spans="9:12">
      <c r="I4566" s="225"/>
      <c r="K4566" s="9"/>
      <c r="L4566" s="9"/>
    </row>
    <row r="4567" s="105" customFormat="1" spans="9:12">
      <c r="I4567" s="225"/>
      <c r="K4567" s="9"/>
      <c r="L4567" s="9"/>
    </row>
    <row r="4568" s="105" customFormat="1" spans="9:12">
      <c r="I4568" s="225"/>
      <c r="K4568" s="9"/>
      <c r="L4568" s="9"/>
    </row>
    <row r="4569" s="105" customFormat="1" spans="9:12">
      <c r="I4569" s="225"/>
      <c r="K4569" s="9"/>
      <c r="L4569" s="9"/>
    </row>
    <row r="4570" s="105" customFormat="1" spans="9:12">
      <c r="I4570" s="225"/>
      <c r="K4570" s="9"/>
      <c r="L4570" s="9"/>
    </row>
    <row r="4571" s="105" customFormat="1" spans="9:12">
      <c r="I4571" s="225"/>
      <c r="K4571" s="9"/>
      <c r="L4571" s="9"/>
    </row>
    <row r="4572" s="105" customFormat="1" spans="9:12">
      <c r="I4572" s="225"/>
      <c r="K4572" s="9"/>
      <c r="L4572" s="9"/>
    </row>
    <row r="4573" s="105" customFormat="1" spans="9:12">
      <c r="I4573" s="225"/>
      <c r="K4573" s="9"/>
      <c r="L4573" s="9"/>
    </row>
    <row r="4574" s="105" customFormat="1" spans="9:12">
      <c r="I4574" s="225"/>
      <c r="K4574" s="9"/>
      <c r="L4574" s="9"/>
    </row>
    <row r="4575" s="105" customFormat="1" spans="9:12">
      <c r="I4575" s="225"/>
      <c r="K4575" s="9"/>
      <c r="L4575" s="9"/>
    </row>
    <row r="4576" s="105" customFormat="1" spans="9:12">
      <c r="I4576" s="225"/>
      <c r="K4576" s="9"/>
      <c r="L4576" s="9"/>
    </row>
    <row r="4577" s="105" customFormat="1" spans="9:12">
      <c r="I4577" s="225"/>
      <c r="K4577" s="9"/>
      <c r="L4577" s="9"/>
    </row>
    <row r="4578" s="105" customFormat="1" spans="9:12">
      <c r="I4578" s="225"/>
      <c r="K4578" s="9"/>
      <c r="L4578" s="9"/>
    </row>
    <row r="4579" s="105" customFormat="1" spans="9:12">
      <c r="I4579" s="225"/>
      <c r="K4579" s="9"/>
      <c r="L4579" s="9"/>
    </row>
    <row r="4580" s="105" customFormat="1" spans="9:12">
      <c r="I4580" s="225"/>
      <c r="K4580" s="9"/>
      <c r="L4580" s="9"/>
    </row>
    <row r="4581" s="105" customFormat="1" spans="9:12">
      <c r="I4581" s="225"/>
      <c r="K4581" s="9"/>
      <c r="L4581" s="9"/>
    </row>
    <row r="4582" s="105" customFormat="1" spans="9:12">
      <c r="I4582" s="225"/>
      <c r="K4582" s="9"/>
      <c r="L4582" s="9"/>
    </row>
    <row r="4583" s="105" customFormat="1" spans="9:12">
      <c r="I4583" s="225"/>
      <c r="K4583" s="9"/>
      <c r="L4583" s="9"/>
    </row>
    <row r="4584" s="105" customFormat="1" spans="9:12">
      <c r="I4584" s="225"/>
      <c r="K4584" s="9"/>
      <c r="L4584" s="9"/>
    </row>
    <row r="4585" s="105" customFormat="1" spans="9:12">
      <c r="I4585" s="225"/>
      <c r="K4585" s="9"/>
      <c r="L4585" s="9"/>
    </row>
    <row r="4586" s="105" customFormat="1" spans="9:12">
      <c r="I4586" s="225"/>
      <c r="K4586" s="9"/>
      <c r="L4586" s="9"/>
    </row>
    <row r="4587" s="105" customFormat="1" spans="9:12">
      <c r="I4587" s="225"/>
      <c r="K4587" s="9"/>
      <c r="L4587" s="9"/>
    </row>
    <row r="4588" s="105" customFormat="1" spans="9:12">
      <c r="I4588" s="225"/>
      <c r="K4588" s="9"/>
      <c r="L4588" s="9"/>
    </row>
    <row r="4589" s="105" customFormat="1" spans="9:12">
      <c r="I4589" s="225"/>
      <c r="K4589" s="9"/>
      <c r="L4589" s="9"/>
    </row>
    <row r="4590" s="105" customFormat="1" spans="9:12">
      <c r="I4590" s="225"/>
      <c r="K4590" s="9"/>
      <c r="L4590" s="9"/>
    </row>
    <row r="4591" s="105" customFormat="1" spans="9:12">
      <c r="I4591" s="225"/>
      <c r="K4591" s="9"/>
      <c r="L4591" s="9"/>
    </row>
    <row r="4592" s="105" customFormat="1" spans="9:12">
      <c r="I4592" s="225"/>
      <c r="K4592" s="9"/>
      <c r="L4592" s="9"/>
    </row>
    <row r="4593" s="105" customFormat="1" spans="9:12">
      <c r="I4593" s="225"/>
      <c r="K4593" s="9"/>
      <c r="L4593" s="9"/>
    </row>
    <row r="4594" s="105" customFormat="1" spans="9:12">
      <c r="I4594" s="225"/>
      <c r="K4594" s="9"/>
      <c r="L4594" s="9"/>
    </row>
    <row r="4595" s="105" customFormat="1" spans="9:12">
      <c r="I4595" s="225"/>
      <c r="K4595" s="9"/>
      <c r="L4595" s="9"/>
    </row>
    <row r="4596" s="105" customFormat="1" spans="9:12">
      <c r="I4596" s="225"/>
      <c r="K4596" s="9"/>
      <c r="L4596" s="9"/>
    </row>
    <row r="4597" s="105" customFormat="1" spans="9:12">
      <c r="I4597" s="225"/>
      <c r="K4597" s="9"/>
      <c r="L4597" s="9"/>
    </row>
    <row r="4598" s="105" customFormat="1" spans="9:12">
      <c r="I4598" s="225"/>
      <c r="K4598" s="9"/>
      <c r="L4598" s="9"/>
    </row>
    <row r="4599" s="105" customFormat="1" spans="9:12">
      <c r="I4599" s="225"/>
      <c r="K4599" s="9"/>
      <c r="L4599" s="9"/>
    </row>
    <row r="4600" s="105" customFormat="1" spans="9:12">
      <c r="I4600" s="225"/>
      <c r="K4600" s="9"/>
      <c r="L4600" s="9"/>
    </row>
    <row r="4601" s="105" customFormat="1" spans="9:12">
      <c r="I4601" s="225"/>
      <c r="K4601" s="9"/>
      <c r="L4601" s="9"/>
    </row>
    <row r="4602" s="105" customFormat="1" spans="9:12">
      <c r="I4602" s="225"/>
      <c r="K4602" s="9"/>
      <c r="L4602" s="9"/>
    </row>
    <row r="4603" s="105" customFormat="1" spans="9:12">
      <c r="I4603" s="225"/>
      <c r="K4603" s="9"/>
      <c r="L4603" s="9"/>
    </row>
    <row r="4604" s="105" customFormat="1" spans="9:12">
      <c r="I4604" s="225"/>
      <c r="K4604" s="9"/>
      <c r="L4604" s="9"/>
    </row>
    <row r="4605" s="105" customFormat="1" spans="9:12">
      <c r="I4605" s="225"/>
      <c r="K4605" s="9"/>
      <c r="L4605" s="9"/>
    </row>
    <row r="4606" s="105" customFormat="1" spans="9:12">
      <c r="I4606" s="225"/>
      <c r="K4606" s="9"/>
      <c r="L4606" s="9"/>
    </row>
    <row r="4607" s="105" customFormat="1" spans="9:12">
      <c r="I4607" s="225"/>
      <c r="K4607" s="9"/>
      <c r="L4607" s="9"/>
    </row>
    <row r="4608" s="105" customFormat="1" spans="9:12">
      <c r="I4608" s="225"/>
      <c r="K4608" s="9"/>
      <c r="L4608" s="9"/>
    </row>
    <row r="4609" s="105" customFormat="1" spans="9:12">
      <c r="I4609" s="225"/>
      <c r="K4609" s="9"/>
      <c r="L4609" s="9"/>
    </row>
    <row r="4610" s="105" customFormat="1" spans="9:12">
      <c r="I4610" s="225"/>
      <c r="K4610" s="9"/>
      <c r="L4610" s="9"/>
    </row>
    <row r="4611" s="105" customFormat="1" spans="9:12">
      <c r="I4611" s="225"/>
      <c r="K4611" s="9"/>
      <c r="L4611" s="9"/>
    </row>
    <row r="4612" s="105" customFormat="1" spans="9:12">
      <c r="I4612" s="225"/>
      <c r="K4612" s="9"/>
      <c r="L4612" s="9"/>
    </row>
    <row r="4613" s="105" customFormat="1" spans="9:12">
      <c r="I4613" s="225"/>
      <c r="K4613" s="9"/>
      <c r="L4613" s="9"/>
    </row>
    <row r="4614" s="105" customFormat="1" spans="9:12">
      <c r="I4614" s="225"/>
      <c r="K4614" s="9"/>
      <c r="L4614" s="9"/>
    </row>
    <row r="4615" s="105" customFormat="1" spans="9:12">
      <c r="I4615" s="225"/>
      <c r="K4615" s="9"/>
      <c r="L4615" s="9"/>
    </row>
    <row r="4616" s="105" customFormat="1" spans="9:12">
      <c r="I4616" s="225"/>
      <c r="K4616" s="9"/>
      <c r="L4616" s="9"/>
    </row>
    <row r="4617" s="105" customFormat="1" spans="9:12">
      <c r="I4617" s="225"/>
      <c r="K4617" s="9"/>
      <c r="L4617" s="9"/>
    </row>
    <row r="4618" s="105" customFormat="1" spans="9:12">
      <c r="I4618" s="225"/>
      <c r="K4618" s="9"/>
      <c r="L4618" s="9"/>
    </row>
    <row r="4619" s="105" customFormat="1" spans="9:12">
      <c r="I4619" s="225"/>
      <c r="K4619" s="9"/>
      <c r="L4619" s="9"/>
    </row>
    <row r="4620" s="105" customFormat="1" spans="9:12">
      <c r="I4620" s="225"/>
      <c r="K4620" s="9"/>
      <c r="L4620" s="9"/>
    </row>
    <row r="4621" s="105" customFormat="1" spans="9:12">
      <c r="I4621" s="225"/>
      <c r="K4621" s="9"/>
      <c r="L4621" s="9"/>
    </row>
    <row r="4622" s="105" customFormat="1" spans="9:12">
      <c r="I4622" s="225"/>
      <c r="K4622" s="9"/>
      <c r="L4622" s="9"/>
    </row>
    <row r="4623" s="105" customFormat="1" spans="9:12">
      <c r="I4623" s="225"/>
      <c r="K4623" s="9"/>
      <c r="L4623" s="9"/>
    </row>
    <row r="4624" s="105" customFormat="1" spans="9:12">
      <c r="I4624" s="225"/>
      <c r="K4624" s="9"/>
      <c r="L4624" s="9"/>
    </row>
    <row r="4625" s="105" customFormat="1" spans="9:12">
      <c r="I4625" s="225"/>
      <c r="K4625" s="9"/>
      <c r="L4625" s="9"/>
    </row>
    <row r="4626" s="105" customFormat="1" spans="9:12">
      <c r="I4626" s="225"/>
      <c r="K4626" s="9"/>
      <c r="L4626" s="9"/>
    </row>
    <row r="4627" s="105" customFormat="1" spans="9:12">
      <c r="I4627" s="225"/>
      <c r="K4627" s="9"/>
      <c r="L4627" s="9"/>
    </row>
    <row r="4628" s="105" customFormat="1" spans="9:12">
      <c r="I4628" s="225"/>
      <c r="K4628" s="9"/>
      <c r="L4628" s="9"/>
    </row>
    <row r="4629" s="105" customFormat="1" spans="9:12">
      <c r="I4629" s="225"/>
      <c r="K4629" s="9"/>
      <c r="L4629" s="9"/>
    </row>
    <row r="4630" s="105" customFormat="1" spans="9:12">
      <c r="I4630" s="225"/>
      <c r="K4630" s="9"/>
      <c r="L4630" s="9"/>
    </row>
    <row r="4631" s="105" customFormat="1" spans="9:12">
      <c r="I4631" s="225"/>
      <c r="K4631" s="9"/>
      <c r="L4631" s="9"/>
    </row>
    <row r="4632" s="105" customFormat="1" spans="9:12">
      <c r="I4632" s="225"/>
      <c r="K4632" s="9"/>
      <c r="L4632" s="9"/>
    </row>
    <row r="4633" s="105" customFormat="1" spans="9:12">
      <c r="I4633" s="225"/>
      <c r="K4633" s="9"/>
      <c r="L4633" s="9"/>
    </row>
    <row r="4634" s="105" customFormat="1" spans="9:12">
      <c r="I4634" s="225"/>
      <c r="K4634" s="9"/>
      <c r="L4634" s="9"/>
    </row>
    <row r="4635" s="105" customFormat="1" spans="9:12">
      <c r="I4635" s="225"/>
      <c r="K4635" s="9"/>
      <c r="L4635" s="9"/>
    </row>
    <row r="4636" s="105" customFormat="1" spans="9:12">
      <c r="I4636" s="225"/>
      <c r="K4636" s="9"/>
      <c r="L4636" s="9"/>
    </row>
    <row r="4637" s="105" customFormat="1" spans="9:12">
      <c r="I4637" s="225"/>
      <c r="K4637" s="9"/>
      <c r="L4637" s="9"/>
    </row>
    <row r="4638" s="105" customFormat="1" spans="9:12">
      <c r="I4638" s="225"/>
      <c r="K4638" s="9"/>
      <c r="L4638" s="9"/>
    </row>
    <row r="4639" s="105" customFormat="1" spans="9:12">
      <c r="I4639" s="225"/>
      <c r="K4639" s="9"/>
      <c r="L4639" s="9"/>
    </row>
    <row r="4640" s="105" customFormat="1" spans="9:12">
      <c r="I4640" s="225"/>
      <c r="K4640" s="9"/>
      <c r="L4640" s="9"/>
    </row>
    <row r="4641" s="105" customFormat="1" spans="9:12">
      <c r="I4641" s="225"/>
      <c r="K4641" s="9"/>
      <c r="L4641" s="9"/>
    </row>
    <row r="4642" s="105" customFormat="1" spans="9:12">
      <c r="I4642" s="225"/>
      <c r="K4642" s="9"/>
      <c r="L4642" s="9"/>
    </row>
    <row r="4643" s="105" customFormat="1" spans="9:12">
      <c r="I4643" s="225"/>
      <c r="K4643" s="9"/>
      <c r="L4643" s="9"/>
    </row>
    <row r="4644" s="105" customFormat="1" spans="9:12">
      <c r="I4644" s="225"/>
      <c r="K4644" s="9"/>
      <c r="L4644" s="9"/>
    </row>
    <row r="4645" s="105" customFormat="1" spans="9:12">
      <c r="I4645" s="225"/>
      <c r="K4645" s="9"/>
      <c r="L4645" s="9"/>
    </row>
    <row r="4646" s="105" customFormat="1" spans="9:12">
      <c r="I4646" s="225"/>
      <c r="K4646" s="9"/>
      <c r="L4646" s="9"/>
    </row>
    <row r="4647" s="105" customFormat="1" spans="9:12">
      <c r="I4647" s="225"/>
      <c r="K4647" s="9"/>
      <c r="L4647" s="9"/>
    </row>
    <row r="4648" s="105" customFormat="1" spans="9:12">
      <c r="I4648" s="225"/>
      <c r="K4648" s="9"/>
      <c r="L4648" s="9"/>
    </row>
    <row r="4649" s="105" customFormat="1" spans="9:12">
      <c r="I4649" s="225"/>
      <c r="K4649" s="9"/>
      <c r="L4649" s="9"/>
    </row>
    <row r="4650" s="105" customFormat="1" spans="9:12">
      <c r="I4650" s="225"/>
      <c r="K4650" s="9"/>
      <c r="L4650" s="9"/>
    </row>
    <row r="4651" s="105" customFormat="1" spans="9:12">
      <c r="I4651" s="225"/>
      <c r="K4651" s="9"/>
      <c r="L4651" s="9"/>
    </row>
    <row r="4652" s="105" customFormat="1" spans="9:12">
      <c r="I4652" s="225"/>
      <c r="K4652" s="9"/>
      <c r="L4652" s="9"/>
    </row>
    <row r="4653" s="105" customFormat="1" spans="9:12">
      <c r="I4653" s="225"/>
      <c r="K4653" s="9"/>
      <c r="L4653" s="9"/>
    </row>
    <row r="4654" s="105" customFormat="1" spans="9:12">
      <c r="I4654" s="225"/>
      <c r="K4654" s="9"/>
      <c r="L4654" s="9"/>
    </row>
    <row r="4655" s="105" customFormat="1" spans="9:12">
      <c r="I4655" s="225"/>
      <c r="K4655" s="9"/>
      <c r="L4655" s="9"/>
    </row>
    <row r="4656" s="105" customFormat="1" spans="9:12">
      <c r="I4656" s="225"/>
      <c r="K4656" s="9"/>
      <c r="L4656" s="9"/>
    </row>
    <row r="4657" s="105" customFormat="1" spans="9:12">
      <c r="I4657" s="225"/>
      <c r="K4657" s="9"/>
      <c r="L4657" s="9"/>
    </row>
    <row r="4658" s="105" customFormat="1" spans="9:12">
      <c r="I4658" s="225"/>
      <c r="K4658" s="9"/>
      <c r="L4658" s="9"/>
    </row>
    <row r="4659" s="105" customFormat="1" spans="9:12">
      <c r="I4659" s="225"/>
      <c r="K4659" s="9"/>
      <c r="L4659" s="9"/>
    </row>
    <row r="4660" s="105" customFormat="1" spans="9:12">
      <c r="I4660" s="225"/>
      <c r="K4660" s="9"/>
      <c r="L4660" s="9"/>
    </row>
    <row r="4661" s="105" customFormat="1" spans="9:12">
      <c r="I4661" s="225"/>
      <c r="K4661" s="9"/>
      <c r="L4661" s="9"/>
    </row>
    <row r="4662" s="105" customFormat="1" spans="9:12">
      <c r="I4662" s="225"/>
      <c r="K4662" s="9"/>
      <c r="L4662" s="9"/>
    </row>
    <row r="4663" s="105" customFormat="1" spans="9:12">
      <c r="I4663" s="225"/>
      <c r="K4663" s="9"/>
      <c r="L4663" s="9"/>
    </row>
    <row r="4664" s="105" customFormat="1" spans="9:12">
      <c r="I4664" s="225"/>
      <c r="K4664" s="9"/>
      <c r="L4664" s="9"/>
    </row>
    <row r="4665" s="105" customFormat="1" spans="9:12">
      <c r="I4665" s="225"/>
      <c r="K4665" s="9"/>
      <c r="L4665" s="9"/>
    </row>
    <row r="4666" s="105" customFormat="1" spans="9:12">
      <c r="I4666" s="225"/>
      <c r="K4666" s="9"/>
      <c r="L4666" s="9"/>
    </row>
    <row r="4667" s="105" customFormat="1" spans="9:12">
      <c r="I4667" s="225"/>
      <c r="K4667" s="9"/>
      <c r="L4667" s="9"/>
    </row>
    <row r="4668" s="105" customFormat="1" spans="9:12">
      <c r="I4668" s="225"/>
      <c r="K4668" s="9"/>
      <c r="L4668" s="9"/>
    </row>
    <row r="4669" s="105" customFormat="1" spans="9:12">
      <c r="I4669" s="225"/>
      <c r="K4669" s="9"/>
      <c r="L4669" s="9"/>
    </row>
    <row r="4670" s="105" customFormat="1" spans="9:12">
      <c r="I4670" s="225"/>
      <c r="K4670" s="9"/>
      <c r="L4670" s="9"/>
    </row>
    <row r="4671" s="105" customFormat="1" spans="9:12">
      <c r="I4671" s="225"/>
      <c r="K4671" s="9"/>
      <c r="L4671" s="9"/>
    </row>
    <row r="4672" s="105" customFormat="1" spans="9:12">
      <c r="I4672" s="225"/>
      <c r="K4672" s="9"/>
      <c r="L4672" s="9"/>
    </row>
    <row r="4673" s="105" customFormat="1" spans="9:12">
      <c r="I4673" s="225"/>
      <c r="K4673" s="9"/>
      <c r="L4673" s="9"/>
    </row>
    <row r="4674" s="105" customFormat="1" spans="9:12">
      <c r="I4674" s="225"/>
      <c r="K4674" s="9"/>
      <c r="L4674" s="9"/>
    </row>
    <row r="4675" s="105" customFormat="1" spans="9:12">
      <c r="I4675" s="225"/>
      <c r="K4675" s="9"/>
      <c r="L4675" s="9"/>
    </row>
    <row r="4676" s="105" customFormat="1" spans="9:12">
      <c r="I4676" s="225"/>
      <c r="K4676" s="9"/>
      <c r="L4676" s="9"/>
    </row>
    <row r="4677" s="105" customFormat="1" spans="9:12">
      <c r="I4677" s="225"/>
      <c r="K4677" s="9"/>
      <c r="L4677" s="9"/>
    </row>
    <row r="4678" s="105" customFormat="1" spans="9:12">
      <c r="I4678" s="225"/>
      <c r="K4678" s="9"/>
      <c r="L4678" s="9"/>
    </row>
    <row r="4679" s="105" customFormat="1" spans="9:12">
      <c r="I4679" s="225"/>
      <c r="K4679" s="9"/>
      <c r="L4679" s="9"/>
    </row>
    <row r="4680" s="105" customFormat="1" spans="9:12">
      <c r="I4680" s="225"/>
      <c r="K4680" s="9"/>
      <c r="L4680" s="9"/>
    </row>
    <row r="4681" s="105" customFormat="1" spans="9:12">
      <c r="I4681" s="225"/>
      <c r="K4681" s="9"/>
      <c r="L4681" s="9"/>
    </row>
    <row r="4682" s="105" customFormat="1" spans="9:12">
      <c r="I4682" s="225"/>
      <c r="K4682" s="9"/>
      <c r="L4682" s="9"/>
    </row>
    <row r="4683" s="105" customFormat="1" spans="9:12">
      <c r="I4683" s="225"/>
      <c r="K4683" s="9"/>
      <c r="L4683" s="9"/>
    </row>
    <row r="4684" s="105" customFormat="1" spans="9:12">
      <c r="I4684" s="225"/>
      <c r="K4684" s="9"/>
      <c r="L4684" s="9"/>
    </row>
    <row r="4685" s="105" customFormat="1" spans="9:12">
      <c r="I4685" s="225"/>
      <c r="K4685" s="9"/>
      <c r="L4685" s="9"/>
    </row>
    <row r="4686" s="105" customFormat="1" spans="9:12">
      <c r="I4686" s="225"/>
      <c r="K4686" s="9"/>
      <c r="L4686" s="9"/>
    </row>
    <row r="4687" s="105" customFormat="1" spans="9:12">
      <c r="I4687" s="225"/>
      <c r="K4687" s="9"/>
      <c r="L4687" s="9"/>
    </row>
    <row r="4688" s="105" customFormat="1" spans="9:12">
      <c r="I4688" s="225"/>
      <c r="K4688" s="9"/>
      <c r="L4688" s="9"/>
    </row>
    <row r="4689" s="105" customFormat="1" spans="9:12">
      <c r="I4689" s="225"/>
      <c r="K4689" s="9"/>
      <c r="L4689" s="9"/>
    </row>
    <row r="4690" s="105" customFormat="1" spans="9:12">
      <c r="I4690" s="225"/>
      <c r="K4690" s="9"/>
      <c r="L4690" s="9"/>
    </row>
    <row r="4691" s="105" customFormat="1" spans="9:12">
      <c r="I4691" s="225"/>
      <c r="K4691" s="9"/>
      <c r="L4691" s="9"/>
    </row>
    <row r="4692" s="105" customFormat="1" spans="9:12">
      <c r="I4692" s="225"/>
      <c r="K4692" s="9"/>
      <c r="L4692" s="9"/>
    </row>
    <row r="4693" s="105" customFormat="1" spans="9:12">
      <c r="I4693" s="225"/>
      <c r="K4693" s="9"/>
      <c r="L4693" s="9"/>
    </row>
    <row r="4694" s="105" customFormat="1" spans="9:12">
      <c r="I4694" s="225"/>
      <c r="K4694" s="9"/>
      <c r="L4694" s="9"/>
    </row>
    <row r="4695" s="105" customFormat="1" spans="9:12">
      <c r="I4695" s="225"/>
      <c r="K4695" s="9"/>
      <c r="L4695" s="9"/>
    </row>
    <row r="4696" s="105" customFormat="1" spans="9:12">
      <c r="I4696" s="225"/>
      <c r="K4696" s="9"/>
      <c r="L4696" s="9"/>
    </row>
    <row r="4697" s="105" customFormat="1" spans="9:12">
      <c r="I4697" s="225"/>
      <c r="K4697" s="9"/>
      <c r="L4697" s="9"/>
    </row>
    <row r="4698" s="105" customFormat="1" spans="9:12">
      <c r="I4698" s="225"/>
      <c r="K4698" s="9"/>
      <c r="L4698" s="9"/>
    </row>
    <row r="4699" s="105" customFormat="1" spans="9:12">
      <c r="I4699" s="225"/>
      <c r="K4699" s="9"/>
      <c r="L4699" s="9"/>
    </row>
    <row r="4700" s="105" customFormat="1" spans="9:12">
      <c r="I4700" s="225"/>
      <c r="K4700" s="9"/>
      <c r="L4700" s="9"/>
    </row>
    <row r="4701" s="105" customFormat="1" spans="9:12">
      <c r="I4701" s="225"/>
      <c r="K4701" s="9"/>
      <c r="L4701" s="9"/>
    </row>
    <row r="4702" s="105" customFormat="1" spans="9:12">
      <c r="I4702" s="225"/>
      <c r="K4702" s="9"/>
      <c r="L4702" s="9"/>
    </row>
    <row r="4703" s="105" customFormat="1" spans="9:12">
      <c r="I4703" s="225"/>
      <c r="K4703" s="9"/>
      <c r="L4703" s="9"/>
    </row>
    <row r="4704" s="105" customFormat="1" spans="9:12">
      <c r="I4704" s="225"/>
      <c r="K4704" s="9"/>
      <c r="L4704" s="9"/>
    </row>
    <row r="4705" s="105" customFormat="1" spans="9:12">
      <c r="I4705" s="225"/>
      <c r="K4705" s="9"/>
      <c r="L4705" s="9"/>
    </row>
    <row r="4706" s="105" customFormat="1" spans="9:12">
      <c r="I4706" s="225"/>
      <c r="K4706" s="9"/>
      <c r="L4706" s="9"/>
    </row>
    <row r="4707" s="105" customFormat="1" spans="9:12">
      <c r="I4707" s="225"/>
      <c r="K4707" s="9"/>
      <c r="L4707" s="9"/>
    </row>
    <row r="4708" s="105" customFormat="1" spans="9:12">
      <c r="I4708" s="225"/>
      <c r="K4708" s="9"/>
      <c r="L4708" s="9"/>
    </row>
    <row r="4709" s="105" customFormat="1" spans="9:12">
      <c r="I4709" s="225"/>
      <c r="K4709" s="9"/>
      <c r="L4709" s="9"/>
    </row>
    <row r="4710" s="105" customFormat="1" spans="9:12">
      <c r="I4710" s="225"/>
      <c r="K4710" s="9"/>
      <c r="L4710" s="9"/>
    </row>
    <row r="4711" s="105" customFormat="1" spans="9:12">
      <c r="I4711" s="225"/>
      <c r="K4711" s="9"/>
      <c r="L4711" s="9"/>
    </row>
    <row r="4712" s="105" customFormat="1" spans="9:12">
      <c r="I4712" s="225"/>
      <c r="K4712" s="9"/>
      <c r="L4712" s="9"/>
    </row>
    <row r="4713" s="105" customFormat="1" spans="9:12">
      <c r="I4713" s="225"/>
      <c r="K4713" s="9"/>
      <c r="L4713" s="9"/>
    </row>
    <row r="4714" s="105" customFormat="1" spans="9:12">
      <c r="I4714" s="225"/>
      <c r="K4714" s="9"/>
      <c r="L4714" s="9"/>
    </row>
    <row r="4715" s="105" customFormat="1" spans="9:12">
      <c r="I4715" s="225"/>
      <c r="K4715" s="9"/>
      <c r="L4715" s="9"/>
    </row>
    <row r="4716" s="105" customFormat="1" spans="9:12">
      <c r="I4716" s="225"/>
      <c r="K4716" s="9"/>
      <c r="L4716" s="9"/>
    </row>
    <row r="4717" s="105" customFormat="1" spans="9:12">
      <c r="I4717" s="225"/>
      <c r="K4717" s="9"/>
      <c r="L4717" s="9"/>
    </row>
    <row r="4718" s="105" customFormat="1" spans="9:12">
      <c r="I4718" s="225"/>
      <c r="K4718" s="9"/>
      <c r="L4718" s="9"/>
    </row>
    <row r="4719" s="105" customFormat="1" spans="9:12">
      <c r="I4719" s="225"/>
      <c r="K4719" s="9"/>
      <c r="L4719" s="9"/>
    </row>
    <row r="4720" s="105" customFormat="1" spans="9:12">
      <c r="I4720" s="225"/>
      <c r="K4720" s="9"/>
      <c r="L4720" s="9"/>
    </row>
    <row r="4721" s="105" customFormat="1" spans="9:12">
      <c r="I4721" s="225"/>
      <c r="K4721" s="9"/>
      <c r="L4721" s="9"/>
    </row>
    <row r="4722" s="105" customFormat="1" spans="9:12">
      <c r="I4722" s="225"/>
      <c r="K4722" s="9"/>
      <c r="L4722" s="9"/>
    </row>
    <row r="4723" s="105" customFormat="1" spans="9:12">
      <c r="I4723" s="225"/>
      <c r="K4723" s="9"/>
      <c r="L4723" s="9"/>
    </row>
    <row r="4724" s="105" customFormat="1" spans="9:12">
      <c r="I4724" s="225"/>
      <c r="K4724" s="9"/>
      <c r="L4724" s="9"/>
    </row>
    <row r="4725" s="105" customFormat="1" spans="9:12">
      <c r="I4725" s="225"/>
      <c r="K4725" s="9"/>
      <c r="L4725" s="9"/>
    </row>
    <row r="4726" s="105" customFormat="1" spans="9:12">
      <c r="I4726" s="225"/>
      <c r="K4726" s="9"/>
      <c r="L4726" s="9"/>
    </row>
    <row r="4727" s="105" customFormat="1" spans="9:12">
      <c r="I4727" s="225"/>
      <c r="K4727" s="9"/>
      <c r="L4727" s="9"/>
    </row>
    <row r="4728" s="105" customFormat="1" spans="9:12">
      <c r="I4728" s="225"/>
      <c r="K4728" s="9"/>
      <c r="L4728" s="9"/>
    </row>
    <row r="4729" s="105" customFormat="1" spans="9:12">
      <c r="I4729" s="225"/>
      <c r="K4729" s="9"/>
      <c r="L4729" s="9"/>
    </row>
    <row r="4730" s="105" customFormat="1" spans="9:12">
      <c r="I4730" s="225"/>
      <c r="K4730" s="9"/>
      <c r="L4730" s="9"/>
    </row>
    <row r="4731" s="105" customFormat="1" spans="9:12">
      <c r="I4731" s="225"/>
      <c r="K4731" s="9"/>
      <c r="L4731" s="9"/>
    </row>
    <row r="4732" s="105" customFormat="1" spans="9:12">
      <c r="I4732" s="225"/>
      <c r="K4732" s="9"/>
      <c r="L4732" s="9"/>
    </row>
    <row r="4733" s="105" customFormat="1" spans="9:12">
      <c r="I4733" s="225"/>
      <c r="K4733" s="9"/>
      <c r="L4733" s="9"/>
    </row>
    <row r="4734" s="105" customFormat="1" spans="9:12">
      <c r="I4734" s="225"/>
      <c r="K4734" s="9"/>
      <c r="L4734" s="9"/>
    </row>
    <row r="4735" s="105" customFormat="1" spans="9:12">
      <c r="I4735" s="225"/>
      <c r="K4735" s="9"/>
      <c r="L4735" s="9"/>
    </row>
    <row r="4736" s="105" customFormat="1" spans="9:12">
      <c r="I4736" s="225"/>
      <c r="K4736" s="9"/>
      <c r="L4736" s="9"/>
    </row>
    <row r="4737" s="105" customFormat="1" spans="9:12">
      <c r="I4737" s="225"/>
      <c r="K4737" s="9"/>
      <c r="L4737" s="9"/>
    </row>
    <row r="4738" s="105" customFormat="1" spans="9:12">
      <c r="I4738" s="225"/>
      <c r="K4738" s="9"/>
      <c r="L4738" s="9"/>
    </row>
    <row r="4739" s="105" customFormat="1" spans="9:12">
      <c r="I4739" s="225"/>
      <c r="K4739" s="9"/>
      <c r="L4739" s="9"/>
    </row>
    <row r="4740" s="105" customFormat="1" spans="9:12">
      <c r="I4740" s="225"/>
      <c r="K4740" s="9"/>
      <c r="L4740" s="9"/>
    </row>
    <row r="4741" s="105" customFormat="1" spans="9:12">
      <c r="I4741" s="225"/>
      <c r="K4741" s="9"/>
      <c r="L4741" s="9"/>
    </row>
    <row r="4742" s="105" customFormat="1" spans="9:12">
      <c r="I4742" s="225"/>
      <c r="K4742" s="9"/>
      <c r="L4742" s="9"/>
    </row>
    <row r="4743" s="105" customFormat="1" spans="9:12">
      <c r="I4743" s="225"/>
      <c r="K4743" s="9"/>
      <c r="L4743" s="9"/>
    </row>
    <row r="4744" s="105" customFormat="1" spans="9:12">
      <c r="I4744" s="225"/>
      <c r="K4744" s="9"/>
      <c r="L4744" s="9"/>
    </row>
    <row r="4745" s="105" customFormat="1" spans="9:12">
      <c r="I4745" s="225"/>
      <c r="K4745" s="9"/>
      <c r="L4745" s="9"/>
    </row>
    <row r="4746" s="105" customFormat="1" spans="9:12">
      <c r="I4746" s="225"/>
      <c r="K4746" s="9"/>
      <c r="L4746" s="9"/>
    </row>
    <row r="4747" s="105" customFormat="1" spans="9:12">
      <c r="I4747" s="225"/>
      <c r="K4747" s="9"/>
      <c r="L4747" s="9"/>
    </row>
    <row r="4748" s="105" customFormat="1" spans="9:12">
      <c r="I4748" s="225"/>
      <c r="K4748" s="9"/>
      <c r="L4748" s="9"/>
    </row>
    <row r="4749" s="105" customFormat="1" spans="9:12">
      <c r="I4749" s="225"/>
      <c r="K4749" s="9"/>
      <c r="L4749" s="9"/>
    </row>
    <row r="4750" s="105" customFormat="1" spans="9:12">
      <c r="I4750" s="225"/>
      <c r="K4750" s="9"/>
      <c r="L4750" s="9"/>
    </row>
    <row r="4751" s="105" customFormat="1" spans="9:12">
      <c r="I4751" s="225"/>
      <c r="K4751" s="9"/>
      <c r="L4751" s="9"/>
    </row>
    <row r="4752" s="105" customFormat="1" spans="9:12">
      <c r="I4752" s="225"/>
      <c r="K4752" s="9"/>
      <c r="L4752" s="9"/>
    </row>
    <row r="4753" s="105" customFormat="1" spans="9:12">
      <c r="I4753" s="225"/>
      <c r="K4753" s="9"/>
      <c r="L4753" s="9"/>
    </row>
    <row r="4754" s="105" customFormat="1" spans="9:12">
      <c r="I4754" s="225"/>
      <c r="K4754" s="9"/>
      <c r="L4754" s="9"/>
    </row>
    <row r="4755" s="105" customFormat="1" spans="9:12">
      <c r="I4755" s="225"/>
      <c r="K4755" s="9"/>
      <c r="L4755" s="9"/>
    </row>
    <row r="4756" s="105" customFormat="1" spans="9:12">
      <c r="I4756" s="225"/>
      <c r="K4756" s="9"/>
      <c r="L4756" s="9"/>
    </row>
    <row r="4757" s="105" customFormat="1" spans="9:12">
      <c r="I4757" s="225"/>
      <c r="K4757" s="9"/>
      <c r="L4757" s="9"/>
    </row>
    <row r="4758" s="105" customFormat="1" spans="9:12">
      <c r="I4758" s="225"/>
      <c r="K4758" s="9"/>
      <c r="L4758" s="9"/>
    </row>
    <row r="4759" s="105" customFormat="1" spans="9:12">
      <c r="I4759" s="225"/>
      <c r="K4759" s="9"/>
      <c r="L4759" s="9"/>
    </row>
    <row r="4760" s="105" customFormat="1" spans="9:12">
      <c r="I4760" s="225"/>
      <c r="K4760" s="9"/>
      <c r="L4760" s="9"/>
    </row>
    <row r="4761" s="105" customFormat="1" spans="9:12">
      <c r="I4761" s="225"/>
      <c r="K4761" s="9"/>
      <c r="L4761" s="9"/>
    </row>
    <row r="4762" s="105" customFormat="1" spans="9:12">
      <c r="I4762" s="225"/>
      <c r="K4762" s="9"/>
      <c r="L4762" s="9"/>
    </row>
    <row r="4763" s="105" customFormat="1" spans="9:12">
      <c r="I4763" s="225"/>
      <c r="K4763" s="9"/>
      <c r="L4763" s="9"/>
    </row>
    <row r="4764" s="105" customFormat="1" spans="9:12">
      <c r="I4764" s="225"/>
      <c r="K4764" s="9"/>
      <c r="L4764" s="9"/>
    </row>
    <row r="4765" s="105" customFormat="1" spans="9:12">
      <c r="I4765" s="225"/>
      <c r="K4765" s="9"/>
      <c r="L4765" s="9"/>
    </row>
    <row r="4766" s="105" customFormat="1" spans="9:12">
      <c r="I4766" s="225"/>
      <c r="K4766" s="9"/>
      <c r="L4766" s="9"/>
    </row>
    <row r="4767" s="105" customFormat="1" spans="9:12">
      <c r="I4767" s="225"/>
      <c r="K4767" s="9"/>
      <c r="L4767" s="9"/>
    </row>
    <row r="4768" s="105" customFormat="1" spans="9:12">
      <c r="I4768" s="225"/>
      <c r="K4768" s="9"/>
      <c r="L4768" s="9"/>
    </row>
    <row r="4769" s="105" customFormat="1" spans="9:12">
      <c r="I4769" s="225"/>
      <c r="K4769" s="9"/>
      <c r="L4769" s="9"/>
    </row>
    <row r="4770" s="105" customFormat="1" spans="9:12">
      <c r="I4770" s="225"/>
      <c r="K4770" s="9"/>
      <c r="L4770" s="9"/>
    </row>
    <row r="4771" s="105" customFormat="1" spans="9:12">
      <c r="I4771" s="225"/>
      <c r="K4771" s="9"/>
      <c r="L4771" s="9"/>
    </row>
    <row r="4772" s="105" customFormat="1" spans="9:12">
      <c r="I4772" s="225"/>
      <c r="K4772" s="9"/>
      <c r="L4772" s="9"/>
    </row>
    <row r="4773" s="105" customFormat="1" spans="9:12">
      <c r="I4773" s="225"/>
      <c r="K4773" s="9"/>
      <c r="L4773" s="9"/>
    </row>
    <row r="4774" s="105" customFormat="1" spans="9:12">
      <c r="I4774" s="225"/>
      <c r="K4774" s="9"/>
      <c r="L4774" s="9"/>
    </row>
    <row r="4775" s="105" customFormat="1" spans="9:12">
      <c r="I4775" s="225"/>
      <c r="K4775" s="9"/>
      <c r="L4775" s="9"/>
    </row>
    <row r="4776" s="105" customFormat="1" spans="9:12">
      <c r="I4776" s="225"/>
      <c r="K4776" s="9"/>
      <c r="L4776" s="9"/>
    </row>
    <row r="4777" s="105" customFormat="1" spans="9:12">
      <c r="I4777" s="225"/>
      <c r="K4777" s="9"/>
      <c r="L4777" s="9"/>
    </row>
    <row r="4778" s="105" customFormat="1" spans="9:12">
      <c r="I4778" s="225"/>
      <c r="K4778" s="9"/>
      <c r="L4778" s="9"/>
    </row>
    <row r="4779" s="105" customFormat="1" spans="9:12">
      <c r="I4779" s="225"/>
      <c r="K4779" s="9"/>
      <c r="L4779" s="9"/>
    </row>
    <row r="4780" s="105" customFormat="1" spans="9:12">
      <c r="I4780" s="225"/>
      <c r="K4780" s="9"/>
      <c r="L4780" s="9"/>
    </row>
    <row r="4781" s="105" customFormat="1" spans="9:12">
      <c r="I4781" s="225"/>
      <c r="K4781" s="9"/>
      <c r="L4781" s="9"/>
    </row>
    <row r="4782" s="105" customFormat="1" spans="9:12">
      <c r="I4782" s="225"/>
      <c r="K4782" s="9"/>
      <c r="L4782" s="9"/>
    </row>
    <row r="4783" s="105" customFormat="1" spans="9:12">
      <c r="I4783" s="225"/>
      <c r="K4783" s="9"/>
      <c r="L4783" s="9"/>
    </row>
    <row r="4784" s="105" customFormat="1" spans="9:12">
      <c r="I4784" s="225"/>
      <c r="K4784" s="9"/>
      <c r="L4784" s="9"/>
    </row>
    <row r="4785" s="105" customFormat="1" spans="9:12">
      <c r="I4785" s="225"/>
      <c r="K4785" s="9"/>
      <c r="L4785" s="9"/>
    </row>
    <row r="4786" s="105" customFormat="1" spans="9:12">
      <c r="I4786" s="225"/>
      <c r="K4786" s="9"/>
      <c r="L4786" s="9"/>
    </row>
    <row r="4787" s="105" customFormat="1" spans="9:12">
      <c r="I4787" s="225"/>
      <c r="K4787" s="9"/>
      <c r="L4787" s="9"/>
    </row>
    <row r="4788" s="105" customFormat="1" spans="9:12">
      <c r="I4788" s="225"/>
      <c r="K4788" s="9"/>
      <c r="L4788" s="9"/>
    </row>
    <row r="4789" s="105" customFormat="1" spans="9:12">
      <c r="I4789" s="225"/>
      <c r="K4789" s="9"/>
      <c r="L4789" s="9"/>
    </row>
    <row r="4790" s="105" customFormat="1" spans="9:12">
      <c r="I4790" s="225"/>
      <c r="K4790" s="9"/>
      <c r="L4790" s="9"/>
    </row>
    <row r="4791" s="105" customFormat="1" spans="9:12">
      <c r="I4791" s="225"/>
      <c r="K4791" s="9"/>
      <c r="L4791" s="9"/>
    </row>
    <row r="4792" s="105" customFormat="1" spans="9:12">
      <c r="I4792" s="225"/>
      <c r="K4792" s="9"/>
      <c r="L4792" s="9"/>
    </row>
    <row r="4793" s="105" customFormat="1" spans="9:12">
      <c r="I4793" s="225"/>
      <c r="K4793" s="9"/>
      <c r="L4793" s="9"/>
    </row>
    <row r="4794" s="105" customFormat="1" spans="9:12">
      <c r="I4794" s="225"/>
      <c r="K4794" s="9"/>
      <c r="L4794" s="9"/>
    </row>
    <row r="4795" s="105" customFormat="1" spans="9:12">
      <c r="I4795" s="225"/>
      <c r="K4795" s="9"/>
      <c r="L4795" s="9"/>
    </row>
    <row r="4796" s="105" customFormat="1" spans="9:12">
      <c r="I4796" s="225"/>
      <c r="K4796" s="9"/>
      <c r="L4796" s="9"/>
    </row>
    <row r="4797" s="105" customFormat="1" spans="9:12">
      <c r="I4797" s="225"/>
      <c r="K4797" s="9"/>
      <c r="L4797" s="9"/>
    </row>
    <row r="4798" s="105" customFormat="1" spans="9:12">
      <c r="I4798" s="225"/>
      <c r="K4798" s="9"/>
      <c r="L4798" s="9"/>
    </row>
    <row r="4799" s="105" customFormat="1" spans="9:12">
      <c r="I4799" s="225"/>
      <c r="K4799" s="9"/>
      <c r="L4799" s="9"/>
    </row>
    <row r="4800" s="105" customFormat="1" spans="9:12">
      <c r="I4800" s="225"/>
      <c r="K4800" s="9"/>
      <c r="L4800" s="9"/>
    </row>
    <row r="4801" s="105" customFormat="1" spans="9:12">
      <c r="I4801" s="225"/>
      <c r="K4801" s="9"/>
      <c r="L4801" s="9"/>
    </row>
    <row r="4802" s="105" customFormat="1" spans="9:12">
      <c r="I4802" s="225"/>
      <c r="K4802" s="9"/>
      <c r="L4802" s="9"/>
    </row>
    <row r="4803" s="105" customFormat="1" spans="9:12">
      <c r="I4803" s="225"/>
      <c r="K4803" s="9"/>
      <c r="L4803" s="9"/>
    </row>
    <row r="4804" s="105" customFormat="1" spans="9:12">
      <c r="I4804" s="225"/>
      <c r="K4804" s="9"/>
      <c r="L4804" s="9"/>
    </row>
    <row r="4805" s="105" customFormat="1" spans="9:12">
      <c r="I4805" s="225"/>
      <c r="K4805" s="9"/>
      <c r="L4805" s="9"/>
    </row>
    <row r="4806" s="105" customFormat="1" spans="9:12">
      <c r="I4806" s="225"/>
      <c r="K4806" s="9"/>
      <c r="L4806" s="9"/>
    </row>
    <row r="4807" s="105" customFormat="1" spans="9:12">
      <c r="I4807" s="225"/>
      <c r="K4807" s="9"/>
      <c r="L4807" s="9"/>
    </row>
    <row r="4808" s="105" customFormat="1" spans="9:12">
      <c r="I4808" s="225"/>
      <c r="K4808" s="9"/>
      <c r="L4808" s="9"/>
    </row>
    <row r="4809" s="105" customFormat="1" spans="9:12">
      <c r="I4809" s="225"/>
      <c r="K4809" s="9"/>
      <c r="L4809" s="9"/>
    </row>
    <row r="4810" s="105" customFormat="1" spans="9:12">
      <c r="I4810" s="225"/>
      <c r="K4810" s="9"/>
      <c r="L4810" s="9"/>
    </row>
    <row r="4811" s="105" customFormat="1" spans="9:12">
      <c r="I4811" s="225"/>
      <c r="K4811" s="9"/>
      <c r="L4811" s="9"/>
    </row>
    <row r="4812" s="105" customFormat="1" spans="9:12">
      <c r="I4812" s="225"/>
      <c r="K4812" s="9"/>
      <c r="L4812" s="9"/>
    </row>
    <row r="4813" s="105" customFormat="1" spans="9:12">
      <c r="I4813" s="225"/>
      <c r="K4813" s="9"/>
      <c r="L4813" s="9"/>
    </row>
    <row r="4814" s="105" customFormat="1" spans="9:12">
      <c r="I4814" s="225"/>
      <c r="K4814" s="9"/>
      <c r="L4814" s="9"/>
    </row>
    <row r="4815" s="105" customFormat="1" spans="9:12">
      <c r="I4815" s="225"/>
      <c r="K4815" s="9"/>
      <c r="L4815" s="9"/>
    </row>
    <row r="4816" s="105" customFormat="1" spans="9:12">
      <c r="I4816" s="225"/>
      <c r="K4816" s="9"/>
      <c r="L4816" s="9"/>
    </row>
    <row r="4817" s="105" customFormat="1" spans="9:12">
      <c r="I4817" s="225"/>
      <c r="K4817" s="9"/>
      <c r="L4817" s="9"/>
    </row>
    <row r="4818" s="105" customFormat="1" spans="9:12">
      <c r="I4818" s="225"/>
      <c r="K4818" s="9"/>
      <c r="L4818" s="9"/>
    </row>
    <row r="4819" s="105" customFormat="1" spans="9:12">
      <c r="I4819" s="225"/>
      <c r="K4819" s="9"/>
      <c r="L4819" s="9"/>
    </row>
    <row r="4820" s="105" customFormat="1" spans="9:12">
      <c r="I4820" s="225"/>
      <c r="K4820" s="9"/>
      <c r="L4820" s="9"/>
    </row>
    <row r="4821" s="105" customFormat="1" spans="9:12">
      <c r="I4821" s="225"/>
      <c r="K4821" s="9"/>
      <c r="L4821" s="9"/>
    </row>
    <row r="4822" s="105" customFormat="1" spans="9:12">
      <c r="I4822" s="225"/>
      <c r="K4822" s="9"/>
      <c r="L4822" s="9"/>
    </row>
    <row r="4823" s="105" customFormat="1" spans="9:12">
      <c r="I4823" s="225"/>
      <c r="K4823" s="9"/>
      <c r="L4823" s="9"/>
    </row>
    <row r="4824" s="105" customFormat="1" spans="9:12">
      <c r="I4824" s="225"/>
      <c r="K4824" s="9"/>
      <c r="L4824" s="9"/>
    </row>
    <row r="4825" s="105" customFormat="1" spans="9:12">
      <c r="I4825" s="225"/>
      <c r="K4825" s="9"/>
      <c r="L4825" s="9"/>
    </row>
    <row r="4826" s="105" customFormat="1" spans="9:12">
      <c r="I4826" s="225"/>
      <c r="K4826" s="9"/>
      <c r="L4826" s="9"/>
    </row>
    <row r="4827" s="105" customFormat="1" spans="9:12">
      <c r="I4827" s="225"/>
      <c r="K4827" s="9"/>
      <c r="L4827" s="9"/>
    </row>
    <row r="4828" s="105" customFormat="1" spans="9:12">
      <c r="I4828" s="225"/>
      <c r="K4828" s="9"/>
      <c r="L4828" s="9"/>
    </row>
    <row r="4829" s="105" customFormat="1" spans="9:12">
      <c r="I4829" s="225"/>
      <c r="K4829" s="9"/>
      <c r="L4829" s="9"/>
    </row>
    <row r="4830" s="105" customFormat="1" spans="9:12">
      <c r="I4830" s="225"/>
      <c r="K4830" s="9"/>
      <c r="L4830" s="9"/>
    </row>
    <row r="4831" s="105" customFormat="1" spans="9:12">
      <c r="I4831" s="225"/>
      <c r="K4831" s="9"/>
      <c r="L4831" s="9"/>
    </row>
    <row r="4832" s="105" customFormat="1" spans="9:12">
      <c r="I4832" s="225"/>
      <c r="K4832" s="9"/>
      <c r="L4832" s="9"/>
    </row>
    <row r="4833" s="105" customFormat="1" spans="9:12">
      <c r="I4833" s="225"/>
      <c r="K4833" s="9"/>
      <c r="L4833" s="9"/>
    </row>
    <row r="4834" s="105" customFormat="1" spans="9:12">
      <c r="I4834" s="225"/>
      <c r="K4834" s="9"/>
      <c r="L4834" s="9"/>
    </row>
    <row r="4835" s="105" customFormat="1" spans="9:12">
      <c r="I4835" s="225"/>
      <c r="K4835" s="9"/>
      <c r="L4835" s="9"/>
    </row>
    <row r="4836" s="105" customFormat="1" spans="9:12">
      <c r="I4836" s="225"/>
      <c r="K4836" s="9"/>
      <c r="L4836" s="9"/>
    </row>
    <row r="4837" s="105" customFormat="1" spans="9:12">
      <c r="I4837" s="225"/>
      <c r="K4837" s="9"/>
      <c r="L4837" s="9"/>
    </row>
    <row r="4838" s="105" customFormat="1" spans="9:12">
      <c r="I4838" s="225"/>
      <c r="K4838" s="9"/>
      <c r="L4838" s="9"/>
    </row>
    <row r="4839" s="105" customFormat="1" spans="9:12">
      <c r="I4839" s="225"/>
      <c r="K4839" s="9"/>
      <c r="L4839" s="9"/>
    </row>
    <row r="4840" s="105" customFormat="1" spans="9:12">
      <c r="I4840" s="225"/>
      <c r="K4840" s="9"/>
      <c r="L4840" s="9"/>
    </row>
    <row r="4841" s="105" customFormat="1" spans="9:12">
      <c r="I4841" s="225"/>
      <c r="K4841" s="9"/>
      <c r="L4841" s="9"/>
    </row>
    <row r="4842" s="105" customFormat="1" spans="9:12">
      <c r="I4842" s="225"/>
      <c r="K4842" s="9"/>
      <c r="L4842" s="9"/>
    </row>
    <row r="4843" s="105" customFormat="1" spans="9:12">
      <c r="I4843" s="225"/>
      <c r="K4843" s="9"/>
      <c r="L4843" s="9"/>
    </row>
    <row r="4844" s="105" customFormat="1" spans="9:12">
      <c r="I4844" s="225"/>
      <c r="K4844" s="9"/>
      <c r="L4844" s="9"/>
    </row>
    <row r="4845" s="105" customFormat="1" spans="9:12">
      <c r="I4845" s="225"/>
      <c r="K4845" s="9"/>
      <c r="L4845" s="9"/>
    </row>
    <row r="4846" s="105" customFormat="1" spans="9:12">
      <c r="I4846" s="225"/>
      <c r="K4846" s="9"/>
      <c r="L4846" s="9"/>
    </row>
    <row r="4847" s="105" customFormat="1" spans="9:12">
      <c r="I4847" s="225"/>
      <c r="K4847" s="9"/>
      <c r="L4847" s="9"/>
    </row>
    <row r="4848" s="105" customFormat="1" spans="9:12">
      <c r="I4848" s="225"/>
      <c r="K4848" s="9"/>
      <c r="L4848" s="9"/>
    </row>
    <row r="4849" s="105" customFormat="1" spans="9:12">
      <c r="I4849" s="225"/>
      <c r="K4849" s="9"/>
      <c r="L4849" s="9"/>
    </row>
    <row r="4850" s="105" customFormat="1" spans="9:12">
      <c r="I4850" s="225"/>
      <c r="K4850" s="9"/>
      <c r="L4850" s="9"/>
    </row>
    <row r="4851" s="105" customFormat="1" spans="9:12">
      <c r="I4851" s="225"/>
      <c r="K4851" s="9"/>
      <c r="L4851" s="9"/>
    </row>
    <row r="4852" s="105" customFormat="1" spans="9:12">
      <c r="I4852" s="225"/>
      <c r="K4852" s="9"/>
      <c r="L4852" s="9"/>
    </row>
    <row r="4853" s="105" customFormat="1" spans="9:12">
      <c r="I4853" s="225"/>
      <c r="K4853" s="9"/>
      <c r="L4853" s="9"/>
    </row>
    <row r="4854" s="105" customFormat="1" spans="9:12">
      <c r="I4854" s="225"/>
      <c r="K4854" s="9"/>
      <c r="L4854" s="9"/>
    </row>
    <row r="4855" s="105" customFormat="1" spans="9:12">
      <c r="I4855" s="225"/>
      <c r="K4855" s="9"/>
      <c r="L4855" s="9"/>
    </row>
    <row r="4856" s="105" customFormat="1" spans="9:12">
      <c r="I4856" s="225"/>
      <c r="K4856" s="9"/>
      <c r="L4856" s="9"/>
    </row>
    <row r="4857" s="105" customFormat="1" spans="9:12">
      <c r="I4857" s="225"/>
      <c r="K4857" s="9"/>
      <c r="L4857" s="9"/>
    </row>
    <row r="4858" s="105" customFormat="1" spans="9:12">
      <c r="I4858" s="225"/>
      <c r="K4858" s="9"/>
      <c r="L4858" s="9"/>
    </row>
    <row r="4859" s="105" customFormat="1" spans="9:12">
      <c r="I4859" s="225"/>
      <c r="K4859" s="9"/>
      <c r="L4859" s="9"/>
    </row>
    <row r="4860" s="105" customFormat="1" spans="9:12">
      <c r="I4860" s="225"/>
      <c r="K4860" s="9"/>
      <c r="L4860" s="9"/>
    </row>
    <row r="4861" s="105" customFormat="1" spans="9:12">
      <c r="I4861" s="225"/>
      <c r="K4861" s="9"/>
      <c r="L4861" s="9"/>
    </row>
    <row r="4862" s="105" customFormat="1" spans="9:12">
      <c r="I4862" s="225"/>
      <c r="K4862" s="9"/>
      <c r="L4862" s="9"/>
    </row>
    <row r="4863" s="105" customFormat="1" spans="9:12">
      <c r="I4863" s="225"/>
      <c r="K4863" s="9"/>
      <c r="L4863" s="9"/>
    </row>
    <row r="4864" s="105" customFormat="1" spans="9:12">
      <c r="I4864" s="225"/>
      <c r="K4864" s="9"/>
      <c r="L4864" s="9"/>
    </row>
    <row r="4865" s="105" customFormat="1" spans="9:12">
      <c r="I4865" s="225"/>
      <c r="K4865" s="9"/>
      <c r="L4865" s="9"/>
    </row>
    <row r="4866" s="105" customFormat="1" spans="9:12">
      <c r="I4866" s="225"/>
      <c r="K4866" s="9"/>
      <c r="L4866" s="9"/>
    </row>
    <row r="4867" s="105" customFormat="1" spans="9:12">
      <c r="I4867" s="225"/>
      <c r="K4867" s="9"/>
      <c r="L4867" s="9"/>
    </row>
    <row r="4868" s="105" customFormat="1" spans="9:12">
      <c r="I4868" s="225"/>
      <c r="K4868" s="9"/>
      <c r="L4868" s="9"/>
    </row>
    <row r="4869" s="105" customFormat="1" spans="9:12">
      <c r="I4869" s="225"/>
      <c r="K4869" s="9"/>
      <c r="L4869" s="9"/>
    </row>
    <row r="4870" s="105" customFormat="1" spans="9:12">
      <c r="I4870" s="225"/>
      <c r="K4870" s="9"/>
      <c r="L4870" s="9"/>
    </row>
    <row r="4871" s="105" customFormat="1" spans="9:12">
      <c r="I4871" s="225"/>
      <c r="K4871" s="9"/>
      <c r="L4871" s="9"/>
    </row>
    <row r="4872" s="105" customFormat="1" spans="9:12">
      <c r="I4872" s="225"/>
      <c r="K4872" s="9"/>
      <c r="L4872" s="9"/>
    </row>
    <row r="4873" s="105" customFormat="1" spans="9:12">
      <c r="I4873" s="225"/>
      <c r="K4873" s="9"/>
      <c r="L4873" s="9"/>
    </row>
    <row r="4874" s="105" customFormat="1" spans="9:12">
      <c r="I4874" s="225"/>
      <c r="K4874" s="9"/>
      <c r="L4874" s="9"/>
    </row>
    <row r="4875" s="105" customFormat="1" spans="9:12">
      <c r="I4875" s="225"/>
      <c r="K4875" s="9"/>
      <c r="L4875" s="9"/>
    </row>
    <row r="4876" s="105" customFormat="1" spans="9:12">
      <c r="I4876" s="225"/>
      <c r="K4876" s="9"/>
      <c r="L4876" s="9"/>
    </row>
    <row r="4877" s="105" customFormat="1" spans="9:12">
      <c r="I4877" s="225"/>
      <c r="K4877" s="9"/>
      <c r="L4877" s="9"/>
    </row>
    <row r="4878" s="105" customFormat="1" spans="9:12">
      <c r="I4878" s="225"/>
      <c r="K4878" s="9"/>
      <c r="L4878" s="9"/>
    </row>
    <row r="4879" s="105" customFormat="1" spans="9:12">
      <c r="I4879" s="225"/>
      <c r="K4879" s="9"/>
      <c r="L4879" s="9"/>
    </row>
    <row r="4880" s="105" customFormat="1" spans="9:12">
      <c r="I4880" s="225"/>
      <c r="K4880" s="9"/>
      <c r="L4880" s="9"/>
    </row>
    <row r="4881" s="105" customFormat="1" spans="9:12">
      <c r="I4881" s="225"/>
      <c r="K4881" s="9"/>
      <c r="L4881" s="9"/>
    </row>
    <row r="4882" s="105" customFormat="1" spans="9:12">
      <c r="I4882" s="225"/>
      <c r="K4882" s="9"/>
      <c r="L4882" s="9"/>
    </row>
    <row r="4883" s="105" customFormat="1" spans="9:12">
      <c r="I4883" s="225"/>
      <c r="K4883" s="9"/>
      <c r="L4883" s="9"/>
    </row>
    <row r="4884" s="105" customFormat="1" spans="9:12">
      <c r="I4884" s="225"/>
      <c r="K4884" s="9"/>
      <c r="L4884" s="9"/>
    </row>
    <row r="4885" s="105" customFormat="1" spans="9:12">
      <c r="I4885" s="225"/>
      <c r="K4885" s="9"/>
      <c r="L4885" s="9"/>
    </row>
    <row r="4886" s="105" customFormat="1" spans="9:12">
      <c r="I4886" s="225"/>
      <c r="K4886" s="9"/>
      <c r="L4886" s="9"/>
    </row>
    <row r="4887" s="105" customFormat="1" spans="9:12">
      <c r="I4887" s="225"/>
      <c r="K4887" s="9"/>
      <c r="L4887" s="9"/>
    </row>
    <row r="4888" s="105" customFormat="1" spans="9:12">
      <c r="I4888" s="225"/>
      <c r="K4888" s="9"/>
      <c r="L4888" s="9"/>
    </row>
    <row r="4889" s="105" customFormat="1" spans="9:12">
      <c r="I4889" s="225"/>
      <c r="K4889" s="9"/>
      <c r="L4889" s="9"/>
    </row>
    <row r="4890" s="105" customFormat="1" spans="9:12">
      <c r="I4890" s="225"/>
      <c r="K4890" s="9"/>
      <c r="L4890" s="9"/>
    </row>
    <row r="4891" s="105" customFormat="1" spans="9:12">
      <c r="I4891" s="225"/>
      <c r="K4891" s="9"/>
      <c r="L4891" s="9"/>
    </row>
    <row r="4892" s="105" customFormat="1" spans="9:12">
      <c r="I4892" s="225"/>
      <c r="K4892" s="9"/>
      <c r="L4892" s="9"/>
    </row>
    <row r="4893" s="105" customFormat="1" spans="9:12">
      <c r="I4893" s="225"/>
      <c r="K4893" s="9"/>
      <c r="L4893" s="9"/>
    </row>
    <row r="4894" s="105" customFormat="1" spans="9:12">
      <c r="I4894" s="225"/>
      <c r="K4894" s="9"/>
      <c r="L4894" s="9"/>
    </row>
    <row r="4895" s="105" customFormat="1" spans="9:12">
      <c r="I4895" s="225"/>
      <c r="K4895" s="9"/>
      <c r="L4895" s="9"/>
    </row>
    <row r="4896" s="105" customFormat="1" spans="9:12">
      <c r="I4896" s="225"/>
      <c r="K4896" s="9"/>
      <c r="L4896" s="9"/>
    </row>
    <row r="4897" s="105" customFormat="1" spans="9:12">
      <c r="I4897" s="225"/>
      <c r="K4897" s="9"/>
      <c r="L4897" s="9"/>
    </row>
    <row r="4898" s="105" customFormat="1" spans="9:12">
      <c r="I4898" s="225"/>
      <c r="K4898" s="9"/>
      <c r="L4898" s="9"/>
    </row>
    <row r="4899" s="105" customFormat="1" spans="9:12">
      <c r="I4899" s="225"/>
      <c r="K4899" s="9"/>
      <c r="L4899" s="9"/>
    </row>
    <row r="4900" s="105" customFormat="1" spans="9:12">
      <c r="I4900" s="225"/>
      <c r="K4900" s="9"/>
      <c r="L4900" s="9"/>
    </row>
    <row r="4901" s="105" customFormat="1" spans="9:12">
      <c r="I4901" s="225"/>
      <c r="K4901" s="9"/>
      <c r="L4901" s="9"/>
    </row>
    <row r="4902" s="105" customFormat="1" spans="9:12">
      <c r="I4902" s="225"/>
      <c r="K4902" s="9"/>
      <c r="L4902" s="9"/>
    </row>
    <row r="4903" s="105" customFormat="1" spans="9:12">
      <c r="I4903" s="225"/>
      <c r="K4903" s="9"/>
      <c r="L4903" s="9"/>
    </row>
    <row r="4904" s="105" customFormat="1" spans="9:12">
      <c r="I4904" s="225"/>
      <c r="K4904" s="9"/>
      <c r="L4904" s="9"/>
    </row>
    <row r="4905" s="105" customFormat="1" spans="9:12">
      <c r="I4905" s="225"/>
      <c r="K4905" s="9"/>
      <c r="L4905" s="9"/>
    </row>
    <row r="4906" s="105" customFormat="1" spans="9:12">
      <c r="I4906" s="225"/>
      <c r="K4906" s="9"/>
      <c r="L4906" s="9"/>
    </row>
    <row r="4907" s="105" customFormat="1" spans="9:12">
      <c r="I4907" s="225"/>
      <c r="K4907" s="9"/>
      <c r="L4907" s="9"/>
    </row>
    <row r="4908" s="105" customFormat="1" spans="9:12">
      <c r="I4908" s="225"/>
      <c r="K4908" s="9"/>
      <c r="L4908" s="9"/>
    </row>
    <row r="4909" s="105" customFormat="1" spans="9:12">
      <c r="I4909" s="225"/>
      <c r="K4909" s="9"/>
      <c r="L4909" s="9"/>
    </row>
    <row r="4910" s="105" customFormat="1" spans="9:12">
      <c r="I4910" s="225"/>
      <c r="K4910" s="9"/>
      <c r="L4910" s="9"/>
    </row>
    <row r="4911" s="105" customFormat="1" spans="9:12">
      <c r="I4911" s="225"/>
      <c r="K4911" s="9"/>
      <c r="L4911" s="9"/>
    </row>
    <row r="4912" s="105" customFormat="1" spans="9:12">
      <c r="I4912" s="225"/>
      <c r="K4912" s="9"/>
      <c r="L4912" s="9"/>
    </row>
    <row r="4913" s="105" customFormat="1" spans="9:12">
      <c r="I4913" s="225"/>
      <c r="K4913" s="9"/>
      <c r="L4913" s="9"/>
    </row>
    <row r="4914" s="105" customFormat="1" spans="9:12">
      <c r="I4914" s="225"/>
      <c r="K4914" s="9"/>
      <c r="L4914" s="9"/>
    </row>
    <row r="4915" s="105" customFormat="1" spans="9:12">
      <c r="I4915" s="225"/>
      <c r="K4915" s="9"/>
      <c r="L4915" s="9"/>
    </row>
    <row r="4916" s="105" customFormat="1" spans="9:12">
      <c r="I4916" s="225"/>
      <c r="K4916" s="9"/>
      <c r="L4916" s="9"/>
    </row>
    <row r="4917" s="105" customFormat="1" spans="9:12">
      <c r="I4917" s="225"/>
      <c r="K4917" s="9"/>
      <c r="L4917" s="9"/>
    </row>
    <row r="4918" s="105" customFormat="1" spans="9:12">
      <c r="I4918" s="225"/>
      <c r="K4918" s="9"/>
      <c r="L4918" s="9"/>
    </row>
    <row r="4919" s="105" customFormat="1" spans="9:12">
      <c r="I4919" s="225"/>
      <c r="K4919" s="9"/>
      <c r="L4919" s="9"/>
    </row>
    <row r="4920" s="105" customFormat="1" spans="9:12">
      <c r="I4920" s="225"/>
      <c r="K4920" s="9"/>
      <c r="L4920" s="9"/>
    </row>
    <row r="4921" s="105" customFormat="1" spans="9:12">
      <c r="I4921" s="225"/>
      <c r="K4921" s="9"/>
      <c r="L4921" s="9"/>
    </row>
    <row r="4922" s="105" customFormat="1" spans="9:12">
      <c r="I4922" s="225"/>
      <c r="K4922" s="9"/>
      <c r="L4922" s="9"/>
    </row>
    <row r="4923" s="105" customFormat="1" spans="9:12">
      <c r="I4923" s="225"/>
      <c r="K4923" s="9"/>
      <c r="L4923" s="9"/>
    </row>
    <row r="4924" s="105" customFormat="1" spans="9:12">
      <c r="I4924" s="225"/>
      <c r="K4924" s="9"/>
      <c r="L4924" s="9"/>
    </row>
    <row r="4925" s="105" customFormat="1" spans="9:12">
      <c r="I4925" s="225"/>
      <c r="K4925" s="9"/>
      <c r="L4925" s="9"/>
    </row>
    <row r="4926" s="105" customFormat="1" spans="9:12">
      <c r="I4926" s="225"/>
      <c r="K4926" s="9"/>
      <c r="L4926" s="9"/>
    </row>
    <row r="4927" s="105" customFormat="1" spans="9:12">
      <c r="I4927" s="225"/>
      <c r="K4927" s="9"/>
      <c r="L4927" s="9"/>
    </row>
    <row r="4928" s="105" customFormat="1" spans="9:12">
      <c r="I4928" s="225"/>
      <c r="K4928" s="9"/>
      <c r="L4928" s="9"/>
    </row>
    <row r="4929" s="105" customFormat="1" spans="9:12">
      <c r="I4929" s="225"/>
      <c r="K4929" s="9"/>
      <c r="L4929" s="9"/>
    </row>
    <row r="4930" s="105" customFormat="1" spans="9:12">
      <c r="I4930" s="225"/>
      <c r="K4930" s="9"/>
      <c r="L4930" s="9"/>
    </row>
    <row r="4931" s="105" customFormat="1" spans="9:12">
      <c r="I4931" s="225"/>
      <c r="K4931" s="9"/>
      <c r="L4931" s="9"/>
    </row>
    <row r="4932" s="105" customFormat="1" spans="9:12">
      <c r="I4932" s="225"/>
      <c r="K4932" s="9"/>
      <c r="L4932" s="9"/>
    </row>
    <row r="4933" s="105" customFormat="1" spans="9:12">
      <c r="I4933" s="225"/>
      <c r="K4933" s="9"/>
      <c r="L4933" s="9"/>
    </row>
    <row r="4934" s="105" customFormat="1" spans="9:12">
      <c r="I4934" s="225"/>
      <c r="K4934" s="9"/>
      <c r="L4934" s="9"/>
    </row>
    <row r="4935" s="105" customFormat="1" spans="9:12">
      <c r="I4935" s="225"/>
      <c r="K4935" s="9"/>
      <c r="L4935" s="9"/>
    </row>
    <row r="4936" s="105" customFormat="1" spans="9:12">
      <c r="I4936" s="225"/>
      <c r="K4936" s="9"/>
      <c r="L4936" s="9"/>
    </row>
    <row r="4937" s="105" customFormat="1" spans="9:12">
      <c r="I4937" s="225"/>
      <c r="K4937" s="9"/>
      <c r="L4937" s="9"/>
    </row>
    <row r="4938" s="105" customFormat="1" spans="9:12">
      <c r="I4938" s="225"/>
      <c r="K4938" s="9"/>
      <c r="L4938" s="9"/>
    </row>
    <row r="4939" s="105" customFormat="1" spans="9:12">
      <c r="I4939" s="225"/>
      <c r="K4939" s="9"/>
      <c r="L4939" s="9"/>
    </row>
    <row r="4940" s="105" customFormat="1" spans="9:12">
      <c r="I4940" s="225"/>
      <c r="K4940" s="9"/>
      <c r="L4940" s="9"/>
    </row>
    <row r="4941" s="105" customFormat="1" spans="9:12">
      <c r="I4941" s="225"/>
      <c r="K4941" s="9"/>
      <c r="L4941" s="9"/>
    </row>
    <row r="4942" s="105" customFormat="1" spans="9:12">
      <c r="I4942" s="225"/>
      <c r="K4942" s="9"/>
      <c r="L4942" s="9"/>
    </row>
    <row r="4943" s="105" customFormat="1" spans="9:12">
      <c r="I4943" s="225"/>
      <c r="K4943" s="9"/>
      <c r="L4943" s="9"/>
    </row>
    <row r="4944" s="105" customFormat="1" spans="9:12">
      <c r="I4944" s="225"/>
      <c r="K4944" s="9"/>
      <c r="L4944" s="9"/>
    </row>
    <row r="4945" s="105" customFormat="1" spans="9:12">
      <c r="I4945" s="225"/>
      <c r="K4945" s="9"/>
      <c r="L4945" s="9"/>
    </row>
    <row r="4946" s="105" customFormat="1" spans="9:12">
      <c r="I4946" s="225"/>
      <c r="K4946" s="9"/>
      <c r="L4946" s="9"/>
    </row>
    <row r="4947" s="105" customFormat="1" spans="9:12">
      <c r="I4947" s="225"/>
      <c r="K4947" s="9"/>
      <c r="L4947" s="9"/>
    </row>
    <row r="4948" s="105" customFormat="1" spans="9:12">
      <c r="I4948" s="225"/>
      <c r="K4948" s="9"/>
      <c r="L4948" s="9"/>
    </row>
    <row r="4949" s="105" customFormat="1" spans="9:12">
      <c r="I4949" s="225"/>
      <c r="K4949" s="9"/>
      <c r="L4949" s="9"/>
    </row>
    <row r="4950" s="105" customFormat="1" spans="9:12">
      <c r="I4950" s="225"/>
      <c r="K4950" s="9"/>
      <c r="L4950" s="9"/>
    </row>
    <row r="4951" s="105" customFormat="1" spans="9:12">
      <c r="I4951" s="225"/>
      <c r="K4951" s="9"/>
      <c r="L4951" s="9"/>
    </row>
    <row r="4952" s="105" customFormat="1" spans="9:12">
      <c r="I4952" s="225"/>
      <c r="K4952" s="9"/>
      <c r="L4952" s="9"/>
    </row>
    <row r="4953" s="105" customFormat="1" spans="9:12">
      <c r="I4953" s="225"/>
      <c r="K4953" s="9"/>
      <c r="L4953" s="9"/>
    </row>
    <row r="4954" s="105" customFormat="1" spans="9:12">
      <c r="I4954" s="225"/>
      <c r="K4954" s="9"/>
      <c r="L4954" s="9"/>
    </row>
    <row r="4955" s="105" customFormat="1" spans="9:12">
      <c r="I4955" s="225"/>
      <c r="K4955" s="9"/>
      <c r="L4955" s="9"/>
    </row>
    <row r="4956" s="105" customFormat="1" spans="9:12">
      <c r="I4956" s="225"/>
      <c r="K4956" s="9"/>
      <c r="L4956" s="9"/>
    </row>
    <row r="4957" s="105" customFormat="1" spans="9:12">
      <c r="I4957" s="225"/>
      <c r="K4957" s="9"/>
      <c r="L4957" s="9"/>
    </row>
    <row r="4958" s="105" customFormat="1" spans="9:12">
      <c r="I4958" s="225"/>
      <c r="K4958" s="9"/>
      <c r="L4958" s="9"/>
    </row>
    <row r="4959" s="105" customFormat="1" spans="9:12">
      <c r="I4959" s="225"/>
      <c r="K4959" s="9"/>
      <c r="L4959" s="9"/>
    </row>
    <row r="4960" s="105" customFormat="1" spans="9:12">
      <c r="I4960" s="225"/>
      <c r="K4960" s="9"/>
      <c r="L4960" s="9"/>
    </row>
    <row r="4961" s="105" customFormat="1" spans="9:12">
      <c r="I4961" s="225"/>
      <c r="K4961" s="9"/>
      <c r="L4961" s="9"/>
    </row>
    <row r="4962" s="105" customFormat="1" spans="9:12">
      <c r="I4962" s="225"/>
      <c r="K4962" s="9"/>
      <c r="L4962" s="9"/>
    </row>
    <row r="4963" s="105" customFormat="1" spans="9:12">
      <c r="I4963" s="225"/>
      <c r="K4963" s="9"/>
      <c r="L4963" s="9"/>
    </row>
    <row r="4964" s="105" customFormat="1" spans="9:12">
      <c r="I4964" s="225"/>
      <c r="K4964" s="9"/>
      <c r="L4964" s="9"/>
    </row>
    <row r="4965" s="105" customFormat="1" spans="9:12">
      <c r="I4965" s="225"/>
      <c r="K4965" s="9"/>
      <c r="L4965" s="9"/>
    </row>
    <row r="4966" s="105" customFormat="1" spans="9:12">
      <c r="I4966" s="225"/>
      <c r="K4966" s="9"/>
      <c r="L4966" s="9"/>
    </row>
    <row r="4967" s="105" customFormat="1" spans="9:12">
      <c r="I4967" s="225"/>
      <c r="K4967" s="9"/>
      <c r="L4967" s="9"/>
    </row>
    <row r="4968" s="105" customFormat="1" spans="9:12">
      <c r="I4968" s="225"/>
      <c r="K4968" s="9"/>
      <c r="L4968" s="9"/>
    </row>
    <row r="4969" s="105" customFormat="1" spans="9:12">
      <c r="I4969" s="225"/>
      <c r="K4969" s="9"/>
      <c r="L4969" s="9"/>
    </row>
    <row r="4970" s="105" customFormat="1" spans="9:12">
      <c r="I4970" s="225"/>
      <c r="K4970" s="9"/>
      <c r="L4970" s="9"/>
    </row>
    <row r="4971" s="105" customFormat="1" spans="9:12">
      <c r="I4971" s="225"/>
      <c r="K4971" s="9"/>
      <c r="L4971" s="9"/>
    </row>
    <row r="4972" s="105" customFormat="1" spans="9:12">
      <c r="I4972" s="225"/>
      <c r="K4972" s="9"/>
      <c r="L4972" s="9"/>
    </row>
    <row r="4973" s="105" customFormat="1" spans="9:12">
      <c r="I4973" s="225"/>
      <c r="K4973" s="9"/>
      <c r="L4973" s="9"/>
    </row>
    <row r="4974" s="105" customFormat="1" spans="9:12">
      <c r="I4974" s="225"/>
      <c r="K4974" s="9"/>
      <c r="L4974" s="9"/>
    </row>
    <row r="4975" s="105" customFormat="1" spans="9:12">
      <c r="I4975" s="225"/>
      <c r="K4975" s="9"/>
      <c r="L4975" s="9"/>
    </row>
    <row r="4976" s="105" customFormat="1" spans="9:12">
      <c r="I4976" s="225"/>
      <c r="K4976" s="9"/>
      <c r="L4976" s="9"/>
    </row>
    <row r="4977" s="105" customFormat="1" spans="9:12">
      <c r="I4977" s="225"/>
      <c r="K4977" s="9"/>
      <c r="L4977" s="9"/>
    </row>
    <row r="4978" s="105" customFormat="1" spans="9:12">
      <c r="I4978" s="225"/>
      <c r="K4978" s="9"/>
      <c r="L4978" s="9"/>
    </row>
    <row r="4979" s="105" customFormat="1" spans="9:12">
      <c r="I4979" s="225"/>
      <c r="K4979" s="9"/>
      <c r="L4979" s="9"/>
    </row>
    <row r="4980" s="105" customFormat="1" spans="9:12">
      <c r="I4980" s="225"/>
      <c r="K4980" s="9"/>
      <c r="L4980" s="9"/>
    </row>
    <row r="4981" s="105" customFormat="1" spans="9:12">
      <c r="I4981" s="225"/>
      <c r="K4981" s="9"/>
      <c r="L4981" s="9"/>
    </row>
    <row r="4982" s="105" customFormat="1" spans="9:12">
      <c r="I4982" s="225"/>
      <c r="K4982" s="9"/>
      <c r="L4982" s="9"/>
    </row>
    <row r="4983" s="105" customFormat="1" spans="9:12">
      <c r="I4983" s="225"/>
      <c r="K4983" s="9"/>
      <c r="L4983" s="9"/>
    </row>
    <row r="4984" s="105" customFormat="1" spans="9:12">
      <c r="I4984" s="225"/>
      <c r="K4984" s="9"/>
      <c r="L4984" s="9"/>
    </row>
    <row r="4985" s="105" customFormat="1" spans="9:12">
      <c r="I4985" s="225"/>
      <c r="K4985" s="9"/>
      <c r="L4985" s="9"/>
    </row>
    <row r="4986" s="105" customFormat="1" spans="9:12">
      <c r="I4986" s="225"/>
      <c r="K4986" s="9"/>
      <c r="L4986" s="9"/>
    </row>
    <row r="4987" s="105" customFormat="1" spans="9:12">
      <c r="I4987" s="225"/>
      <c r="K4987" s="9"/>
      <c r="L4987" s="9"/>
    </row>
    <row r="4988" s="105" customFormat="1" spans="9:12">
      <c r="I4988" s="225"/>
      <c r="K4988" s="9"/>
      <c r="L4988" s="9"/>
    </row>
    <row r="4989" s="105" customFormat="1" spans="9:12">
      <c r="I4989" s="225"/>
      <c r="K4989" s="9"/>
      <c r="L4989" s="9"/>
    </row>
    <row r="4990" s="105" customFormat="1" spans="9:12">
      <c r="I4990" s="225"/>
      <c r="K4990" s="9"/>
      <c r="L4990" s="9"/>
    </row>
    <row r="4991" s="105" customFormat="1" spans="9:12">
      <c r="I4991" s="225"/>
      <c r="K4991" s="9"/>
      <c r="L4991" s="9"/>
    </row>
    <row r="4992" s="105" customFormat="1" spans="9:12">
      <c r="I4992" s="225"/>
      <c r="K4992" s="9"/>
      <c r="L4992" s="9"/>
    </row>
    <row r="4993" s="105" customFormat="1" spans="9:12">
      <c r="I4993" s="225"/>
      <c r="K4993" s="9"/>
      <c r="L4993" s="9"/>
    </row>
    <row r="4994" s="105" customFormat="1" spans="9:12">
      <c r="I4994" s="225"/>
      <c r="K4994" s="9"/>
      <c r="L4994" s="9"/>
    </row>
    <row r="4995" s="105" customFormat="1" spans="9:12">
      <c r="I4995" s="225"/>
      <c r="K4995" s="9"/>
      <c r="L4995" s="9"/>
    </row>
    <row r="4996" s="105" customFormat="1" spans="9:12">
      <c r="I4996" s="225"/>
      <c r="K4996" s="9"/>
      <c r="L4996" s="9"/>
    </row>
    <row r="4997" s="105" customFormat="1" spans="9:12">
      <c r="I4997" s="225"/>
      <c r="K4997" s="9"/>
      <c r="L4997" s="9"/>
    </row>
    <row r="4998" s="105" customFormat="1" spans="9:12">
      <c r="I4998" s="225"/>
      <c r="K4998" s="9"/>
      <c r="L4998" s="9"/>
    </row>
    <row r="4999" s="105" customFormat="1" spans="9:12">
      <c r="I4999" s="225"/>
      <c r="K4999" s="9"/>
      <c r="L4999" s="9"/>
    </row>
    <row r="5000" s="105" customFormat="1" spans="9:12">
      <c r="I5000" s="225"/>
      <c r="K5000" s="9"/>
      <c r="L5000" s="9"/>
    </row>
    <row r="5001" s="105" customFormat="1" spans="9:12">
      <c r="I5001" s="225"/>
      <c r="K5001" s="9"/>
      <c r="L5001" s="9"/>
    </row>
    <row r="5002" s="105" customFormat="1" spans="9:12">
      <c r="I5002" s="225"/>
      <c r="K5002" s="9"/>
      <c r="L5002" s="9"/>
    </row>
    <row r="5003" s="105" customFormat="1" spans="9:12">
      <c r="I5003" s="225"/>
      <c r="K5003" s="9"/>
      <c r="L5003" s="9"/>
    </row>
    <row r="5004" s="105" customFormat="1" spans="9:12">
      <c r="I5004" s="225"/>
      <c r="K5004" s="9"/>
      <c r="L5004" s="9"/>
    </row>
    <row r="5005" s="105" customFormat="1" spans="9:12">
      <c r="I5005" s="225"/>
      <c r="K5005" s="9"/>
      <c r="L5005" s="9"/>
    </row>
    <row r="5006" s="105" customFormat="1" spans="9:12">
      <c r="I5006" s="225"/>
      <c r="K5006" s="9"/>
      <c r="L5006" s="9"/>
    </row>
    <row r="5007" s="105" customFormat="1" spans="9:12">
      <c r="I5007" s="225"/>
      <c r="K5007" s="9"/>
      <c r="L5007" s="9"/>
    </row>
    <row r="5008" s="105" customFormat="1" spans="9:12">
      <c r="I5008" s="225"/>
      <c r="K5008" s="9"/>
      <c r="L5008" s="9"/>
    </row>
    <row r="5009" s="105" customFormat="1" spans="9:12">
      <c r="I5009" s="225"/>
      <c r="K5009" s="9"/>
      <c r="L5009" s="9"/>
    </row>
    <row r="5010" s="105" customFormat="1" spans="9:12">
      <c r="I5010" s="225"/>
      <c r="K5010" s="9"/>
      <c r="L5010" s="9"/>
    </row>
    <row r="5011" s="105" customFormat="1" spans="9:12">
      <c r="I5011" s="225"/>
      <c r="K5011" s="9"/>
      <c r="L5011" s="9"/>
    </row>
    <row r="5012" s="105" customFormat="1" spans="9:12">
      <c r="I5012" s="225"/>
      <c r="K5012" s="9"/>
      <c r="L5012" s="9"/>
    </row>
    <row r="5013" s="105" customFormat="1" spans="9:12">
      <c r="I5013" s="225"/>
      <c r="K5013" s="9"/>
      <c r="L5013" s="9"/>
    </row>
    <row r="5014" s="105" customFormat="1" spans="9:12">
      <c r="I5014" s="225"/>
      <c r="K5014" s="9"/>
      <c r="L5014" s="9"/>
    </row>
    <row r="5015" s="105" customFormat="1" spans="9:12">
      <c r="I5015" s="225"/>
      <c r="K5015" s="9"/>
      <c r="L5015" s="9"/>
    </row>
    <row r="5016" s="105" customFormat="1" spans="9:12">
      <c r="I5016" s="225"/>
      <c r="K5016" s="9"/>
      <c r="L5016" s="9"/>
    </row>
    <row r="5017" s="105" customFormat="1" spans="9:12">
      <c r="I5017" s="225"/>
      <c r="K5017" s="9"/>
      <c r="L5017" s="9"/>
    </row>
    <row r="5018" s="105" customFormat="1" spans="9:12">
      <c r="I5018" s="225"/>
      <c r="K5018" s="9"/>
      <c r="L5018" s="9"/>
    </row>
    <row r="5019" s="105" customFormat="1" spans="9:12">
      <c r="I5019" s="225"/>
      <c r="K5019" s="9"/>
      <c r="L5019" s="9"/>
    </row>
    <row r="5020" s="105" customFormat="1" spans="9:12">
      <c r="I5020" s="225"/>
      <c r="K5020" s="9"/>
      <c r="L5020" s="9"/>
    </row>
    <row r="5021" s="105" customFormat="1" spans="9:12">
      <c r="I5021" s="225"/>
      <c r="K5021" s="9"/>
      <c r="L5021" s="9"/>
    </row>
    <row r="5022" s="105" customFormat="1" spans="9:12">
      <c r="I5022" s="225"/>
      <c r="K5022" s="9"/>
      <c r="L5022" s="9"/>
    </row>
    <row r="5023" s="105" customFormat="1" spans="9:12">
      <c r="I5023" s="225"/>
      <c r="K5023" s="9"/>
      <c r="L5023" s="9"/>
    </row>
    <row r="5024" s="105" customFormat="1" spans="9:12">
      <c r="I5024" s="225"/>
      <c r="K5024" s="9"/>
      <c r="L5024" s="9"/>
    </row>
    <row r="5025" s="105" customFormat="1" spans="9:12">
      <c r="I5025" s="225"/>
      <c r="K5025" s="9"/>
      <c r="L5025" s="9"/>
    </row>
    <row r="5026" s="105" customFormat="1" spans="9:12">
      <c r="I5026" s="225"/>
      <c r="K5026" s="9"/>
      <c r="L5026" s="9"/>
    </row>
    <row r="5027" s="105" customFormat="1" spans="9:12">
      <c r="I5027" s="225"/>
      <c r="K5027" s="9"/>
      <c r="L5027" s="9"/>
    </row>
    <row r="5028" s="105" customFormat="1" spans="9:12">
      <c r="I5028" s="225"/>
      <c r="K5028" s="9"/>
      <c r="L5028" s="9"/>
    </row>
    <row r="5029" s="105" customFormat="1" spans="9:12">
      <c r="I5029" s="225"/>
      <c r="K5029" s="9"/>
      <c r="L5029" s="9"/>
    </row>
    <row r="5030" s="105" customFormat="1" spans="9:12">
      <c r="I5030" s="225"/>
      <c r="K5030" s="9"/>
      <c r="L5030" s="9"/>
    </row>
    <row r="5031" s="105" customFormat="1" spans="9:12">
      <c r="I5031" s="225"/>
      <c r="K5031" s="9"/>
      <c r="L5031" s="9"/>
    </row>
    <row r="5032" s="105" customFormat="1" spans="9:12">
      <c r="I5032" s="225"/>
      <c r="K5032" s="9"/>
      <c r="L5032" s="9"/>
    </row>
    <row r="5033" s="105" customFormat="1" spans="9:12">
      <c r="I5033" s="225"/>
      <c r="K5033" s="9"/>
      <c r="L5033" s="9"/>
    </row>
    <row r="5034" s="105" customFormat="1" spans="9:12">
      <c r="I5034" s="225"/>
      <c r="K5034" s="9"/>
      <c r="L5034" s="9"/>
    </row>
    <row r="5035" s="105" customFormat="1" spans="9:12">
      <c r="I5035" s="225"/>
      <c r="K5035" s="9"/>
      <c r="L5035" s="9"/>
    </row>
    <row r="5036" s="105" customFormat="1" spans="9:12">
      <c r="I5036" s="225"/>
      <c r="K5036" s="9"/>
      <c r="L5036" s="9"/>
    </row>
    <row r="5037" s="105" customFormat="1" spans="9:12">
      <c r="I5037" s="225"/>
      <c r="K5037" s="9"/>
      <c r="L5037" s="9"/>
    </row>
    <row r="5038" s="105" customFormat="1" spans="9:12">
      <c r="I5038" s="225"/>
      <c r="K5038" s="9"/>
      <c r="L5038" s="9"/>
    </row>
    <row r="5039" s="105" customFormat="1" spans="9:12">
      <c r="I5039" s="225"/>
      <c r="K5039" s="9"/>
      <c r="L5039" s="9"/>
    </row>
    <row r="5040" s="105" customFormat="1" spans="9:12">
      <c r="I5040" s="225"/>
      <c r="K5040" s="9"/>
      <c r="L5040" s="9"/>
    </row>
    <row r="5041" s="105" customFormat="1" spans="9:12">
      <c r="I5041" s="225"/>
      <c r="K5041" s="9"/>
      <c r="L5041" s="9"/>
    </row>
    <row r="5042" s="105" customFormat="1" spans="9:12">
      <c r="I5042" s="225"/>
      <c r="K5042" s="9"/>
      <c r="L5042" s="9"/>
    </row>
    <row r="5043" s="105" customFormat="1" spans="9:12">
      <c r="I5043" s="225"/>
      <c r="K5043" s="9"/>
      <c r="L5043" s="9"/>
    </row>
    <row r="5044" s="105" customFormat="1" spans="9:12">
      <c r="I5044" s="225"/>
      <c r="K5044" s="9"/>
      <c r="L5044" s="9"/>
    </row>
    <row r="5045" s="105" customFormat="1" spans="9:12">
      <c r="I5045" s="225"/>
      <c r="K5045" s="9"/>
      <c r="L5045" s="9"/>
    </row>
    <row r="5046" s="105" customFormat="1" spans="9:12">
      <c r="I5046" s="225"/>
      <c r="K5046" s="9"/>
      <c r="L5046" s="9"/>
    </row>
    <row r="5047" s="105" customFormat="1" spans="9:12">
      <c r="I5047" s="225"/>
      <c r="K5047" s="9"/>
      <c r="L5047" s="9"/>
    </row>
    <row r="5048" s="105" customFormat="1" spans="9:12">
      <c r="I5048" s="225"/>
      <c r="K5048" s="9"/>
      <c r="L5048" s="9"/>
    </row>
    <row r="5049" s="105" customFormat="1" spans="9:12">
      <c r="I5049" s="225"/>
      <c r="K5049" s="9"/>
      <c r="L5049" s="9"/>
    </row>
    <row r="5050" s="105" customFormat="1" spans="9:12">
      <c r="I5050" s="225"/>
      <c r="K5050" s="9"/>
      <c r="L5050" s="9"/>
    </row>
    <row r="5051" s="105" customFormat="1" spans="9:12">
      <c r="I5051" s="225"/>
      <c r="K5051" s="9"/>
      <c r="L5051" s="9"/>
    </row>
    <row r="5052" s="105" customFormat="1" spans="9:12">
      <c r="I5052" s="225"/>
      <c r="K5052" s="9"/>
      <c r="L5052" s="9"/>
    </row>
    <row r="5053" s="105" customFormat="1" spans="9:12">
      <c r="I5053" s="225"/>
      <c r="K5053" s="9"/>
      <c r="L5053" s="9"/>
    </row>
    <row r="5054" s="105" customFormat="1" spans="9:12">
      <c r="I5054" s="225"/>
      <c r="K5054" s="9"/>
      <c r="L5054" s="9"/>
    </row>
    <row r="5055" s="105" customFormat="1" spans="9:12">
      <c r="I5055" s="225"/>
      <c r="K5055" s="9"/>
      <c r="L5055" s="9"/>
    </row>
    <row r="5056" s="105" customFormat="1" spans="9:12">
      <c r="I5056" s="225"/>
      <c r="K5056" s="9"/>
      <c r="L5056" s="9"/>
    </row>
    <row r="5057" s="105" customFormat="1" spans="9:12">
      <c r="I5057" s="225"/>
      <c r="K5057" s="9"/>
      <c r="L5057" s="9"/>
    </row>
    <row r="5058" s="105" customFormat="1" spans="9:12">
      <c r="I5058" s="225"/>
      <c r="K5058" s="9"/>
      <c r="L5058" s="9"/>
    </row>
    <row r="5059" s="105" customFormat="1" spans="9:12">
      <c r="I5059" s="225"/>
      <c r="K5059" s="9"/>
      <c r="L5059" s="9"/>
    </row>
    <row r="5060" s="105" customFormat="1" spans="9:12">
      <c r="I5060" s="225"/>
      <c r="K5060" s="9"/>
      <c r="L5060" s="9"/>
    </row>
    <row r="5061" s="105" customFormat="1" spans="9:12">
      <c r="I5061" s="225"/>
      <c r="K5061" s="9"/>
      <c r="L5061" s="9"/>
    </row>
    <row r="5062" s="105" customFormat="1" spans="9:12">
      <c r="I5062" s="225"/>
      <c r="K5062" s="9"/>
      <c r="L5062" s="9"/>
    </row>
    <row r="5063" s="105" customFormat="1" spans="9:12">
      <c r="I5063" s="225"/>
      <c r="K5063" s="9"/>
      <c r="L5063" s="9"/>
    </row>
    <row r="5064" s="105" customFormat="1" spans="9:12">
      <c r="I5064" s="225"/>
      <c r="K5064" s="9"/>
      <c r="L5064" s="9"/>
    </row>
    <row r="5065" s="105" customFormat="1" spans="9:12">
      <c r="I5065" s="225"/>
      <c r="K5065" s="9"/>
      <c r="L5065" s="9"/>
    </row>
    <row r="5066" s="105" customFormat="1" spans="9:12">
      <c r="I5066" s="225"/>
      <c r="K5066" s="9"/>
      <c r="L5066" s="9"/>
    </row>
    <row r="5067" s="105" customFormat="1" spans="9:12">
      <c r="I5067" s="225"/>
      <c r="K5067" s="9"/>
      <c r="L5067" s="9"/>
    </row>
    <row r="5068" s="105" customFormat="1" spans="9:12">
      <c r="I5068" s="225"/>
      <c r="K5068" s="9"/>
      <c r="L5068" s="9"/>
    </row>
    <row r="5069" s="105" customFormat="1" spans="9:12">
      <c r="I5069" s="225"/>
      <c r="K5069" s="9"/>
      <c r="L5069" s="9"/>
    </row>
    <row r="5070" s="105" customFormat="1" spans="9:12">
      <c r="I5070" s="225"/>
      <c r="K5070" s="9"/>
      <c r="L5070" s="9"/>
    </row>
    <row r="5071" s="105" customFormat="1" spans="9:12">
      <c r="I5071" s="225"/>
      <c r="K5071" s="9"/>
      <c r="L5071" s="9"/>
    </row>
    <row r="5072" s="105" customFormat="1" spans="9:12">
      <c r="I5072" s="225"/>
      <c r="K5072" s="9"/>
      <c r="L5072" s="9"/>
    </row>
    <row r="5073" s="105" customFormat="1" spans="9:12">
      <c r="I5073" s="225"/>
      <c r="K5073" s="9"/>
      <c r="L5073" s="9"/>
    </row>
    <row r="5074" s="105" customFormat="1" spans="9:12">
      <c r="I5074" s="225"/>
      <c r="K5074" s="9"/>
      <c r="L5074" s="9"/>
    </row>
    <row r="5075" s="105" customFormat="1" spans="9:12">
      <c r="I5075" s="225"/>
      <c r="K5075" s="9"/>
      <c r="L5075" s="9"/>
    </row>
    <row r="5076" s="105" customFormat="1" spans="9:12">
      <c r="I5076" s="225"/>
      <c r="K5076" s="9"/>
      <c r="L5076" s="9"/>
    </row>
    <row r="5077" s="105" customFormat="1" spans="9:12">
      <c r="I5077" s="225"/>
      <c r="K5077" s="9"/>
      <c r="L5077" s="9"/>
    </row>
    <row r="5078" s="105" customFormat="1" spans="9:12">
      <c r="I5078" s="225"/>
      <c r="K5078" s="9"/>
      <c r="L5078" s="9"/>
    </row>
    <row r="5079" s="105" customFormat="1" spans="9:12">
      <c r="I5079" s="225"/>
      <c r="K5079" s="9"/>
      <c r="L5079" s="9"/>
    </row>
    <row r="5080" s="105" customFormat="1" spans="9:12">
      <c r="I5080" s="225"/>
      <c r="K5080" s="9"/>
      <c r="L5080" s="9"/>
    </row>
    <row r="5081" s="105" customFormat="1" spans="9:12">
      <c r="I5081" s="225"/>
      <c r="K5081" s="9"/>
      <c r="L5081" s="9"/>
    </row>
    <row r="5082" s="105" customFormat="1" spans="9:12">
      <c r="I5082" s="225"/>
      <c r="K5082" s="9"/>
      <c r="L5082" s="9"/>
    </row>
    <row r="5083" s="105" customFormat="1" spans="9:12">
      <c r="I5083" s="225"/>
      <c r="K5083" s="9"/>
      <c r="L5083" s="9"/>
    </row>
    <row r="5084" s="105" customFormat="1" spans="9:12">
      <c r="I5084" s="225"/>
      <c r="K5084" s="9"/>
      <c r="L5084" s="9"/>
    </row>
    <row r="5085" s="105" customFormat="1" spans="9:12">
      <c r="I5085" s="225"/>
      <c r="K5085" s="9"/>
      <c r="L5085" s="9"/>
    </row>
    <row r="5086" s="105" customFormat="1" spans="9:12">
      <c r="I5086" s="225"/>
      <c r="K5086" s="9"/>
      <c r="L5086" s="9"/>
    </row>
    <row r="5087" s="105" customFormat="1" spans="9:12">
      <c r="I5087" s="225"/>
      <c r="K5087" s="9"/>
      <c r="L5087" s="9"/>
    </row>
    <row r="5088" s="105" customFormat="1" spans="9:12">
      <c r="I5088" s="225"/>
      <c r="K5088" s="9"/>
      <c r="L5088" s="9"/>
    </row>
    <row r="5089" s="105" customFormat="1" spans="9:12">
      <c r="I5089" s="225"/>
      <c r="K5089" s="9"/>
      <c r="L5089" s="9"/>
    </row>
    <row r="5090" s="105" customFormat="1" spans="9:12">
      <c r="I5090" s="225"/>
      <c r="K5090" s="9"/>
      <c r="L5090" s="9"/>
    </row>
    <row r="5091" s="105" customFormat="1" spans="9:12">
      <c r="I5091" s="225"/>
      <c r="K5091" s="9"/>
      <c r="L5091" s="9"/>
    </row>
    <row r="5092" s="105" customFormat="1" spans="9:12">
      <c r="I5092" s="225"/>
      <c r="K5092" s="9"/>
      <c r="L5092" s="9"/>
    </row>
    <row r="5093" s="105" customFormat="1" spans="9:12">
      <c r="I5093" s="225"/>
      <c r="K5093" s="9"/>
      <c r="L5093" s="9"/>
    </row>
    <row r="5094" s="105" customFormat="1" spans="9:12">
      <c r="I5094" s="225"/>
      <c r="K5094" s="9"/>
      <c r="L5094" s="9"/>
    </row>
    <row r="5095" s="105" customFormat="1" spans="9:12">
      <c r="I5095" s="225"/>
      <c r="K5095" s="9"/>
      <c r="L5095" s="9"/>
    </row>
    <row r="5096" s="105" customFormat="1" spans="9:12">
      <c r="I5096" s="225"/>
      <c r="K5096" s="9"/>
      <c r="L5096" s="9"/>
    </row>
    <row r="5097" s="105" customFormat="1" spans="9:12">
      <c r="I5097" s="225"/>
      <c r="K5097" s="9"/>
      <c r="L5097" s="9"/>
    </row>
    <row r="5098" s="105" customFormat="1" spans="9:12">
      <c r="I5098" s="225"/>
      <c r="K5098" s="9"/>
      <c r="L5098" s="9"/>
    </row>
    <row r="5099" s="105" customFormat="1" spans="9:12">
      <c r="I5099" s="225"/>
      <c r="K5099" s="9"/>
      <c r="L5099" s="9"/>
    </row>
    <row r="5100" s="105" customFormat="1" spans="9:12">
      <c r="I5100" s="225"/>
      <c r="K5100" s="9"/>
      <c r="L5100" s="9"/>
    </row>
    <row r="5101" s="105" customFormat="1" spans="9:12">
      <c r="I5101" s="225"/>
      <c r="K5101" s="9"/>
      <c r="L5101" s="9"/>
    </row>
    <row r="5102" s="105" customFormat="1" spans="9:12">
      <c r="I5102" s="225"/>
      <c r="K5102" s="9"/>
      <c r="L5102" s="9"/>
    </row>
    <row r="5103" s="105" customFormat="1" spans="9:12">
      <c r="I5103" s="225"/>
      <c r="K5103" s="9"/>
      <c r="L5103" s="9"/>
    </row>
    <row r="5104" s="105" customFormat="1" spans="9:12">
      <c r="I5104" s="225"/>
      <c r="K5104" s="9"/>
      <c r="L5104" s="9"/>
    </row>
    <row r="5105" s="105" customFormat="1" spans="9:12">
      <c r="I5105" s="225"/>
      <c r="K5105" s="9"/>
      <c r="L5105" s="9"/>
    </row>
    <row r="5106" s="105" customFormat="1" spans="9:12">
      <c r="I5106" s="225"/>
      <c r="K5106" s="9"/>
      <c r="L5106" s="9"/>
    </row>
    <row r="5107" s="105" customFormat="1" spans="9:12">
      <c r="I5107" s="225"/>
      <c r="K5107" s="9"/>
      <c r="L5107" s="9"/>
    </row>
    <row r="5108" s="105" customFormat="1" spans="9:12">
      <c r="I5108" s="225"/>
      <c r="K5108" s="9"/>
      <c r="L5108" s="9"/>
    </row>
    <row r="5109" s="105" customFormat="1" spans="9:12">
      <c r="I5109" s="225"/>
      <c r="K5109" s="9"/>
      <c r="L5109" s="9"/>
    </row>
    <row r="5110" s="105" customFormat="1" spans="9:12">
      <c r="I5110" s="225"/>
      <c r="K5110" s="9"/>
      <c r="L5110" s="9"/>
    </row>
    <row r="5111" s="105" customFormat="1" spans="9:12">
      <c r="I5111" s="225"/>
      <c r="K5111" s="9"/>
      <c r="L5111" s="9"/>
    </row>
    <row r="5112" s="105" customFormat="1" spans="9:12">
      <c r="I5112" s="225"/>
      <c r="K5112" s="9"/>
      <c r="L5112" s="9"/>
    </row>
    <row r="5113" s="105" customFormat="1" spans="9:12">
      <c r="I5113" s="225"/>
      <c r="K5113" s="9"/>
      <c r="L5113" s="9"/>
    </row>
    <row r="5114" s="105" customFormat="1" spans="9:12">
      <c r="I5114" s="225"/>
      <c r="K5114" s="9"/>
      <c r="L5114" s="9"/>
    </row>
    <row r="5115" s="105" customFormat="1" spans="9:12">
      <c r="I5115" s="225"/>
      <c r="K5115" s="9"/>
      <c r="L5115" s="9"/>
    </row>
    <row r="5116" s="105" customFormat="1" spans="9:12">
      <c r="I5116" s="225"/>
      <c r="K5116" s="9"/>
      <c r="L5116" s="9"/>
    </row>
    <row r="5117" s="105" customFormat="1" spans="9:12">
      <c r="I5117" s="225"/>
      <c r="K5117" s="9"/>
      <c r="L5117" s="9"/>
    </row>
    <row r="5118" s="105" customFormat="1" spans="9:12">
      <c r="I5118" s="225"/>
      <c r="K5118" s="9"/>
      <c r="L5118" s="9"/>
    </row>
    <row r="5119" s="105" customFormat="1" spans="9:12">
      <c r="I5119" s="225"/>
      <c r="K5119" s="9"/>
      <c r="L5119" s="9"/>
    </row>
    <row r="5120" s="105" customFormat="1" spans="9:12">
      <c r="I5120" s="225"/>
      <c r="K5120" s="9"/>
      <c r="L5120" s="9"/>
    </row>
    <row r="5121" s="105" customFormat="1" spans="9:12">
      <c r="I5121" s="225"/>
      <c r="K5121" s="9"/>
      <c r="L5121" s="9"/>
    </row>
    <row r="5122" s="105" customFormat="1" spans="9:12">
      <c r="I5122" s="225"/>
      <c r="K5122" s="9"/>
      <c r="L5122" s="9"/>
    </row>
    <row r="5123" s="105" customFormat="1" spans="9:12">
      <c r="I5123" s="225"/>
      <c r="K5123" s="9"/>
      <c r="L5123" s="9"/>
    </row>
    <row r="5124" s="105" customFormat="1" spans="9:12">
      <c r="I5124" s="225"/>
      <c r="K5124" s="9"/>
      <c r="L5124" s="9"/>
    </row>
    <row r="5125" s="105" customFormat="1" spans="9:12">
      <c r="I5125" s="225"/>
      <c r="K5125" s="9"/>
      <c r="L5125" s="9"/>
    </row>
    <row r="5126" s="105" customFormat="1" spans="9:12">
      <c r="I5126" s="225"/>
      <c r="K5126" s="9"/>
      <c r="L5126" s="9"/>
    </row>
    <row r="5127" s="105" customFormat="1" spans="9:12">
      <c r="I5127" s="225"/>
      <c r="K5127" s="9"/>
      <c r="L5127" s="9"/>
    </row>
    <row r="5128" s="105" customFormat="1" spans="9:12">
      <c r="I5128" s="225"/>
      <c r="K5128" s="9"/>
      <c r="L5128" s="9"/>
    </row>
    <row r="5129" s="105" customFormat="1" spans="9:12">
      <c r="I5129" s="225"/>
      <c r="K5129" s="9"/>
      <c r="L5129" s="9"/>
    </row>
    <row r="5130" s="105" customFormat="1" spans="9:12">
      <c r="I5130" s="225"/>
      <c r="K5130" s="9"/>
      <c r="L5130" s="9"/>
    </row>
    <row r="5131" s="105" customFormat="1" spans="9:12">
      <c r="I5131" s="225"/>
      <c r="K5131" s="9"/>
      <c r="L5131" s="9"/>
    </row>
    <row r="5132" s="105" customFormat="1" spans="9:12">
      <c r="I5132" s="225"/>
      <c r="K5132" s="9"/>
      <c r="L5132" s="9"/>
    </row>
    <row r="5133" s="105" customFormat="1" spans="9:12">
      <c r="I5133" s="225"/>
      <c r="K5133" s="9"/>
      <c r="L5133" s="9"/>
    </row>
    <row r="5134" s="105" customFormat="1" spans="9:12">
      <c r="I5134" s="225"/>
      <c r="K5134" s="9"/>
      <c r="L5134" s="9"/>
    </row>
    <row r="5135" s="105" customFormat="1" spans="9:12">
      <c r="I5135" s="225"/>
      <c r="K5135" s="9"/>
      <c r="L5135" s="9"/>
    </row>
    <row r="5136" s="105" customFormat="1" spans="9:12">
      <c r="I5136" s="225"/>
      <c r="K5136" s="9"/>
      <c r="L5136" s="9"/>
    </row>
    <row r="5137" s="105" customFormat="1" spans="9:12">
      <c r="I5137" s="225"/>
      <c r="K5137" s="9"/>
      <c r="L5137" s="9"/>
    </row>
    <row r="5138" s="105" customFormat="1" spans="9:12">
      <c r="I5138" s="225"/>
      <c r="K5138" s="9"/>
      <c r="L5138" s="9"/>
    </row>
    <row r="5139" s="105" customFormat="1" spans="9:12">
      <c r="I5139" s="225"/>
      <c r="K5139" s="9"/>
      <c r="L5139" s="9"/>
    </row>
    <row r="5140" s="105" customFormat="1" spans="9:12">
      <c r="I5140" s="225"/>
      <c r="K5140" s="9"/>
      <c r="L5140" s="9"/>
    </row>
    <row r="5141" s="105" customFormat="1" spans="9:12">
      <c r="I5141" s="225"/>
      <c r="K5141" s="9"/>
      <c r="L5141" s="9"/>
    </row>
    <row r="5142" s="105" customFormat="1" spans="9:12">
      <c r="I5142" s="225"/>
      <c r="K5142" s="9"/>
      <c r="L5142" s="9"/>
    </row>
    <row r="5143" s="105" customFormat="1" spans="9:12">
      <c r="I5143" s="225"/>
      <c r="K5143" s="9"/>
      <c r="L5143" s="9"/>
    </row>
    <row r="5144" s="105" customFormat="1" spans="9:12">
      <c r="I5144" s="225"/>
      <c r="K5144" s="9"/>
      <c r="L5144" s="9"/>
    </row>
    <row r="5145" s="105" customFormat="1" spans="9:12">
      <c r="I5145" s="225"/>
      <c r="K5145" s="9"/>
      <c r="L5145" s="9"/>
    </row>
    <row r="5146" s="105" customFormat="1" spans="9:12">
      <c r="I5146" s="225"/>
      <c r="K5146" s="9"/>
      <c r="L5146" s="9"/>
    </row>
    <row r="5147" s="105" customFormat="1" spans="9:12">
      <c r="I5147" s="225"/>
      <c r="K5147" s="9"/>
      <c r="L5147" s="9"/>
    </row>
    <row r="5148" s="105" customFormat="1" spans="9:12">
      <c r="I5148" s="225"/>
      <c r="K5148" s="9"/>
      <c r="L5148" s="9"/>
    </row>
    <row r="5149" s="105" customFormat="1" spans="9:12">
      <c r="I5149" s="225"/>
      <c r="K5149" s="9"/>
      <c r="L5149" s="9"/>
    </row>
    <row r="5150" s="105" customFormat="1" spans="9:12">
      <c r="I5150" s="225"/>
      <c r="K5150" s="9"/>
      <c r="L5150" s="9"/>
    </row>
    <row r="5151" s="105" customFormat="1" spans="9:12">
      <c r="I5151" s="225"/>
      <c r="K5151" s="9"/>
      <c r="L5151" s="9"/>
    </row>
    <row r="5152" s="105" customFormat="1" spans="9:12">
      <c r="I5152" s="225"/>
      <c r="K5152" s="9"/>
      <c r="L5152" s="9"/>
    </row>
    <row r="5153" s="105" customFormat="1" spans="9:12">
      <c r="I5153" s="225"/>
      <c r="K5153" s="9"/>
      <c r="L5153" s="9"/>
    </row>
    <row r="5154" s="105" customFormat="1" spans="9:12">
      <c r="I5154" s="225"/>
      <c r="K5154" s="9"/>
      <c r="L5154" s="9"/>
    </row>
    <row r="5155" s="105" customFormat="1" spans="9:12">
      <c r="I5155" s="225"/>
      <c r="K5155" s="9"/>
      <c r="L5155" s="9"/>
    </row>
    <row r="5156" s="105" customFormat="1" spans="9:12">
      <c r="I5156" s="225"/>
      <c r="K5156" s="9"/>
      <c r="L5156" s="9"/>
    </row>
    <row r="5157" s="105" customFormat="1" spans="9:12">
      <c r="I5157" s="225"/>
      <c r="K5157" s="9"/>
      <c r="L5157" s="9"/>
    </row>
    <row r="5158" s="105" customFormat="1" spans="9:12">
      <c r="I5158" s="225"/>
      <c r="K5158" s="9"/>
      <c r="L5158" s="9"/>
    </row>
    <row r="5159" s="105" customFormat="1" spans="9:12">
      <c r="I5159" s="225"/>
      <c r="K5159" s="9"/>
      <c r="L5159" s="9"/>
    </row>
    <row r="5160" s="105" customFormat="1" spans="9:12">
      <c r="I5160" s="225"/>
      <c r="K5160" s="9"/>
      <c r="L5160" s="9"/>
    </row>
    <row r="5161" s="105" customFormat="1" spans="9:12">
      <c r="I5161" s="225"/>
      <c r="K5161" s="9"/>
      <c r="L5161" s="9"/>
    </row>
    <row r="5162" s="105" customFormat="1" spans="9:12">
      <c r="I5162" s="225"/>
      <c r="K5162" s="9"/>
      <c r="L5162" s="9"/>
    </row>
    <row r="5163" s="105" customFormat="1" spans="9:12">
      <c r="I5163" s="225"/>
      <c r="K5163" s="9"/>
      <c r="L5163" s="9"/>
    </row>
    <row r="5164" s="105" customFormat="1" spans="9:12">
      <c r="I5164" s="225"/>
      <c r="K5164" s="9"/>
      <c r="L5164" s="9"/>
    </row>
    <row r="5165" s="105" customFormat="1" spans="9:12">
      <c r="I5165" s="225"/>
      <c r="K5165" s="9"/>
      <c r="L5165" s="9"/>
    </row>
    <row r="5166" s="105" customFormat="1" spans="9:12">
      <c r="I5166" s="225"/>
      <c r="K5166" s="9"/>
      <c r="L5166" s="9"/>
    </row>
    <row r="5167" s="105" customFormat="1" spans="9:12">
      <c r="I5167" s="225"/>
      <c r="K5167" s="9"/>
      <c r="L5167" s="9"/>
    </row>
    <row r="5168" s="105" customFormat="1" spans="9:12">
      <c r="I5168" s="225"/>
      <c r="K5168" s="9"/>
      <c r="L5168" s="9"/>
    </row>
    <row r="5169" s="105" customFormat="1" spans="9:12">
      <c r="I5169" s="225"/>
      <c r="K5169" s="9"/>
      <c r="L5169" s="9"/>
    </row>
    <row r="5170" s="105" customFormat="1" spans="9:12">
      <c r="I5170" s="225"/>
      <c r="K5170" s="9"/>
      <c r="L5170" s="9"/>
    </row>
    <row r="5171" s="105" customFormat="1" spans="9:12">
      <c r="I5171" s="225"/>
      <c r="K5171" s="9"/>
      <c r="L5171" s="9"/>
    </row>
    <row r="5172" s="105" customFormat="1" spans="9:12">
      <c r="I5172" s="225"/>
      <c r="K5172" s="9"/>
      <c r="L5172" s="9"/>
    </row>
    <row r="5173" s="105" customFormat="1" spans="9:12">
      <c r="I5173" s="225"/>
      <c r="K5173" s="9"/>
      <c r="L5173" s="9"/>
    </row>
    <row r="5174" s="105" customFormat="1" spans="9:12">
      <c r="I5174" s="225"/>
      <c r="K5174" s="9"/>
      <c r="L5174" s="9"/>
    </row>
    <row r="5175" s="105" customFormat="1" spans="9:12">
      <c r="I5175" s="225"/>
      <c r="K5175" s="9"/>
      <c r="L5175" s="9"/>
    </row>
    <row r="5176" s="105" customFormat="1" spans="9:12">
      <c r="I5176" s="225"/>
      <c r="K5176" s="9"/>
      <c r="L5176" s="9"/>
    </row>
    <row r="5177" s="105" customFormat="1" spans="9:12">
      <c r="I5177" s="225"/>
      <c r="K5177" s="9"/>
      <c r="L5177" s="9"/>
    </row>
    <row r="5178" s="105" customFormat="1" spans="9:12">
      <c r="I5178" s="225"/>
      <c r="K5178" s="9"/>
      <c r="L5178" s="9"/>
    </row>
    <row r="5179" s="105" customFormat="1" spans="9:12">
      <c r="I5179" s="225"/>
      <c r="K5179" s="9"/>
      <c r="L5179" s="9"/>
    </row>
    <row r="5180" s="105" customFormat="1" spans="9:12">
      <c r="I5180" s="225"/>
      <c r="K5180" s="9"/>
      <c r="L5180" s="9"/>
    </row>
    <row r="5181" s="105" customFormat="1" spans="9:12">
      <c r="I5181" s="225"/>
      <c r="K5181" s="9"/>
      <c r="L5181" s="9"/>
    </row>
    <row r="5182" s="105" customFormat="1" spans="9:12">
      <c r="I5182" s="225"/>
      <c r="K5182" s="9"/>
      <c r="L5182" s="9"/>
    </row>
    <row r="5183" s="105" customFormat="1" spans="9:12">
      <c r="I5183" s="225"/>
      <c r="K5183" s="9"/>
      <c r="L5183" s="9"/>
    </row>
    <row r="5184" s="105" customFormat="1" spans="9:12">
      <c r="I5184" s="225"/>
      <c r="K5184" s="9"/>
      <c r="L5184" s="9"/>
    </row>
    <row r="5185" s="105" customFormat="1" spans="9:12">
      <c r="I5185" s="225"/>
      <c r="K5185" s="9"/>
      <c r="L5185" s="9"/>
    </row>
    <row r="5186" s="105" customFormat="1" spans="9:12">
      <c r="I5186" s="225"/>
      <c r="K5186" s="9"/>
      <c r="L5186" s="9"/>
    </row>
    <row r="5187" s="105" customFormat="1" spans="9:12">
      <c r="I5187" s="225"/>
      <c r="K5187" s="9"/>
      <c r="L5187" s="9"/>
    </row>
    <row r="5188" s="105" customFormat="1" spans="9:12">
      <c r="I5188" s="225"/>
      <c r="K5188" s="9"/>
      <c r="L5188" s="9"/>
    </row>
    <row r="5189" s="105" customFormat="1" spans="9:12">
      <c r="I5189" s="225"/>
      <c r="K5189" s="9"/>
      <c r="L5189" s="9"/>
    </row>
    <row r="5190" s="105" customFormat="1" spans="9:12">
      <c r="I5190" s="225"/>
      <c r="K5190" s="9"/>
      <c r="L5190" s="9"/>
    </row>
    <row r="5191" s="105" customFormat="1" spans="9:12">
      <c r="I5191" s="225"/>
      <c r="K5191" s="9"/>
      <c r="L5191" s="9"/>
    </row>
    <row r="5192" s="105" customFormat="1" spans="9:12">
      <c r="I5192" s="225"/>
      <c r="K5192" s="9"/>
      <c r="L5192" s="9"/>
    </row>
    <row r="5193" s="105" customFormat="1" spans="9:12">
      <c r="I5193" s="225"/>
      <c r="K5193" s="9"/>
      <c r="L5193" s="9"/>
    </row>
    <row r="5194" s="105" customFormat="1" spans="9:12">
      <c r="I5194" s="225"/>
      <c r="K5194" s="9"/>
      <c r="L5194" s="9"/>
    </row>
    <row r="5195" s="105" customFormat="1" spans="9:12">
      <c r="I5195" s="225"/>
      <c r="K5195" s="9"/>
      <c r="L5195" s="9"/>
    </row>
    <row r="5196" s="105" customFormat="1" spans="9:12">
      <c r="I5196" s="225"/>
      <c r="K5196" s="9"/>
      <c r="L5196" s="9"/>
    </row>
    <row r="5197" s="105" customFormat="1" spans="9:12">
      <c r="I5197" s="225"/>
      <c r="K5197" s="9"/>
      <c r="L5197" s="9"/>
    </row>
    <row r="5198" s="105" customFormat="1" spans="9:12">
      <c r="I5198" s="225"/>
      <c r="K5198" s="9"/>
      <c r="L5198" s="9"/>
    </row>
    <row r="5199" s="105" customFormat="1" spans="9:12">
      <c r="I5199" s="225"/>
      <c r="K5199" s="9"/>
      <c r="L5199" s="9"/>
    </row>
    <row r="5200" s="105" customFormat="1" spans="9:12">
      <c r="I5200" s="225"/>
      <c r="K5200" s="9"/>
      <c r="L5200" s="9"/>
    </row>
    <row r="5201" s="105" customFormat="1" spans="9:12">
      <c r="I5201" s="225"/>
      <c r="K5201" s="9"/>
      <c r="L5201" s="9"/>
    </row>
    <row r="5202" s="105" customFormat="1" spans="9:12">
      <c r="I5202" s="225"/>
      <c r="K5202" s="9"/>
      <c r="L5202" s="9"/>
    </row>
    <row r="5203" s="105" customFormat="1" spans="9:12">
      <c r="I5203" s="225"/>
      <c r="K5203" s="9"/>
      <c r="L5203" s="9"/>
    </row>
    <row r="5204" s="105" customFormat="1" spans="9:12">
      <c r="I5204" s="225"/>
      <c r="K5204" s="9"/>
      <c r="L5204" s="9"/>
    </row>
    <row r="5205" s="105" customFormat="1" spans="9:12">
      <c r="I5205" s="225"/>
      <c r="K5205" s="9"/>
      <c r="L5205" s="9"/>
    </row>
    <row r="5206" s="105" customFormat="1" spans="9:12">
      <c r="I5206" s="225"/>
      <c r="K5206" s="9"/>
      <c r="L5206" s="9"/>
    </row>
    <row r="5207" s="105" customFormat="1" spans="9:12">
      <c r="I5207" s="225"/>
      <c r="K5207" s="9"/>
      <c r="L5207" s="9"/>
    </row>
    <row r="5208" s="105" customFormat="1" spans="9:12">
      <c r="I5208" s="225"/>
      <c r="K5208" s="9"/>
      <c r="L5208" s="9"/>
    </row>
    <row r="5209" s="105" customFormat="1" spans="9:12">
      <c r="I5209" s="225"/>
      <c r="K5209" s="9"/>
      <c r="L5209" s="9"/>
    </row>
    <row r="5210" s="105" customFormat="1" spans="9:12">
      <c r="I5210" s="225"/>
      <c r="K5210" s="9"/>
      <c r="L5210" s="9"/>
    </row>
    <row r="5211" s="105" customFormat="1" spans="9:12">
      <c r="I5211" s="225"/>
      <c r="K5211" s="9"/>
      <c r="L5211" s="9"/>
    </row>
    <row r="5212" s="105" customFormat="1" spans="9:12">
      <c r="I5212" s="225"/>
      <c r="K5212" s="9"/>
      <c r="L5212" s="9"/>
    </row>
    <row r="5213" s="105" customFormat="1" spans="9:12">
      <c r="I5213" s="225"/>
      <c r="K5213" s="9"/>
      <c r="L5213" s="9"/>
    </row>
    <row r="5214" s="105" customFormat="1" spans="9:12">
      <c r="I5214" s="225"/>
      <c r="K5214" s="9"/>
      <c r="L5214" s="9"/>
    </row>
    <row r="5215" s="105" customFormat="1" spans="9:12">
      <c r="I5215" s="225"/>
      <c r="K5215" s="9"/>
      <c r="L5215" s="9"/>
    </row>
    <row r="5216" s="105" customFormat="1" spans="9:12">
      <c r="I5216" s="225"/>
      <c r="K5216" s="9"/>
      <c r="L5216" s="9"/>
    </row>
    <row r="5217" s="105" customFormat="1" spans="9:12">
      <c r="I5217" s="225"/>
      <c r="K5217" s="9"/>
      <c r="L5217" s="9"/>
    </row>
    <row r="5218" s="105" customFormat="1" spans="9:12">
      <c r="I5218" s="225"/>
      <c r="K5218" s="9"/>
      <c r="L5218" s="9"/>
    </row>
    <row r="5219" s="105" customFormat="1" spans="9:12">
      <c r="I5219" s="225"/>
      <c r="K5219" s="9"/>
      <c r="L5219" s="9"/>
    </row>
    <row r="5220" s="105" customFormat="1" spans="9:12">
      <c r="I5220" s="225"/>
      <c r="K5220" s="9"/>
      <c r="L5220" s="9"/>
    </row>
    <row r="5221" s="105" customFormat="1" spans="9:12">
      <c r="I5221" s="225"/>
      <c r="K5221" s="9"/>
      <c r="L5221" s="9"/>
    </row>
    <row r="5222" s="105" customFormat="1" spans="9:12">
      <c r="I5222" s="225"/>
      <c r="K5222" s="9"/>
      <c r="L5222" s="9"/>
    </row>
    <row r="5223" s="105" customFormat="1" spans="9:12">
      <c r="I5223" s="225"/>
      <c r="K5223" s="9"/>
      <c r="L5223" s="9"/>
    </row>
    <row r="5224" s="105" customFormat="1" spans="9:12">
      <c r="I5224" s="225"/>
      <c r="K5224" s="9"/>
      <c r="L5224" s="9"/>
    </row>
    <row r="5225" s="105" customFormat="1" spans="9:12">
      <c r="I5225" s="225"/>
      <c r="K5225" s="9"/>
      <c r="L5225" s="9"/>
    </row>
    <row r="5226" s="105" customFormat="1" spans="9:12">
      <c r="I5226" s="225"/>
      <c r="K5226" s="9"/>
      <c r="L5226" s="9"/>
    </row>
    <row r="5227" s="105" customFormat="1" spans="9:12">
      <c r="I5227" s="225"/>
      <c r="K5227" s="9"/>
      <c r="L5227" s="9"/>
    </row>
    <row r="5228" s="105" customFormat="1" spans="9:12">
      <c r="I5228" s="225"/>
      <c r="K5228" s="9"/>
      <c r="L5228" s="9"/>
    </row>
    <row r="5229" s="105" customFormat="1" spans="9:12">
      <c r="I5229" s="225"/>
      <c r="K5229" s="9"/>
      <c r="L5229" s="9"/>
    </row>
    <row r="5230" s="105" customFormat="1" spans="9:12">
      <c r="I5230" s="225"/>
      <c r="K5230" s="9"/>
      <c r="L5230" s="9"/>
    </row>
    <row r="5231" s="105" customFormat="1" spans="9:12">
      <c r="I5231" s="225"/>
      <c r="K5231" s="9"/>
      <c r="L5231" s="9"/>
    </row>
    <row r="5232" s="105" customFormat="1" spans="9:12">
      <c r="I5232" s="225"/>
      <c r="K5232" s="9"/>
      <c r="L5232" s="9"/>
    </row>
    <row r="5233" s="105" customFormat="1" spans="9:12">
      <c r="I5233" s="225"/>
      <c r="K5233" s="9"/>
      <c r="L5233" s="9"/>
    </row>
    <row r="5234" s="105" customFormat="1" spans="9:12">
      <c r="I5234" s="225"/>
      <c r="K5234" s="9"/>
      <c r="L5234" s="9"/>
    </row>
    <row r="5235" s="105" customFormat="1" spans="9:12">
      <c r="I5235" s="225"/>
      <c r="K5235" s="9"/>
      <c r="L5235" s="9"/>
    </row>
    <row r="5236" s="105" customFormat="1" spans="9:12">
      <c r="I5236" s="225"/>
      <c r="K5236" s="9"/>
      <c r="L5236" s="9"/>
    </row>
    <row r="5237" s="105" customFormat="1" spans="9:12">
      <c r="I5237" s="225"/>
      <c r="K5237" s="9"/>
      <c r="L5237" s="9"/>
    </row>
    <row r="5238" s="105" customFormat="1" spans="9:12">
      <c r="I5238" s="225"/>
      <c r="K5238" s="9"/>
      <c r="L5238" s="9"/>
    </row>
    <row r="5239" s="105" customFormat="1" spans="9:12">
      <c r="I5239" s="225"/>
      <c r="K5239" s="9"/>
      <c r="L5239" s="9"/>
    </row>
    <row r="5240" s="105" customFormat="1" spans="9:12">
      <c r="I5240" s="225"/>
      <c r="K5240" s="9"/>
      <c r="L5240" s="9"/>
    </row>
    <row r="5241" s="105" customFormat="1" spans="9:12">
      <c r="I5241" s="225"/>
      <c r="K5241" s="9"/>
      <c r="L5241" s="9"/>
    </row>
    <row r="5242" s="105" customFormat="1" spans="9:12">
      <c r="I5242" s="225"/>
      <c r="K5242" s="9"/>
      <c r="L5242" s="9"/>
    </row>
    <row r="5243" s="105" customFormat="1" spans="9:12">
      <c r="I5243" s="225"/>
      <c r="K5243" s="9"/>
      <c r="L5243" s="9"/>
    </row>
    <row r="5244" s="105" customFormat="1" spans="9:12">
      <c r="I5244" s="225"/>
      <c r="K5244" s="9"/>
      <c r="L5244" s="9"/>
    </row>
    <row r="5245" s="105" customFormat="1" spans="9:12">
      <c r="I5245" s="225"/>
      <c r="K5245" s="9"/>
      <c r="L5245" s="9"/>
    </row>
    <row r="5246" s="105" customFormat="1" spans="9:12">
      <c r="I5246" s="225"/>
      <c r="K5246" s="9"/>
      <c r="L5246" s="9"/>
    </row>
    <row r="5247" s="105" customFormat="1" spans="9:12">
      <c r="I5247" s="225"/>
      <c r="K5247" s="9"/>
      <c r="L5247" s="9"/>
    </row>
    <row r="5248" s="105" customFormat="1" spans="9:12">
      <c r="I5248" s="225"/>
      <c r="K5248" s="9"/>
      <c r="L5248" s="9"/>
    </row>
    <row r="5249" s="105" customFormat="1" spans="9:12">
      <c r="I5249" s="225"/>
      <c r="K5249" s="9"/>
      <c r="L5249" s="9"/>
    </row>
    <row r="5250" s="105" customFormat="1" spans="9:12">
      <c r="I5250" s="225"/>
      <c r="K5250" s="9"/>
      <c r="L5250" s="9"/>
    </row>
    <row r="5251" s="105" customFormat="1" spans="9:12">
      <c r="I5251" s="225"/>
      <c r="K5251" s="9"/>
      <c r="L5251" s="9"/>
    </row>
    <row r="5252" s="105" customFormat="1" spans="9:12">
      <c r="I5252" s="225"/>
      <c r="K5252" s="9"/>
      <c r="L5252" s="9"/>
    </row>
    <row r="5253" s="105" customFormat="1" spans="9:12">
      <c r="I5253" s="225"/>
      <c r="K5253" s="9"/>
      <c r="L5253" s="9"/>
    </row>
    <row r="5254" s="105" customFormat="1" spans="9:12">
      <c r="I5254" s="225"/>
      <c r="K5254" s="9"/>
      <c r="L5254" s="9"/>
    </row>
    <row r="5255" s="105" customFormat="1" spans="9:12">
      <c r="I5255" s="225"/>
      <c r="K5255" s="9"/>
      <c r="L5255" s="9"/>
    </row>
    <row r="5256" s="105" customFormat="1" spans="9:12">
      <c r="I5256" s="225"/>
      <c r="K5256" s="9"/>
      <c r="L5256" s="9"/>
    </row>
    <row r="5257" s="105" customFormat="1" spans="9:12">
      <c r="I5257" s="225"/>
      <c r="K5257" s="9"/>
      <c r="L5257" s="9"/>
    </row>
    <row r="5258" s="105" customFormat="1" spans="9:12">
      <c r="I5258" s="225"/>
      <c r="K5258" s="9"/>
      <c r="L5258" s="9"/>
    </row>
    <row r="5259" s="105" customFormat="1" spans="9:12">
      <c r="I5259" s="225"/>
      <c r="K5259" s="9"/>
      <c r="L5259" s="9"/>
    </row>
    <row r="5260" s="105" customFormat="1" spans="9:12">
      <c r="I5260" s="225"/>
      <c r="K5260" s="9"/>
      <c r="L5260" s="9"/>
    </row>
    <row r="5261" s="105" customFormat="1" spans="9:12">
      <c r="I5261" s="225"/>
      <c r="K5261" s="9"/>
      <c r="L5261" s="9"/>
    </row>
    <row r="5262" s="105" customFormat="1" spans="9:12">
      <c r="I5262" s="225"/>
      <c r="K5262" s="9"/>
      <c r="L5262" s="9"/>
    </row>
    <row r="5263" s="105" customFormat="1" spans="9:12">
      <c r="I5263" s="225"/>
      <c r="K5263" s="9"/>
      <c r="L5263" s="9"/>
    </row>
    <row r="5264" s="105" customFormat="1" spans="9:12">
      <c r="I5264" s="225"/>
      <c r="K5264" s="9"/>
      <c r="L5264" s="9"/>
    </row>
    <row r="5265" s="105" customFormat="1" spans="9:12">
      <c r="I5265" s="225"/>
      <c r="K5265" s="9"/>
      <c r="L5265" s="9"/>
    </row>
    <row r="5266" s="105" customFormat="1" spans="9:12">
      <c r="I5266" s="225"/>
      <c r="K5266" s="9"/>
      <c r="L5266" s="9"/>
    </row>
    <row r="5267" s="105" customFormat="1" spans="9:12">
      <c r="I5267" s="225"/>
      <c r="K5267" s="9"/>
      <c r="L5267" s="9"/>
    </row>
    <row r="5268" s="105" customFormat="1" spans="9:12">
      <c r="I5268" s="225"/>
      <c r="K5268" s="9"/>
      <c r="L5268" s="9"/>
    </row>
    <row r="5269" s="105" customFormat="1" spans="9:12">
      <c r="I5269" s="225"/>
      <c r="K5269" s="9"/>
      <c r="L5269" s="9"/>
    </row>
    <row r="5270" s="105" customFormat="1" spans="9:12">
      <c r="I5270" s="225"/>
      <c r="K5270" s="9"/>
      <c r="L5270" s="9"/>
    </row>
    <row r="5271" s="105" customFormat="1" spans="9:12">
      <c r="I5271" s="225"/>
      <c r="K5271" s="9"/>
      <c r="L5271" s="9"/>
    </row>
    <row r="5272" s="105" customFormat="1" spans="9:12">
      <c r="I5272" s="225"/>
      <c r="K5272" s="9"/>
      <c r="L5272" s="9"/>
    </row>
    <row r="5273" s="105" customFormat="1" spans="9:12">
      <c r="I5273" s="225"/>
      <c r="K5273" s="9"/>
      <c r="L5273" s="9"/>
    </row>
    <row r="5274" s="105" customFormat="1" spans="9:12">
      <c r="I5274" s="225"/>
      <c r="K5274" s="9"/>
      <c r="L5274" s="9"/>
    </row>
    <row r="5275" s="105" customFormat="1" spans="9:12">
      <c r="I5275" s="225"/>
      <c r="K5275" s="9"/>
      <c r="L5275" s="9"/>
    </row>
    <row r="5276" s="105" customFormat="1" spans="9:12">
      <c r="I5276" s="225"/>
      <c r="K5276" s="9"/>
      <c r="L5276" s="9"/>
    </row>
    <row r="5277" s="105" customFormat="1" spans="9:12">
      <c r="I5277" s="225"/>
      <c r="K5277" s="9"/>
      <c r="L5277" s="9"/>
    </row>
    <row r="5278" s="105" customFormat="1" spans="9:12">
      <c r="I5278" s="225"/>
      <c r="K5278" s="9"/>
      <c r="L5278" s="9"/>
    </row>
    <row r="5279" s="105" customFormat="1" spans="9:12">
      <c r="I5279" s="225"/>
      <c r="K5279" s="9"/>
      <c r="L5279" s="9"/>
    </row>
    <row r="5280" s="105" customFormat="1" spans="9:12">
      <c r="I5280" s="225"/>
      <c r="K5280" s="9"/>
      <c r="L5280" s="9"/>
    </row>
    <row r="5281" s="105" customFormat="1" spans="9:12">
      <c r="I5281" s="225"/>
      <c r="K5281" s="9"/>
      <c r="L5281" s="9"/>
    </row>
    <row r="5282" s="105" customFormat="1" spans="9:12">
      <c r="I5282" s="225"/>
      <c r="K5282" s="9"/>
      <c r="L5282" s="9"/>
    </row>
    <row r="5283" s="105" customFormat="1" spans="9:12">
      <c r="I5283" s="225"/>
      <c r="K5283" s="9"/>
      <c r="L5283" s="9"/>
    </row>
    <row r="5284" s="105" customFormat="1" spans="9:12">
      <c r="I5284" s="225"/>
      <c r="K5284" s="9"/>
      <c r="L5284" s="9"/>
    </row>
    <row r="5285" s="105" customFormat="1" spans="9:12">
      <c r="I5285" s="225"/>
      <c r="K5285" s="9"/>
      <c r="L5285" s="9"/>
    </row>
    <row r="5286" s="105" customFormat="1" spans="9:12">
      <c r="I5286" s="225"/>
      <c r="K5286" s="9"/>
      <c r="L5286" s="9"/>
    </row>
    <row r="5287" s="105" customFormat="1" spans="9:12">
      <c r="I5287" s="225"/>
      <c r="K5287" s="9"/>
      <c r="L5287" s="9"/>
    </row>
    <row r="5288" s="105" customFormat="1" spans="9:12">
      <c r="I5288" s="225"/>
      <c r="K5288" s="9"/>
      <c r="L5288" s="9"/>
    </row>
    <row r="5289" s="105" customFormat="1" spans="9:12">
      <c r="I5289" s="225"/>
      <c r="K5289" s="9"/>
      <c r="L5289" s="9"/>
    </row>
    <row r="5290" s="105" customFormat="1" spans="9:12">
      <c r="I5290" s="225"/>
      <c r="K5290" s="9"/>
      <c r="L5290" s="9"/>
    </row>
    <row r="5291" s="105" customFormat="1" spans="9:12">
      <c r="I5291" s="225"/>
      <c r="K5291" s="9"/>
      <c r="L5291" s="9"/>
    </row>
    <row r="5292" s="105" customFormat="1" spans="9:12">
      <c r="I5292" s="225"/>
      <c r="K5292" s="9"/>
      <c r="L5292" s="9"/>
    </row>
    <row r="5293" s="105" customFormat="1" spans="9:12">
      <c r="I5293" s="225"/>
      <c r="K5293" s="9"/>
      <c r="L5293" s="9"/>
    </row>
    <row r="5294" s="105" customFormat="1" spans="9:12">
      <c r="I5294" s="225"/>
      <c r="K5294" s="9"/>
      <c r="L5294" s="9"/>
    </row>
    <row r="5295" s="105" customFormat="1" spans="9:12">
      <c r="I5295" s="225"/>
      <c r="K5295" s="9"/>
      <c r="L5295" s="9"/>
    </row>
    <row r="5296" s="105" customFormat="1" spans="9:12">
      <c r="I5296" s="225"/>
      <c r="K5296" s="9"/>
      <c r="L5296" s="9"/>
    </row>
    <row r="5297" s="105" customFormat="1" spans="9:12">
      <c r="I5297" s="225"/>
      <c r="K5297" s="9"/>
      <c r="L5297" s="9"/>
    </row>
    <row r="5298" s="105" customFormat="1" spans="9:12">
      <c r="I5298" s="225"/>
      <c r="K5298" s="9"/>
      <c r="L5298" s="9"/>
    </row>
    <row r="5299" s="105" customFormat="1" spans="9:12">
      <c r="I5299" s="225"/>
      <c r="K5299" s="9"/>
      <c r="L5299" s="9"/>
    </row>
    <row r="5300" s="105" customFormat="1" spans="9:12">
      <c r="I5300" s="225"/>
      <c r="K5300" s="9"/>
      <c r="L5300" s="9"/>
    </row>
    <row r="5301" s="105" customFormat="1" spans="9:12">
      <c r="I5301" s="225"/>
      <c r="K5301" s="9"/>
      <c r="L5301" s="9"/>
    </row>
    <row r="5302" s="105" customFormat="1" spans="9:12">
      <c r="I5302" s="225"/>
      <c r="K5302" s="9"/>
      <c r="L5302" s="9"/>
    </row>
    <row r="5303" s="105" customFormat="1" spans="9:12">
      <c r="I5303" s="225"/>
      <c r="K5303" s="9"/>
      <c r="L5303" s="9"/>
    </row>
    <row r="5304" s="105" customFormat="1" spans="9:12">
      <c r="I5304" s="225"/>
      <c r="K5304" s="9"/>
      <c r="L5304" s="9"/>
    </row>
    <row r="5305" s="105" customFormat="1" spans="9:12">
      <c r="I5305" s="225"/>
      <c r="K5305" s="9"/>
      <c r="L5305" s="9"/>
    </row>
    <row r="5306" s="105" customFormat="1" spans="9:12">
      <c r="I5306" s="225"/>
      <c r="K5306" s="9"/>
      <c r="L5306" s="9"/>
    </row>
    <row r="5307" s="105" customFormat="1" spans="9:12">
      <c r="I5307" s="225"/>
      <c r="K5307" s="9"/>
      <c r="L5307" s="9"/>
    </row>
    <row r="5308" s="105" customFormat="1" spans="9:12">
      <c r="I5308" s="225"/>
      <c r="K5308" s="9"/>
      <c r="L5308" s="9"/>
    </row>
    <row r="5309" s="105" customFormat="1" spans="9:12">
      <c r="I5309" s="225"/>
      <c r="K5309" s="9"/>
      <c r="L5309" s="9"/>
    </row>
    <row r="5310" s="105" customFormat="1" spans="9:12">
      <c r="I5310" s="225"/>
      <c r="K5310" s="9"/>
      <c r="L5310" s="9"/>
    </row>
    <row r="5311" s="105" customFormat="1" spans="9:12">
      <c r="I5311" s="225"/>
      <c r="K5311" s="9"/>
      <c r="L5311" s="9"/>
    </row>
    <row r="5312" s="105" customFormat="1" spans="9:12">
      <c r="I5312" s="225"/>
      <c r="K5312" s="9"/>
      <c r="L5312" s="9"/>
    </row>
    <row r="5313" s="105" customFormat="1" spans="9:12">
      <c r="I5313" s="225"/>
      <c r="K5313" s="9"/>
      <c r="L5313" s="9"/>
    </row>
    <row r="5314" s="105" customFormat="1" spans="9:12">
      <c r="I5314" s="225"/>
      <c r="K5314" s="9"/>
      <c r="L5314" s="9"/>
    </row>
    <row r="5315" s="105" customFormat="1" spans="9:12">
      <c r="I5315" s="225"/>
      <c r="K5315" s="9"/>
      <c r="L5315" s="9"/>
    </row>
    <row r="5316" s="105" customFormat="1" spans="9:12">
      <c r="I5316" s="225"/>
      <c r="K5316" s="9"/>
      <c r="L5316" s="9"/>
    </row>
    <row r="5317" s="105" customFormat="1" spans="9:12">
      <c r="I5317" s="225"/>
      <c r="K5317" s="9"/>
      <c r="L5317" s="9"/>
    </row>
    <row r="5318" s="105" customFormat="1" spans="9:12">
      <c r="I5318" s="225"/>
      <c r="K5318" s="9"/>
      <c r="L5318" s="9"/>
    </row>
    <row r="5319" s="105" customFormat="1" spans="9:12">
      <c r="I5319" s="225"/>
      <c r="K5319" s="9"/>
      <c r="L5319" s="9"/>
    </row>
    <row r="5320" s="105" customFormat="1" spans="9:12">
      <c r="I5320" s="225"/>
      <c r="K5320" s="9"/>
      <c r="L5320" s="9"/>
    </row>
    <row r="5321" s="105" customFormat="1" spans="9:12">
      <c r="I5321" s="225"/>
      <c r="K5321" s="9"/>
      <c r="L5321" s="9"/>
    </row>
    <row r="5322" s="105" customFormat="1" spans="9:12">
      <c r="I5322" s="225"/>
      <c r="K5322" s="9"/>
      <c r="L5322" s="9"/>
    </row>
    <row r="5323" s="105" customFormat="1" spans="9:12">
      <c r="I5323" s="225"/>
      <c r="K5323" s="9"/>
      <c r="L5323" s="9"/>
    </row>
    <row r="5324" s="105" customFormat="1" spans="9:12">
      <c r="I5324" s="225"/>
      <c r="K5324" s="9"/>
      <c r="L5324" s="9"/>
    </row>
    <row r="5325" s="105" customFormat="1" spans="9:12">
      <c r="I5325" s="225"/>
      <c r="K5325" s="9"/>
      <c r="L5325" s="9"/>
    </row>
    <row r="5326" s="105" customFormat="1" spans="9:12">
      <c r="I5326" s="225"/>
      <c r="K5326" s="9"/>
      <c r="L5326" s="9"/>
    </row>
    <row r="5327" s="105" customFormat="1" spans="9:12">
      <c r="I5327" s="225"/>
      <c r="K5327" s="9"/>
      <c r="L5327" s="9"/>
    </row>
    <row r="5328" s="105" customFormat="1" spans="9:12">
      <c r="I5328" s="225"/>
      <c r="K5328" s="9"/>
      <c r="L5328" s="9"/>
    </row>
    <row r="5329" s="105" customFormat="1" spans="9:12">
      <c r="I5329" s="225"/>
      <c r="K5329" s="9"/>
      <c r="L5329" s="9"/>
    </row>
    <row r="5330" s="105" customFormat="1" spans="9:12">
      <c r="I5330" s="225"/>
      <c r="K5330" s="9"/>
      <c r="L5330" s="9"/>
    </row>
    <row r="5331" s="105" customFormat="1" spans="9:12">
      <c r="I5331" s="225"/>
      <c r="K5331" s="9"/>
      <c r="L5331" s="9"/>
    </row>
    <row r="5332" s="105" customFormat="1" spans="9:12">
      <c r="I5332" s="225"/>
      <c r="K5332" s="9"/>
      <c r="L5332" s="9"/>
    </row>
    <row r="5333" s="105" customFormat="1" spans="9:12">
      <c r="I5333" s="225"/>
      <c r="K5333" s="9"/>
      <c r="L5333" s="9"/>
    </row>
    <row r="5334" s="105" customFormat="1" spans="9:12">
      <c r="I5334" s="225"/>
      <c r="K5334" s="9"/>
      <c r="L5334" s="9"/>
    </row>
    <row r="5335" s="105" customFormat="1" spans="9:12">
      <c r="I5335" s="225"/>
      <c r="K5335" s="9"/>
      <c r="L5335" s="9"/>
    </row>
    <row r="5336" s="105" customFormat="1" spans="9:12">
      <c r="I5336" s="225"/>
      <c r="K5336" s="9"/>
      <c r="L5336" s="9"/>
    </row>
    <row r="5337" s="105" customFormat="1" spans="9:12">
      <c r="I5337" s="225"/>
      <c r="K5337" s="9"/>
      <c r="L5337" s="9"/>
    </row>
    <row r="5338" s="105" customFormat="1" spans="9:12">
      <c r="I5338" s="225"/>
      <c r="K5338" s="9"/>
      <c r="L5338" s="9"/>
    </row>
    <row r="5339" s="105" customFormat="1" spans="9:12">
      <c r="I5339" s="225"/>
      <c r="K5339" s="9"/>
      <c r="L5339" s="9"/>
    </row>
    <row r="5340" s="105" customFormat="1" spans="9:12">
      <c r="I5340" s="225"/>
      <c r="K5340" s="9"/>
      <c r="L5340" s="9"/>
    </row>
    <row r="5341" s="105" customFormat="1" spans="9:12">
      <c r="I5341" s="225"/>
      <c r="K5341" s="9"/>
      <c r="L5341" s="9"/>
    </row>
    <row r="5342" s="105" customFormat="1" spans="9:12">
      <c r="I5342" s="225"/>
      <c r="K5342" s="9"/>
      <c r="L5342" s="9"/>
    </row>
    <row r="5343" s="105" customFormat="1" spans="9:12">
      <c r="I5343" s="225"/>
      <c r="K5343" s="9"/>
      <c r="L5343" s="9"/>
    </row>
    <row r="5344" s="105" customFormat="1" spans="9:12">
      <c r="I5344" s="225"/>
      <c r="K5344" s="9"/>
      <c r="L5344" s="9"/>
    </row>
    <row r="5345" s="105" customFormat="1" spans="9:12">
      <c r="I5345" s="225"/>
      <c r="K5345" s="9"/>
      <c r="L5345" s="9"/>
    </row>
    <row r="5346" s="105" customFormat="1" spans="9:12">
      <c r="I5346" s="225"/>
      <c r="K5346" s="9"/>
      <c r="L5346" s="9"/>
    </row>
    <row r="5347" s="105" customFormat="1" spans="9:12">
      <c r="I5347" s="225"/>
      <c r="K5347" s="9"/>
      <c r="L5347" s="9"/>
    </row>
    <row r="5348" s="105" customFormat="1" spans="9:12">
      <c r="I5348" s="225"/>
      <c r="K5348" s="9"/>
      <c r="L5348" s="9"/>
    </row>
    <row r="5349" s="105" customFormat="1" spans="9:12">
      <c r="I5349" s="225"/>
      <c r="K5349" s="9"/>
      <c r="L5349" s="9"/>
    </row>
    <row r="5350" s="105" customFormat="1" spans="9:12">
      <c r="I5350" s="225"/>
      <c r="K5350" s="9"/>
      <c r="L5350" s="9"/>
    </row>
    <row r="5351" s="105" customFormat="1" spans="9:12">
      <c r="I5351" s="225"/>
      <c r="K5351" s="9"/>
      <c r="L5351" s="9"/>
    </row>
    <row r="5352" s="105" customFormat="1" spans="9:12">
      <c r="I5352" s="225"/>
      <c r="K5352" s="9"/>
      <c r="L5352" s="9"/>
    </row>
    <row r="5353" s="105" customFormat="1" spans="9:12">
      <c r="I5353" s="225"/>
      <c r="K5353" s="9"/>
      <c r="L5353" s="9"/>
    </row>
    <row r="5354" s="105" customFormat="1" spans="9:12">
      <c r="I5354" s="225"/>
      <c r="K5354" s="9"/>
      <c r="L5354" s="9"/>
    </row>
    <row r="5355" s="105" customFormat="1" spans="9:12">
      <c r="I5355" s="225"/>
      <c r="K5355" s="9"/>
      <c r="L5355" s="9"/>
    </row>
    <row r="5356" s="105" customFormat="1" spans="9:12">
      <c r="I5356" s="225"/>
      <c r="K5356" s="9"/>
      <c r="L5356" s="9"/>
    </row>
    <row r="5357" s="105" customFormat="1" spans="9:12">
      <c r="I5357" s="225"/>
      <c r="K5357" s="9"/>
      <c r="L5357" s="9"/>
    </row>
    <row r="5358" s="105" customFormat="1" spans="9:12">
      <c r="I5358" s="225"/>
      <c r="K5358" s="9"/>
      <c r="L5358" s="9"/>
    </row>
    <row r="5359" s="105" customFormat="1" spans="9:12">
      <c r="I5359" s="225"/>
      <c r="K5359" s="9"/>
      <c r="L5359" s="9"/>
    </row>
    <row r="5360" s="105" customFormat="1" spans="9:12">
      <c r="I5360" s="225"/>
      <c r="K5360" s="9"/>
      <c r="L5360" s="9"/>
    </row>
    <row r="5361" s="105" customFormat="1" spans="9:12">
      <c r="I5361" s="225"/>
      <c r="K5361" s="9"/>
      <c r="L5361" s="9"/>
    </row>
    <row r="5362" s="105" customFormat="1" spans="9:12">
      <c r="I5362" s="225"/>
      <c r="K5362" s="9"/>
      <c r="L5362" s="9"/>
    </row>
    <row r="5363" s="105" customFormat="1" spans="9:12">
      <c r="I5363" s="225"/>
      <c r="K5363" s="9"/>
      <c r="L5363" s="9"/>
    </row>
    <row r="5364" s="105" customFormat="1" spans="9:12">
      <c r="I5364" s="225"/>
      <c r="K5364" s="9"/>
      <c r="L5364" s="9"/>
    </row>
    <row r="5365" s="105" customFormat="1" spans="9:12">
      <c r="I5365" s="225"/>
      <c r="K5365" s="9"/>
      <c r="L5365" s="9"/>
    </row>
    <row r="5366" s="105" customFormat="1" spans="9:12">
      <c r="I5366" s="225"/>
      <c r="K5366" s="9"/>
      <c r="L5366" s="9"/>
    </row>
    <row r="5367" s="105" customFormat="1" spans="9:12">
      <c r="I5367" s="225"/>
      <c r="K5367" s="9"/>
      <c r="L5367" s="9"/>
    </row>
    <row r="5368" s="105" customFormat="1" spans="9:12">
      <c r="I5368" s="225"/>
      <c r="K5368" s="9"/>
      <c r="L5368" s="9"/>
    </row>
    <row r="5369" s="105" customFormat="1" spans="9:12">
      <c r="I5369" s="225"/>
      <c r="K5369" s="9"/>
      <c r="L5369" s="9"/>
    </row>
    <row r="5370" s="105" customFormat="1" spans="9:12">
      <c r="I5370" s="225"/>
      <c r="K5370" s="9"/>
      <c r="L5370" s="9"/>
    </row>
    <row r="5371" s="105" customFormat="1" spans="9:12">
      <c r="I5371" s="225"/>
      <c r="K5371" s="9"/>
      <c r="L5371" s="9"/>
    </row>
    <row r="5372" s="105" customFormat="1" spans="9:12">
      <c r="I5372" s="225"/>
      <c r="K5372" s="9"/>
      <c r="L5372" s="9"/>
    </row>
    <row r="5373" s="105" customFormat="1" spans="9:12">
      <c r="I5373" s="225"/>
      <c r="K5373" s="9"/>
      <c r="L5373" s="9"/>
    </row>
    <row r="5374" s="105" customFormat="1" spans="9:12">
      <c r="I5374" s="225"/>
      <c r="K5374" s="9"/>
      <c r="L5374" s="9"/>
    </row>
    <row r="5375" s="105" customFormat="1" spans="9:12">
      <c r="I5375" s="225"/>
      <c r="K5375" s="9"/>
      <c r="L5375" s="9"/>
    </row>
    <row r="5376" s="105" customFormat="1" spans="9:12">
      <c r="I5376" s="225"/>
      <c r="K5376" s="9"/>
      <c r="L5376" s="9"/>
    </row>
    <row r="5377" s="105" customFormat="1" spans="9:12">
      <c r="I5377" s="225"/>
      <c r="K5377" s="9"/>
      <c r="L5377" s="9"/>
    </row>
    <row r="5378" s="105" customFormat="1" spans="9:12">
      <c r="I5378" s="225"/>
      <c r="K5378" s="9"/>
      <c r="L5378" s="9"/>
    </row>
    <row r="5379" s="105" customFormat="1" spans="9:12">
      <c r="I5379" s="225"/>
      <c r="K5379" s="9"/>
      <c r="L5379" s="9"/>
    </row>
    <row r="5380" s="105" customFormat="1" spans="9:12">
      <c r="I5380" s="225"/>
      <c r="K5380" s="9"/>
      <c r="L5380" s="9"/>
    </row>
    <row r="5381" s="105" customFormat="1" spans="9:12">
      <c r="I5381" s="225"/>
      <c r="K5381" s="9"/>
      <c r="L5381" s="9"/>
    </row>
    <row r="5382" s="105" customFormat="1" spans="9:12">
      <c r="I5382" s="225"/>
      <c r="K5382" s="9"/>
      <c r="L5382" s="9"/>
    </row>
    <row r="5383" s="105" customFormat="1" spans="9:12">
      <c r="I5383" s="225"/>
      <c r="K5383" s="9"/>
      <c r="L5383" s="9"/>
    </row>
    <row r="5384" s="105" customFormat="1" spans="9:12">
      <c r="I5384" s="225"/>
      <c r="K5384" s="9"/>
      <c r="L5384" s="9"/>
    </row>
    <row r="5385" s="105" customFormat="1" spans="9:12">
      <c r="I5385" s="225"/>
      <c r="K5385" s="9"/>
      <c r="L5385" s="9"/>
    </row>
    <row r="5386" s="105" customFormat="1" spans="9:12">
      <c r="I5386" s="225"/>
      <c r="K5386" s="9"/>
      <c r="L5386" s="9"/>
    </row>
    <row r="5387" s="105" customFormat="1" spans="9:12">
      <c r="I5387" s="225"/>
      <c r="K5387" s="9"/>
      <c r="L5387" s="9"/>
    </row>
    <row r="5388" s="105" customFormat="1" spans="9:12">
      <c r="I5388" s="225"/>
      <c r="K5388" s="9"/>
      <c r="L5388" s="9"/>
    </row>
    <row r="5389" s="105" customFormat="1" spans="9:12">
      <c r="I5389" s="225"/>
      <c r="K5389" s="9"/>
      <c r="L5389" s="9"/>
    </row>
    <row r="5390" s="105" customFormat="1" spans="9:12">
      <c r="I5390" s="225"/>
      <c r="K5390" s="9"/>
      <c r="L5390" s="9"/>
    </row>
    <row r="5391" s="105" customFormat="1" spans="9:12">
      <c r="I5391" s="225"/>
      <c r="K5391" s="9"/>
      <c r="L5391" s="9"/>
    </row>
    <row r="5392" s="105" customFormat="1" spans="9:12">
      <c r="I5392" s="225"/>
      <c r="K5392" s="9"/>
      <c r="L5392" s="9"/>
    </row>
    <row r="5393" s="105" customFormat="1" spans="9:12">
      <c r="I5393" s="225"/>
      <c r="K5393" s="9"/>
      <c r="L5393" s="9"/>
    </row>
    <row r="5394" s="105" customFormat="1" spans="9:12">
      <c r="I5394" s="225"/>
      <c r="K5394" s="9"/>
      <c r="L5394" s="9"/>
    </row>
    <row r="5395" s="105" customFormat="1" spans="9:12">
      <c r="I5395" s="225"/>
      <c r="K5395" s="9"/>
      <c r="L5395" s="9"/>
    </row>
    <row r="5396" s="105" customFormat="1" spans="9:12">
      <c r="I5396" s="225"/>
      <c r="K5396" s="9"/>
      <c r="L5396" s="9"/>
    </row>
    <row r="5397" s="105" customFormat="1" spans="9:12">
      <c r="I5397" s="225"/>
      <c r="K5397" s="9"/>
      <c r="L5397" s="9"/>
    </row>
    <row r="5398" s="105" customFormat="1" spans="9:12">
      <c r="I5398" s="225"/>
      <c r="K5398" s="9"/>
      <c r="L5398" s="9"/>
    </row>
    <row r="5399" s="105" customFormat="1" spans="9:12">
      <c r="I5399" s="225"/>
      <c r="K5399" s="9"/>
      <c r="L5399" s="9"/>
    </row>
    <row r="5400" s="105" customFormat="1" spans="9:12">
      <c r="I5400" s="225"/>
      <c r="K5400" s="9"/>
      <c r="L5400" s="9"/>
    </row>
    <row r="5401" s="105" customFormat="1" spans="9:12">
      <c r="I5401" s="225"/>
      <c r="K5401" s="9"/>
      <c r="L5401" s="9"/>
    </row>
    <row r="5402" s="105" customFormat="1" spans="9:12">
      <c r="I5402" s="225"/>
      <c r="K5402" s="9"/>
      <c r="L5402" s="9"/>
    </row>
    <row r="5403" s="105" customFormat="1" spans="9:12">
      <c r="I5403" s="225"/>
      <c r="K5403" s="9"/>
      <c r="L5403" s="9"/>
    </row>
    <row r="5404" s="105" customFormat="1" spans="9:12">
      <c r="I5404" s="225"/>
      <c r="K5404" s="9"/>
      <c r="L5404" s="9"/>
    </row>
    <row r="5405" s="105" customFormat="1" spans="9:12">
      <c r="I5405" s="225"/>
      <c r="K5405" s="9"/>
      <c r="L5405" s="9"/>
    </row>
    <row r="5406" s="105" customFormat="1" spans="9:12">
      <c r="I5406" s="225"/>
      <c r="K5406" s="9"/>
      <c r="L5406" s="9"/>
    </row>
    <row r="5407" s="105" customFormat="1" spans="9:12">
      <c r="I5407" s="225"/>
      <c r="K5407" s="9"/>
      <c r="L5407" s="9"/>
    </row>
    <row r="5408" s="105" customFormat="1" spans="9:12">
      <c r="I5408" s="225"/>
      <c r="K5408" s="9"/>
      <c r="L5408" s="9"/>
    </row>
    <row r="5409" s="105" customFormat="1" spans="9:12">
      <c r="I5409" s="225"/>
      <c r="K5409" s="9"/>
      <c r="L5409" s="9"/>
    </row>
    <row r="5410" s="105" customFormat="1" spans="9:12">
      <c r="I5410" s="225"/>
      <c r="K5410" s="9"/>
      <c r="L5410" s="9"/>
    </row>
    <row r="5411" s="105" customFormat="1" spans="9:12">
      <c r="I5411" s="225"/>
      <c r="K5411" s="9"/>
      <c r="L5411" s="9"/>
    </row>
    <row r="5412" s="105" customFormat="1" spans="9:12">
      <c r="I5412" s="225"/>
      <c r="K5412" s="9"/>
      <c r="L5412" s="9"/>
    </row>
    <row r="5413" s="105" customFormat="1" spans="9:12">
      <c r="I5413" s="225"/>
      <c r="K5413" s="9"/>
      <c r="L5413" s="9"/>
    </row>
    <row r="5414" s="105" customFormat="1" spans="9:12">
      <c r="I5414" s="225"/>
      <c r="K5414" s="9"/>
      <c r="L5414" s="9"/>
    </row>
    <row r="5415" s="105" customFormat="1" spans="9:12">
      <c r="I5415" s="225"/>
      <c r="K5415" s="9"/>
      <c r="L5415" s="9"/>
    </row>
    <row r="5416" s="105" customFormat="1" spans="9:12">
      <c r="I5416" s="225"/>
      <c r="K5416" s="9"/>
      <c r="L5416" s="9"/>
    </row>
    <row r="5417" s="105" customFormat="1" spans="9:12">
      <c r="I5417" s="225"/>
      <c r="K5417" s="9"/>
      <c r="L5417" s="9"/>
    </row>
    <row r="5418" s="105" customFormat="1" spans="9:12">
      <c r="I5418" s="225"/>
      <c r="K5418" s="9"/>
      <c r="L5418" s="9"/>
    </row>
    <row r="5419" s="105" customFormat="1" spans="9:12">
      <c r="I5419" s="225"/>
      <c r="K5419" s="9"/>
      <c r="L5419" s="9"/>
    </row>
    <row r="5420" s="105" customFormat="1" spans="9:12">
      <c r="I5420" s="225"/>
      <c r="K5420" s="9"/>
      <c r="L5420" s="9"/>
    </row>
    <row r="5421" s="105" customFormat="1" spans="9:12">
      <c r="I5421" s="225"/>
      <c r="K5421" s="9"/>
      <c r="L5421" s="9"/>
    </row>
    <row r="5422" s="105" customFormat="1" spans="9:12">
      <c r="I5422" s="225"/>
      <c r="K5422" s="9"/>
      <c r="L5422" s="9"/>
    </row>
    <row r="5423" s="105" customFormat="1" spans="9:12">
      <c r="I5423" s="225"/>
      <c r="K5423" s="9"/>
      <c r="L5423" s="9"/>
    </row>
    <row r="5424" s="105" customFormat="1" spans="9:12">
      <c r="I5424" s="225"/>
      <c r="K5424" s="9"/>
      <c r="L5424" s="9"/>
    </row>
    <row r="5425" s="105" customFormat="1" spans="9:12">
      <c r="I5425" s="225"/>
      <c r="K5425" s="9"/>
      <c r="L5425" s="9"/>
    </row>
    <row r="5426" s="105" customFormat="1" spans="9:12">
      <c r="I5426" s="225"/>
      <c r="K5426" s="9"/>
      <c r="L5426" s="9"/>
    </row>
    <row r="5427" s="105" customFormat="1" spans="9:12">
      <c r="I5427" s="225"/>
      <c r="K5427" s="9"/>
      <c r="L5427" s="9"/>
    </row>
    <row r="5428" s="105" customFormat="1" spans="9:12">
      <c r="I5428" s="225"/>
      <c r="K5428" s="9"/>
      <c r="L5428" s="9"/>
    </row>
    <row r="5429" s="105" customFormat="1" spans="9:12">
      <c r="I5429" s="225"/>
      <c r="K5429" s="9"/>
      <c r="L5429" s="9"/>
    </row>
    <row r="5430" s="105" customFormat="1" spans="9:12">
      <c r="I5430" s="225"/>
      <c r="K5430" s="9"/>
      <c r="L5430" s="9"/>
    </row>
    <row r="5431" s="105" customFormat="1" spans="9:12">
      <c r="I5431" s="225"/>
      <c r="K5431" s="9"/>
      <c r="L5431" s="9"/>
    </row>
    <row r="5432" s="105" customFormat="1" spans="9:12">
      <c r="I5432" s="225"/>
      <c r="K5432" s="9"/>
      <c r="L5432" s="9"/>
    </row>
    <row r="5433" s="105" customFormat="1" spans="9:12">
      <c r="I5433" s="225"/>
      <c r="K5433" s="9"/>
      <c r="L5433" s="9"/>
    </row>
    <row r="5434" s="105" customFormat="1" spans="9:12">
      <c r="I5434" s="225"/>
      <c r="K5434" s="9"/>
      <c r="L5434" s="9"/>
    </row>
    <row r="5435" s="105" customFormat="1" spans="9:12">
      <c r="I5435" s="225"/>
      <c r="K5435" s="9"/>
      <c r="L5435" s="9"/>
    </row>
    <row r="5436" s="105" customFormat="1" spans="9:12">
      <c r="I5436" s="225"/>
      <c r="K5436" s="9"/>
      <c r="L5436" s="9"/>
    </row>
    <row r="5437" s="105" customFormat="1" spans="9:12">
      <c r="I5437" s="225"/>
      <c r="K5437" s="9"/>
      <c r="L5437" s="9"/>
    </row>
    <row r="5438" s="105" customFormat="1" spans="9:12">
      <c r="I5438" s="225"/>
      <c r="K5438" s="9"/>
      <c r="L5438" s="9"/>
    </row>
    <row r="5439" s="105" customFormat="1" spans="9:12">
      <c r="I5439" s="225"/>
      <c r="K5439" s="9"/>
      <c r="L5439" s="9"/>
    </row>
    <row r="5440" s="105" customFormat="1" spans="9:12">
      <c r="I5440" s="225"/>
      <c r="K5440" s="9"/>
      <c r="L5440" s="9"/>
    </row>
    <row r="5441" s="105" customFormat="1" spans="9:12">
      <c r="I5441" s="225"/>
      <c r="K5441" s="9"/>
      <c r="L5441" s="9"/>
    </row>
    <row r="5442" s="105" customFormat="1" spans="9:12">
      <c r="I5442" s="225"/>
      <c r="K5442" s="9"/>
      <c r="L5442" s="9"/>
    </row>
    <row r="5443" s="105" customFormat="1" spans="9:12">
      <c r="I5443" s="225"/>
      <c r="K5443" s="9"/>
      <c r="L5443" s="9"/>
    </row>
    <row r="5444" s="105" customFormat="1" spans="9:12">
      <c r="I5444" s="225"/>
      <c r="K5444" s="9"/>
      <c r="L5444" s="9"/>
    </row>
    <row r="5445" s="105" customFormat="1" spans="9:12">
      <c r="I5445" s="225"/>
      <c r="K5445" s="9"/>
      <c r="L5445" s="9"/>
    </row>
    <row r="5446" s="105" customFormat="1" spans="9:12">
      <c r="I5446" s="225"/>
      <c r="K5446" s="9"/>
      <c r="L5446" s="9"/>
    </row>
    <row r="5447" s="105" customFormat="1" spans="9:12">
      <c r="I5447" s="225"/>
      <c r="K5447" s="9"/>
      <c r="L5447" s="9"/>
    </row>
    <row r="5448" s="105" customFormat="1" spans="9:12">
      <c r="I5448" s="225"/>
      <c r="K5448" s="9"/>
      <c r="L5448" s="9"/>
    </row>
    <row r="5449" s="105" customFormat="1" spans="9:12">
      <c r="I5449" s="225"/>
      <c r="K5449" s="9"/>
      <c r="L5449" s="9"/>
    </row>
    <row r="5450" s="105" customFormat="1" spans="9:12">
      <c r="I5450" s="225"/>
      <c r="K5450" s="9"/>
      <c r="L5450" s="9"/>
    </row>
    <row r="5451" s="105" customFormat="1" spans="9:12">
      <c r="I5451" s="225"/>
      <c r="K5451" s="9"/>
      <c r="L5451" s="9"/>
    </row>
    <row r="5452" s="105" customFormat="1" spans="9:12">
      <c r="I5452" s="225"/>
      <c r="K5452" s="9"/>
      <c r="L5452" s="9"/>
    </row>
    <row r="5453" s="105" customFormat="1" spans="9:12">
      <c r="I5453" s="225"/>
      <c r="K5453" s="9"/>
      <c r="L5453" s="9"/>
    </row>
    <row r="5454" s="105" customFormat="1" spans="9:12">
      <c r="I5454" s="225"/>
      <c r="K5454" s="9"/>
      <c r="L5454" s="9"/>
    </row>
    <row r="5455" s="105" customFormat="1" spans="9:12">
      <c r="I5455" s="225"/>
      <c r="K5455" s="9"/>
      <c r="L5455" s="9"/>
    </row>
    <row r="5456" s="105" customFormat="1" spans="9:12">
      <c r="I5456" s="225"/>
      <c r="K5456" s="9"/>
      <c r="L5456" s="9"/>
    </row>
    <row r="5457" s="105" customFormat="1" spans="9:12">
      <c r="I5457" s="225"/>
      <c r="K5457" s="9"/>
      <c r="L5457" s="9"/>
    </row>
    <row r="5458" s="105" customFormat="1" spans="9:12">
      <c r="I5458" s="225"/>
      <c r="K5458" s="9"/>
      <c r="L5458" s="9"/>
    </row>
    <row r="5459" s="105" customFormat="1" spans="9:12">
      <c r="I5459" s="225"/>
      <c r="K5459" s="9"/>
      <c r="L5459" s="9"/>
    </row>
    <row r="5460" s="105" customFormat="1" spans="9:12">
      <c r="I5460" s="225"/>
      <c r="K5460" s="9"/>
      <c r="L5460" s="9"/>
    </row>
    <row r="5461" s="105" customFormat="1" spans="9:12">
      <c r="I5461" s="225"/>
      <c r="K5461" s="9"/>
      <c r="L5461" s="9"/>
    </row>
    <row r="5462" s="105" customFormat="1" spans="9:12">
      <c r="I5462" s="225"/>
      <c r="K5462" s="9"/>
      <c r="L5462" s="9"/>
    </row>
    <row r="5463" s="105" customFormat="1" spans="9:12">
      <c r="I5463" s="225"/>
      <c r="K5463" s="9"/>
      <c r="L5463" s="9"/>
    </row>
    <row r="5464" s="105" customFormat="1" spans="9:12">
      <c r="I5464" s="225"/>
      <c r="K5464" s="9"/>
      <c r="L5464" s="9"/>
    </row>
    <row r="5465" s="105" customFormat="1" spans="9:12">
      <c r="I5465" s="225"/>
      <c r="K5465" s="9"/>
      <c r="L5465" s="9"/>
    </row>
    <row r="5466" s="105" customFormat="1" spans="9:12">
      <c r="I5466" s="225"/>
      <c r="K5466" s="9"/>
      <c r="L5466" s="9"/>
    </row>
    <row r="5467" s="105" customFormat="1" spans="9:12">
      <c r="I5467" s="225"/>
      <c r="K5467" s="9"/>
      <c r="L5467" s="9"/>
    </row>
    <row r="5468" s="105" customFormat="1" spans="9:12">
      <c r="I5468" s="225"/>
      <c r="K5468" s="9"/>
      <c r="L5468" s="9"/>
    </row>
    <row r="5469" s="105" customFormat="1" spans="9:12">
      <c r="I5469" s="225"/>
      <c r="K5469" s="9"/>
      <c r="L5469" s="9"/>
    </row>
    <row r="5470" s="105" customFormat="1" spans="9:12">
      <c r="I5470" s="225"/>
      <c r="K5470" s="9"/>
      <c r="L5470" s="9"/>
    </row>
    <row r="5471" s="105" customFormat="1" spans="9:12">
      <c r="I5471" s="225"/>
      <c r="K5471" s="9"/>
      <c r="L5471" s="9"/>
    </row>
    <row r="5472" s="105" customFormat="1" spans="9:12">
      <c r="I5472" s="225"/>
      <c r="K5472" s="9"/>
      <c r="L5472" s="9"/>
    </row>
    <row r="5473" s="105" customFormat="1" spans="9:12">
      <c r="I5473" s="225"/>
      <c r="K5473" s="9"/>
      <c r="L5473" s="9"/>
    </row>
    <row r="5474" s="105" customFormat="1" spans="9:12">
      <c r="I5474" s="225"/>
      <c r="K5474" s="9"/>
      <c r="L5474" s="9"/>
    </row>
    <row r="5475" s="105" customFormat="1" spans="9:12">
      <c r="I5475" s="225"/>
      <c r="K5475" s="9"/>
      <c r="L5475" s="9"/>
    </row>
    <row r="5476" s="105" customFormat="1" spans="9:12">
      <c r="I5476" s="225"/>
      <c r="K5476" s="9"/>
      <c r="L5476" s="9"/>
    </row>
    <row r="5477" s="105" customFormat="1" spans="9:12">
      <c r="I5477" s="225"/>
      <c r="K5477" s="9"/>
      <c r="L5477" s="9"/>
    </row>
    <row r="5478" s="105" customFormat="1" spans="9:12">
      <c r="I5478" s="225"/>
      <c r="K5478" s="9"/>
      <c r="L5478" s="9"/>
    </row>
    <row r="5479" s="105" customFormat="1" spans="9:12">
      <c r="I5479" s="225"/>
      <c r="K5479" s="9"/>
      <c r="L5479" s="9"/>
    </row>
    <row r="5480" s="105" customFormat="1" spans="9:12">
      <c r="I5480" s="225"/>
      <c r="K5480" s="9"/>
      <c r="L5480" s="9"/>
    </row>
    <row r="5481" s="105" customFormat="1" spans="9:12">
      <c r="I5481" s="225"/>
      <c r="K5481" s="9"/>
      <c r="L5481" s="9"/>
    </row>
    <row r="5482" s="105" customFormat="1" spans="9:12">
      <c r="I5482" s="225"/>
      <c r="K5482" s="9"/>
      <c r="L5482" s="9"/>
    </row>
    <row r="5483" s="105" customFormat="1" spans="9:12">
      <c r="I5483" s="225"/>
      <c r="K5483" s="9"/>
      <c r="L5483" s="9"/>
    </row>
    <row r="5484" s="105" customFormat="1" spans="9:12">
      <c r="I5484" s="225"/>
      <c r="K5484" s="9"/>
      <c r="L5484" s="9"/>
    </row>
    <row r="5485" s="105" customFormat="1" spans="9:12">
      <c r="I5485" s="225"/>
      <c r="K5485" s="9"/>
      <c r="L5485" s="9"/>
    </row>
    <row r="5486" s="105" customFormat="1" spans="9:12">
      <c r="I5486" s="225"/>
      <c r="K5486" s="9"/>
      <c r="L5486" s="9"/>
    </row>
    <row r="5487" s="105" customFormat="1" spans="9:12">
      <c r="I5487" s="225"/>
      <c r="K5487" s="9"/>
      <c r="L5487" s="9"/>
    </row>
    <row r="5488" s="105" customFormat="1" spans="9:12">
      <c r="I5488" s="225"/>
      <c r="K5488" s="9"/>
      <c r="L5488" s="9"/>
    </row>
    <row r="5489" s="105" customFormat="1" spans="9:12">
      <c r="I5489" s="225"/>
      <c r="K5489" s="9"/>
      <c r="L5489" s="9"/>
    </row>
    <row r="5490" s="105" customFormat="1" spans="9:12">
      <c r="I5490" s="225"/>
      <c r="K5490" s="9"/>
      <c r="L5490" s="9"/>
    </row>
    <row r="5491" s="105" customFormat="1" spans="9:12">
      <c r="I5491" s="225"/>
      <c r="K5491" s="9"/>
      <c r="L5491" s="9"/>
    </row>
    <row r="5492" s="105" customFormat="1" spans="9:12">
      <c r="I5492" s="225"/>
      <c r="K5492" s="9"/>
      <c r="L5492" s="9"/>
    </row>
    <row r="5493" s="105" customFormat="1" spans="9:12">
      <c r="I5493" s="225"/>
      <c r="K5493" s="9"/>
      <c r="L5493" s="9"/>
    </row>
    <row r="5494" s="105" customFormat="1" spans="9:12">
      <c r="I5494" s="225"/>
      <c r="K5494" s="9"/>
      <c r="L5494" s="9"/>
    </row>
    <row r="5495" s="105" customFormat="1" spans="9:12">
      <c r="I5495" s="225"/>
      <c r="K5495" s="9"/>
      <c r="L5495" s="9"/>
    </row>
    <row r="5496" s="105" customFormat="1" spans="9:12">
      <c r="I5496" s="225"/>
      <c r="K5496" s="9"/>
      <c r="L5496" s="9"/>
    </row>
    <row r="5497" s="105" customFormat="1" spans="9:12">
      <c r="I5497" s="225"/>
      <c r="K5497" s="9"/>
      <c r="L5497" s="9"/>
    </row>
    <row r="5498" s="105" customFormat="1" spans="9:12">
      <c r="I5498" s="225"/>
      <c r="K5498" s="9"/>
      <c r="L5498" s="9"/>
    </row>
    <row r="5499" s="105" customFormat="1" spans="9:12">
      <c r="I5499" s="225"/>
      <c r="K5499" s="9"/>
      <c r="L5499" s="9"/>
    </row>
    <row r="5500" s="105" customFormat="1" spans="9:12">
      <c r="I5500" s="225"/>
      <c r="K5500" s="9"/>
      <c r="L5500" s="9"/>
    </row>
    <row r="5501" s="105" customFormat="1" spans="9:12">
      <c r="I5501" s="225"/>
      <c r="K5501" s="9"/>
      <c r="L5501" s="9"/>
    </row>
    <row r="5502" s="105" customFormat="1" spans="9:12">
      <c r="I5502" s="225"/>
      <c r="K5502" s="9"/>
      <c r="L5502" s="9"/>
    </row>
    <row r="5503" s="105" customFormat="1" spans="9:12">
      <c r="I5503" s="225"/>
      <c r="K5503" s="9"/>
      <c r="L5503" s="9"/>
    </row>
    <row r="5504" s="105" customFormat="1" spans="9:12">
      <c r="I5504" s="225"/>
      <c r="K5504" s="9"/>
      <c r="L5504" s="9"/>
    </row>
    <row r="5505" s="105" customFormat="1" spans="9:12">
      <c r="I5505" s="225"/>
      <c r="K5505" s="9"/>
      <c r="L5505" s="9"/>
    </row>
    <row r="5506" s="105" customFormat="1" spans="9:12">
      <c r="I5506" s="225"/>
      <c r="K5506" s="9"/>
      <c r="L5506" s="9"/>
    </row>
    <row r="5507" s="105" customFormat="1" spans="9:12">
      <c r="I5507" s="225"/>
      <c r="K5507" s="9"/>
      <c r="L5507" s="9"/>
    </row>
    <row r="5508" s="105" customFormat="1" spans="9:12">
      <c r="I5508" s="225"/>
      <c r="K5508" s="9"/>
      <c r="L5508" s="9"/>
    </row>
    <row r="5509" s="105" customFormat="1" spans="9:12">
      <c r="I5509" s="225"/>
      <c r="K5509" s="9"/>
      <c r="L5509" s="9"/>
    </row>
    <row r="5510" s="105" customFormat="1" spans="9:12">
      <c r="I5510" s="225"/>
      <c r="K5510" s="9"/>
      <c r="L5510" s="9"/>
    </row>
    <row r="5511" s="105" customFormat="1" spans="9:12">
      <c r="I5511" s="225"/>
      <c r="K5511" s="9"/>
      <c r="L5511" s="9"/>
    </row>
    <row r="5512" s="105" customFormat="1" spans="9:12">
      <c r="I5512" s="225"/>
      <c r="K5512" s="9"/>
      <c r="L5512" s="9"/>
    </row>
    <row r="5513" s="105" customFormat="1" spans="9:12">
      <c r="I5513" s="225"/>
      <c r="K5513" s="9"/>
      <c r="L5513" s="9"/>
    </row>
    <row r="5514" s="105" customFormat="1" spans="9:12">
      <c r="I5514" s="225"/>
      <c r="K5514" s="9"/>
      <c r="L5514" s="9"/>
    </row>
    <row r="5515" s="105" customFormat="1" spans="9:12">
      <c r="I5515" s="225"/>
      <c r="K5515" s="9"/>
      <c r="L5515" s="9"/>
    </row>
    <row r="5516" s="105" customFormat="1" spans="9:12">
      <c r="I5516" s="225"/>
      <c r="K5516" s="9"/>
      <c r="L5516" s="9"/>
    </row>
    <row r="5517" s="105" customFormat="1" spans="9:12">
      <c r="I5517" s="225"/>
      <c r="K5517" s="9"/>
      <c r="L5517" s="9"/>
    </row>
    <row r="5518" s="105" customFormat="1" spans="9:12">
      <c r="I5518" s="225"/>
      <c r="K5518" s="9"/>
      <c r="L5518" s="9"/>
    </row>
    <row r="5519" s="105" customFormat="1" spans="9:12">
      <c r="I5519" s="225"/>
      <c r="K5519" s="9"/>
      <c r="L5519" s="9"/>
    </row>
    <row r="5520" s="105" customFormat="1" spans="9:12">
      <c r="I5520" s="225"/>
      <c r="K5520" s="9"/>
      <c r="L5520" s="9"/>
    </row>
    <row r="5521" s="105" customFormat="1" spans="9:12">
      <c r="I5521" s="225"/>
      <c r="K5521" s="9"/>
      <c r="L5521" s="9"/>
    </row>
    <row r="5522" s="105" customFormat="1" spans="9:12">
      <c r="I5522" s="225"/>
      <c r="K5522" s="9"/>
      <c r="L5522" s="9"/>
    </row>
    <row r="5523" s="105" customFormat="1" spans="9:12">
      <c r="I5523" s="225"/>
      <c r="K5523" s="9"/>
      <c r="L5523" s="9"/>
    </row>
    <row r="5524" s="105" customFormat="1" spans="9:12">
      <c r="I5524" s="225"/>
      <c r="K5524" s="9"/>
      <c r="L5524" s="9"/>
    </row>
    <row r="5525" s="105" customFormat="1" spans="9:12">
      <c r="I5525" s="225"/>
      <c r="K5525" s="9"/>
      <c r="L5525" s="9"/>
    </row>
    <row r="5526" s="105" customFormat="1" spans="9:12">
      <c r="I5526" s="225"/>
      <c r="K5526" s="9"/>
      <c r="L5526" s="9"/>
    </row>
    <row r="5527" s="105" customFormat="1" spans="9:12">
      <c r="I5527" s="225"/>
      <c r="K5527" s="9"/>
      <c r="L5527" s="9"/>
    </row>
    <row r="5528" s="105" customFormat="1" spans="9:12">
      <c r="I5528" s="225"/>
      <c r="K5528" s="9"/>
      <c r="L5528" s="9"/>
    </row>
    <row r="5529" s="105" customFormat="1" spans="9:12">
      <c r="I5529" s="225"/>
      <c r="K5529" s="9"/>
      <c r="L5529" s="9"/>
    </row>
    <row r="5530" s="105" customFormat="1" spans="9:12">
      <c r="I5530" s="225"/>
      <c r="K5530" s="9"/>
      <c r="L5530" s="9"/>
    </row>
    <row r="5531" s="105" customFormat="1" spans="9:12">
      <c r="I5531" s="225"/>
      <c r="K5531" s="9"/>
      <c r="L5531" s="9"/>
    </row>
    <row r="5532" s="105" customFormat="1" spans="9:12">
      <c r="I5532" s="225"/>
      <c r="K5532" s="9"/>
      <c r="L5532" s="9"/>
    </row>
    <row r="5533" s="105" customFormat="1" spans="9:12">
      <c r="I5533" s="225"/>
      <c r="K5533" s="9"/>
      <c r="L5533" s="9"/>
    </row>
    <row r="5534" s="105" customFormat="1" spans="9:12">
      <c r="I5534" s="225"/>
      <c r="K5534" s="9"/>
      <c r="L5534" s="9"/>
    </row>
    <row r="5535" s="105" customFormat="1" spans="9:12">
      <c r="I5535" s="225"/>
      <c r="K5535" s="9"/>
      <c r="L5535" s="9"/>
    </row>
    <row r="5536" s="105" customFormat="1" spans="9:12">
      <c r="I5536" s="225"/>
      <c r="K5536" s="9"/>
      <c r="L5536" s="9"/>
    </row>
    <row r="5537" s="105" customFormat="1" spans="9:12">
      <c r="I5537" s="225"/>
      <c r="K5537" s="9"/>
      <c r="L5537" s="9"/>
    </row>
    <row r="5538" s="105" customFormat="1" spans="9:12">
      <c r="I5538" s="225"/>
      <c r="K5538" s="9"/>
      <c r="L5538" s="9"/>
    </row>
    <row r="5539" s="105" customFormat="1" spans="9:12">
      <c r="I5539" s="225"/>
      <c r="K5539" s="9"/>
      <c r="L5539" s="9"/>
    </row>
    <row r="5540" s="105" customFormat="1" spans="9:12">
      <c r="I5540" s="225"/>
      <c r="K5540" s="9"/>
      <c r="L5540" s="9"/>
    </row>
    <row r="5541" s="105" customFormat="1" spans="9:12">
      <c r="I5541" s="225"/>
      <c r="K5541" s="9"/>
      <c r="L5541" s="9"/>
    </row>
    <row r="5542" s="105" customFormat="1" spans="9:12">
      <c r="I5542" s="225"/>
      <c r="K5542" s="9"/>
      <c r="L5542" s="9"/>
    </row>
    <row r="5543" s="105" customFormat="1" spans="9:12">
      <c r="I5543" s="225"/>
      <c r="K5543" s="9"/>
      <c r="L5543" s="9"/>
    </row>
    <row r="5544" s="105" customFormat="1" spans="9:12">
      <c r="I5544" s="225"/>
      <c r="K5544" s="9"/>
      <c r="L5544" s="9"/>
    </row>
    <row r="5545" s="105" customFormat="1" spans="9:12">
      <c r="I5545" s="225"/>
      <c r="K5545" s="9"/>
      <c r="L5545" s="9"/>
    </row>
    <row r="5546" s="105" customFormat="1" spans="9:12">
      <c r="I5546" s="225"/>
      <c r="K5546" s="9"/>
      <c r="L5546" s="9"/>
    </row>
    <row r="5547" s="105" customFormat="1" spans="9:12">
      <c r="I5547" s="225"/>
      <c r="K5547" s="9"/>
      <c r="L5547" s="9"/>
    </row>
    <row r="5548" s="105" customFormat="1" spans="9:12">
      <c r="I5548" s="225"/>
      <c r="K5548" s="9"/>
      <c r="L5548" s="9"/>
    </row>
    <row r="5549" s="105" customFormat="1" spans="9:12">
      <c r="I5549" s="225"/>
      <c r="K5549" s="9"/>
      <c r="L5549" s="9"/>
    </row>
    <row r="5550" s="105" customFormat="1" spans="9:12">
      <c r="I5550" s="225"/>
      <c r="K5550" s="9"/>
      <c r="L5550" s="9"/>
    </row>
    <row r="5551" s="105" customFormat="1" spans="9:12">
      <c r="I5551" s="225"/>
      <c r="K5551" s="9"/>
      <c r="L5551" s="9"/>
    </row>
    <row r="5552" s="105" customFormat="1" spans="9:12">
      <c r="I5552" s="225"/>
      <c r="K5552" s="9"/>
      <c r="L5552" s="9"/>
    </row>
    <row r="5553" s="105" customFormat="1" spans="9:12">
      <c r="I5553" s="225"/>
      <c r="K5553" s="9"/>
      <c r="L5553" s="9"/>
    </row>
    <row r="5554" s="105" customFormat="1" spans="9:12">
      <c r="I5554" s="225"/>
      <c r="K5554" s="9"/>
      <c r="L5554" s="9"/>
    </row>
    <row r="5555" s="105" customFormat="1" spans="9:12">
      <c r="I5555" s="225"/>
      <c r="K5555" s="9"/>
      <c r="L5555" s="9"/>
    </row>
    <row r="5556" s="105" customFormat="1" spans="9:12">
      <c r="I5556" s="225"/>
      <c r="K5556" s="9"/>
      <c r="L5556" s="9"/>
    </row>
    <row r="5557" s="105" customFormat="1" spans="9:12">
      <c r="I5557" s="225"/>
      <c r="K5557" s="9"/>
      <c r="L5557" s="9"/>
    </row>
    <row r="5558" s="105" customFormat="1" spans="9:12">
      <c r="I5558" s="225"/>
      <c r="K5558" s="9"/>
      <c r="L5558" s="9"/>
    </row>
    <row r="5559" s="105" customFormat="1" spans="9:12">
      <c r="I5559" s="225"/>
      <c r="K5559" s="9"/>
      <c r="L5559" s="9"/>
    </row>
    <row r="5560" s="105" customFormat="1" spans="9:12">
      <c r="I5560" s="225"/>
      <c r="K5560" s="9"/>
      <c r="L5560" s="9"/>
    </row>
    <row r="5561" s="105" customFormat="1" spans="9:12">
      <c r="I5561" s="225"/>
      <c r="K5561" s="9"/>
      <c r="L5561" s="9"/>
    </row>
    <row r="5562" s="105" customFormat="1" spans="9:12">
      <c r="I5562" s="225"/>
      <c r="K5562" s="9"/>
      <c r="L5562" s="9"/>
    </row>
    <row r="5563" s="105" customFormat="1" spans="9:12">
      <c r="I5563" s="225"/>
      <c r="K5563" s="9"/>
      <c r="L5563" s="9"/>
    </row>
    <row r="5564" s="105" customFormat="1" spans="9:12">
      <c r="I5564" s="225"/>
      <c r="K5564" s="9"/>
      <c r="L5564" s="9"/>
    </row>
    <row r="5565" s="105" customFormat="1" spans="9:12">
      <c r="I5565" s="225"/>
      <c r="K5565" s="9"/>
      <c r="L5565" s="9"/>
    </row>
    <row r="5566" s="105" customFormat="1" spans="9:12">
      <c r="I5566" s="225"/>
      <c r="K5566" s="9"/>
      <c r="L5566" s="9"/>
    </row>
    <row r="5567" s="105" customFormat="1" spans="9:12">
      <c r="I5567" s="225"/>
      <c r="K5567" s="9"/>
      <c r="L5567" s="9"/>
    </row>
    <row r="5568" s="105" customFormat="1" spans="9:12">
      <c r="I5568" s="225"/>
      <c r="K5568" s="9"/>
      <c r="L5568" s="9"/>
    </row>
    <row r="5569" s="105" customFormat="1" spans="9:12">
      <c r="I5569" s="225"/>
      <c r="K5569" s="9"/>
      <c r="L5569" s="9"/>
    </row>
    <row r="5570" s="105" customFormat="1" spans="9:12">
      <c r="I5570" s="225"/>
      <c r="K5570" s="9"/>
      <c r="L5570" s="9"/>
    </row>
    <row r="5571" s="105" customFormat="1" spans="9:12">
      <c r="I5571" s="225"/>
      <c r="K5571" s="9"/>
      <c r="L5571" s="9"/>
    </row>
    <row r="5572" s="105" customFormat="1" spans="9:12">
      <c r="I5572" s="225"/>
      <c r="K5572" s="9"/>
      <c r="L5572" s="9"/>
    </row>
    <row r="5573" s="105" customFormat="1" spans="9:12">
      <c r="I5573" s="225"/>
      <c r="K5573" s="9"/>
      <c r="L5573" s="9"/>
    </row>
    <row r="5574" s="105" customFormat="1" spans="9:12">
      <c r="I5574" s="225"/>
      <c r="K5574" s="9"/>
      <c r="L5574" s="9"/>
    </row>
    <row r="5575" s="105" customFormat="1" spans="9:12">
      <c r="I5575" s="225"/>
      <c r="K5575" s="9"/>
      <c r="L5575" s="9"/>
    </row>
    <row r="5576" s="105" customFormat="1" spans="9:12">
      <c r="I5576" s="225"/>
      <c r="K5576" s="9"/>
      <c r="L5576" s="9"/>
    </row>
    <row r="5577" s="105" customFormat="1" spans="9:12">
      <c r="I5577" s="225"/>
      <c r="K5577" s="9"/>
      <c r="L5577" s="9"/>
    </row>
    <row r="5578" s="105" customFormat="1" spans="9:12">
      <c r="I5578" s="225"/>
      <c r="K5578" s="9"/>
      <c r="L5578" s="9"/>
    </row>
    <row r="5579" s="105" customFormat="1" spans="9:12">
      <c r="I5579" s="225"/>
      <c r="K5579" s="9"/>
      <c r="L5579" s="9"/>
    </row>
    <row r="5580" s="105" customFormat="1" spans="9:12">
      <c r="I5580" s="225"/>
      <c r="K5580" s="9"/>
      <c r="L5580" s="9"/>
    </row>
    <row r="5581" s="105" customFormat="1" spans="9:12">
      <c r="I5581" s="225"/>
      <c r="K5581" s="9"/>
      <c r="L5581" s="9"/>
    </row>
    <row r="5582" s="105" customFormat="1" spans="9:12">
      <c r="I5582" s="225"/>
      <c r="K5582" s="9"/>
      <c r="L5582" s="9"/>
    </row>
    <row r="5583" s="105" customFormat="1" spans="9:12">
      <c r="I5583" s="225"/>
      <c r="K5583" s="9"/>
      <c r="L5583" s="9"/>
    </row>
    <row r="5584" s="105" customFormat="1" spans="9:12">
      <c r="I5584" s="225"/>
      <c r="K5584" s="9"/>
      <c r="L5584" s="9"/>
    </row>
    <row r="5585" s="105" customFormat="1" spans="9:12">
      <c r="I5585" s="225"/>
      <c r="K5585" s="9"/>
      <c r="L5585" s="9"/>
    </row>
    <row r="5586" s="105" customFormat="1" spans="9:12">
      <c r="I5586" s="225"/>
      <c r="K5586" s="9"/>
      <c r="L5586" s="9"/>
    </row>
    <row r="5587" s="105" customFormat="1" spans="9:12">
      <c r="I5587" s="225"/>
      <c r="K5587" s="9"/>
      <c r="L5587" s="9"/>
    </row>
    <row r="5588" s="105" customFormat="1" spans="9:12">
      <c r="I5588" s="225"/>
      <c r="K5588" s="9"/>
      <c r="L5588" s="9"/>
    </row>
    <row r="5589" s="105" customFormat="1" spans="9:12">
      <c r="I5589" s="225"/>
      <c r="K5589" s="9"/>
      <c r="L5589" s="9"/>
    </row>
    <row r="5590" s="105" customFormat="1" spans="9:12">
      <c r="I5590" s="225"/>
      <c r="K5590" s="9"/>
      <c r="L5590" s="9"/>
    </row>
    <row r="5591" s="105" customFormat="1" spans="9:12">
      <c r="I5591" s="225"/>
      <c r="K5591" s="9"/>
      <c r="L5591" s="9"/>
    </row>
    <row r="5592" s="105" customFormat="1" spans="9:12">
      <c r="I5592" s="225"/>
      <c r="K5592" s="9"/>
      <c r="L5592" s="9"/>
    </row>
    <row r="5593" s="105" customFormat="1" spans="9:12">
      <c r="I5593" s="225"/>
      <c r="K5593" s="9"/>
      <c r="L5593" s="9"/>
    </row>
    <row r="5594" s="105" customFormat="1" spans="9:12">
      <c r="I5594" s="225"/>
      <c r="K5594" s="9"/>
      <c r="L5594" s="9"/>
    </row>
    <row r="5595" s="105" customFormat="1" spans="9:12">
      <c r="I5595" s="225"/>
      <c r="K5595" s="9"/>
      <c r="L5595" s="9"/>
    </row>
    <row r="5596" s="105" customFormat="1" spans="9:12">
      <c r="I5596" s="225"/>
      <c r="K5596" s="9"/>
      <c r="L5596" s="9"/>
    </row>
    <row r="5597" s="105" customFormat="1" spans="9:12">
      <c r="I5597" s="225"/>
      <c r="K5597" s="9"/>
      <c r="L5597" s="9"/>
    </row>
    <row r="5598" s="105" customFormat="1" spans="9:12">
      <c r="I5598" s="225"/>
      <c r="K5598" s="9"/>
      <c r="L5598" s="9"/>
    </row>
    <row r="5599" s="105" customFormat="1" spans="9:12">
      <c r="I5599" s="225"/>
      <c r="K5599" s="9"/>
      <c r="L5599" s="9"/>
    </row>
    <row r="5600" s="105" customFormat="1" spans="9:12">
      <c r="I5600" s="225"/>
      <c r="K5600" s="9"/>
      <c r="L5600" s="9"/>
    </row>
    <row r="5601" s="105" customFormat="1" spans="9:12">
      <c r="I5601" s="225"/>
      <c r="K5601" s="9"/>
      <c r="L5601" s="9"/>
    </row>
    <row r="5602" s="105" customFormat="1" spans="9:12">
      <c r="I5602" s="225"/>
      <c r="K5602" s="9"/>
      <c r="L5602" s="9"/>
    </row>
    <row r="5603" s="105" customFormat="1" spans="9:12">
      <c r="I5603" s="225"/>
      <c r="K5603" s="9"/>
      <c r="L5603" s="9"/>
    </row>
    <row r="5604" s="105" customFormat="1" spans="9:12">
      <c r="I5604" s="225"/>
      <c r="K5604" s="9"/>
      <c r="L5604" s="9"/>
    </row>
    <row r="5605" s="105" customFormat="1" spans="9:12">
      <c r="I5605" s="225"/>
      <c r="K5605" s="9"/>
      <c r="L5605" s="9"/>
    </row>
    <row r="5606" s="105" customFormat="1" spans="9:12">
      <c r="I5606" s="225"/>
      <c r="K5606" s="9"/>
      <c r="L5606" s="9"/>
    </row>
    <row r="5607" s="105" customFormat="1" spans="9:12">
      <c r="I5607" s="225"/>
      <c r="K5607" s="9"/>
      <c r="L5607" s="9"/>
    </row>
    <row r="5608" s="105" customFormat="1" spans="9:12">
      <c r="I5608" s="225"/>
      <c r="K5608" s="9"/>
      <c r="L5608" s="9"/>
    </row>
    <row r="5609" s="105" customFormat="1" spans="9:12">
      <c r="I5609" s="225"/>
      <c r="K5609" s="9"/>
      <c r="L5609" s="9"/>
    </row>
    <row r="5610" s="105" customFormat="1" spans="9:12">
      <c r="I5610" s="225"/>
      <c r="K5610" s="9"/>
      <c r="L5610" s="9"/>
    </row>
    <row r="5611" s="105" customFormat="1" spans="9:12">
      <c r="I5611" s="225"/>
      <c r="K5611" s="9"/>
      <c r="L5611" s="9"/>
    </row>
    <row r="5612" s="105" customFormat="1" spans="9:12">
      <c r="I5612" s="225"/>
      <c r="K5612" s="9"/>
      <c r="L5612" s="9"/>
    </row>
    <row r="5613" s="105" customFormat="1" spans="9:12">
      <c r="I5613" s="225"/>
      <c r="K5613" s="9"/>
      <c r="L5613" s="9"/>
    </row>
    <row r="5614" s="105" customFormat="1" spans="9:12">
      <c r="I5614" s="225"/>
      <c r="K5614" s="9"/>
      <c r="L5614" s="9"/>
    </row>
    <row r="5615" s="105" customFormat="1" spans="9:12">
      <c r="I5615" s="225"/>
      <c r="K5615" s="9"/>
      <c r="L5615" s="9"/>
    </row>
    <row r="5616" s="105" customFormat="1" spans="9:12">
      <c r="I5616" s="225"/>
      <c r="K5616" s="9"/>
      <c r="L5616" s="9"/>
    </row>
    <row r="5617" s="105" customFormat="1" spans="9:12">
      <c r="I5617" s="225"/>
      <c r="K5617" s="9"/>
      <c r="L5617" s="9"/>
    </row>
    <row r="5618" s="105" customFormat="1" spans="9:12">
      <c r="I5618" s="225"/>
      <c r="K5618" s="9"/>
      <c r="L5618" s="9"/>
    </row>
    <row r="5619" s="105" customFormat="1" spans="9:12">
      <c r="I5619" s="225"/>
      <c r="K5619" s="9"/>
      <c r="L5619" s="9"/>
    </row>
    <row r="5620" s="105" customFormat="1" spans="9:12">
      <c r="I5620" s="225"/>
      <c r="K5620" s="9"/>
      <c r="L5620" s="9"/>
    </row>
    <row r="5621" s="105" customFormat="1" spans="9:12">
      <c r="I5621" s="225"/>
      <c r="K5621" s="9"/>
      <c r="L5621" s="9"/>
    </row>
    <row r="5622" s="105" customFormat="1" spans="9:12">
      <c r="I5622" s="225"/>
      <c r="K5622" s="9"/>
      <c r="L5622" s="9"/>
    </row>
    <row r="5623" s="105" customFormat="1" spans="9:12">
      <c r="I5623" s="225"/>
      <c r="K5623" s="9"/>
      <c r="L5623" s="9"/>
    </row>
    <row r="5624" s="105" customFormat="1" spans="9:12">
      <c r="I5624" s="225"/>
      <c r="K5624" s="9"/>
      <c r="L5624" s="9"/>
    </row>
    <row r="5625" s="105" customFormat="1" spans="9:12">
      <c r="I5625" s="225"/>
      <c r="K5625" s="9"/>
      <c r="L5625" s="9"/>
    </row>
    <row r="5626" s="105" customFormat="1" spans="9:12">
      <c r="I5626" s="225"/>
      <c r="K5626" s="9"/>
      <c r="L5626" s="9"/>
    </row>
    <row r="5627" s="105" customFormat="1" spans="9:12">
      <c r="I5627" s="225"/>
      <c r="K5627" s="9"/>
      <c r="L5627" s="9"/>
    </row>
    <row r="5628" s="105" customFormat="1" spans="9:12">
      <c r="I5628" s="225"/>
      <c r="K5628" s="9"/>
      <c r="L5628" s="9"/>
    </row>
    <row r="5629" s="105" customFormat="1" spans="9:12">
      <c r="I5629" s="225"/>
      <c r="K5629" s="9"/>
      <c r="L5629" s="9"/>
    </row>
    <row r="5630" s="105" customFormat="1" spans="9:12">
      <c r="I5630" s="225"/>
      <c r="K5630" s="9"/>
      <c r="L5630" s="9"/>
    </row>
    <row r="5631" s="105" customFormat="1" spans="9:12">
      <c r="I5631" s="225"/>
      <c r="K5631" s="9"/>
      <c r="L5631" s="9"/>
    </row>
    <row r="5632" s="105" customFormat="1" spans="9:12">
      <c r="I5632" s="225"/>
      <c r="K5632" s="9"/>
      <c r="L5632" s="9"/>
    </row>
    <row r="5633" s="105" customFormat="1" spans="9:12">
      <c r="I5633" s="225"/>
      <c r="K5633" s="9"/>
      <c r="L5633" s="9"/>
    </row>
    <row r="5634" s="105" customFormat="1" spans="9:12">
      <c r="I5634" s="225"/>
      <c r="K5634" s="9"/>
      <c r="L5634" s="9"/>
    </row>
    <row r="5635" s="105" customFormat="1" spans="9:12">
      <c r="I5635" s="225"/>
      <c r="K5635" s="9"/>
      <c r="L5635" s="9"/>
    </row>
    <row r="5636" s="105" customFormat="1" spans="9:12">
      <c r="I5636" s="225"/>
      <c r="K5636" s="9"/>
      <c r="L5636" s="9"/>
    </row>
    <row r="5637" s="105" customFormat="1" spans="9:12">
      <c r="I5637" s="225"/>
      <c r="K5637" s="9"/>
      <c r="L5637" s="9"/>
    </row>
    <row r="5638" s="105" customFormat="1" spans="9:12">
      <c r="I5638" s="225"/>
      <c r="K5638" s="9"/>
      <c r="L5638" s="9"/>
    </row>
    <row r="5639" s="105" customFormat="1" spans="9:12">
      <c r="I5639" s="225"/>
      <c r="K5639" s="9"/>
      <c r="L5639" s="9"/>
    </row>
    <row r="5640" s="105" customFormat="1" spans="9:12">
      <c r="I5640" s="225"/>
      <c r="K5640" s="9"/>
      <c r="L5640" s="9"/>
    </row>
    <row r="5641" s="105" customFormat="1" spans="9:12">
      <c r="I5641" s="225"/>
      <c r="K5641" s="9"/>
      <c r="L5641" s="9"/>
    </row>
    <row r="5642" s="105" customFormat="1" spans="9:12">
      <c r="I5642" s="225"/>
      <c r="K5642" s="9"/>
      <c r="L5642" s="9"/>
    </row>
    <row r="5643" s="105" customFormat="1" spans="9:12">
      <c r="I5643" s="225"/>
      <c r="K5643" s="9"/>
      <c r="L5643" s="9"/>
    </row>
    <row r="5644" s="105" customFormat="1" spans="9:12">
      <c r="I5644" s="225"/>
      <c r="K5644" s="9"/>
      <c r="L5644" s="9"/>
    </row>
    <row r="5645" s="105" customFormat="1" spans="9:12">
      <c r="I5645" s="225"/>
      <c r="K5645" s="9"/>
      <c r="L5645" s="9"/>
    </row>
    <row r="5646" s="105" customFormat="1" spans="9:12">
      <c r="I5646" s="225"/>
      <c r="K5646" s="9"/>
      <c r="L5646" s="9"/>
    </row>
    <row r="5647" s="105" customFormat="1" spans="9:12">
      <c r="I5647" s="225"/>
      <c r="K5647" s="9"/>
      <c r="L5647" s="9"/>
    </row>
    <row r="5648" s="105" customFormat="1" spans="9:12">
      <c r="I5648" s="225"/>
      <c r="K5648" s="9"/>
      <c r="L5648" s="9"/>
    </row>
    <row r="5649" s="105" customFormat="1" spans="9:12">
      <c r="I5649" s="225"/>
      <c r="K5649" s="9"/>
      <c r="L5649" s="9"/>
    </row>
    <row r="5650" s="105" customFormat="1" spans="9:12">
      <c r="I5650" s="225"/>
      <c r="K5650" s="9"/>
      <c r="L5650" s="9"/>
    </row>
    <row r="5651" s="105" customFormat="1" spans="9:12">
      <c r="I5651" s="225"/>
      <c r="K5651" s="9"/>
      <c r="L5651" s="9"/>
    </row>
    <row r="5652" s="105" customFormat="1" spans="9:12">
      <c r="I5652" s="225"/>
      <c r="K5652" s="9"/>
      <c r="L5652" s="9"/>
    </row>
    <row r="5653" s="105" customFormat="1" spans="9:12">
      <c r="I5653" s="225"/>
      <c r="K5653" s="9"/>
      <c r="L5653" s="9"/>
    </row>
    <row r="5654" s="105" customFormat="1" spans="9:12">
      <c r="I5654" s="225"/>
      <c r="K5654" s="9"/>
      <c r="L5654" s="9"/>
    </row>
    <row r="5655" s="105" customFormat="1" spans="9:12">
      <c r="I5655" s="225"/>
      <c r="K5655" s="9"/>
      <c r="L5655" s="9"/>
    </row>
    <row r="5656" s="105" customFormat="1" spans="9:12">
      <c r="I5656" s="225"/>
      <c r="K5656" s="9"/>
      <c r="L5656" s="9"/>
    </row>
    <row r="5657" s="105" customFormat="1" spans="9:12">
      <c r="I5657" s="225"/>
      <c r="K5657" s="9"/>
      <c r="L5657" s="9"/>
    </row>
    <row r="5658" s="105" customFormat="1" spans="9:12">
      <c r="I5658" s="225"/>
      <c r="K5658" s="9"/>
      <c r="L5658" s="9"/>
    </row>
    <row r="5659" s="105" customFormat="1" spans="9:12">
      <c r="I5659" s="225"/>
      <c r="K5659" s="9"/>
      <c r="L5659" s="9"/>
    </row>
    <row r="5660" s="105" customFormat="1" spans="9:12">
      <c r="I5660" s="225"/>
      <c r="K5660" s="9"/>
      <c r="L5660" s="9"/>
    </row>
    <row r="5661" s="105" customFormat="1" spans="9:12">
      <c r="I5661" s="225"/>
      <c r="K5661" s="9"/>
      <c r="L5661" s="9"/>
    </row>
    <row r="5662" s="105" customFormat="1" spans="9:12">
      <c r="I5662" s="225"/>
      <c r="K5662" s="9"/>
      <c r="L5662" s="9"/>
    </row>
    <row r="5663" s="105" customFormat="1" spans="9:12">
      <c r="I5663" s="225"/>
      <c r="K5663" s="9"/>
      <c r="L5663" s="9"/>
    </row>
    <row r="5664" s="105" customFormat="1" spans="9:12">
      <c r="I5664" s="225"/>
      <c r="K5664" s="9"/>
      <c r="L5664" s="9"/>
    </row>
    <row r="5665" s="105" customFormat="1" spans="9:12">
      <c r="I5665" s="225"/>
      <c r="K5665" s="9"/>
      <c r="L5665" s="9"/>
    </row>
    <row r="5666" s="105" customFormat="1" spans="9:12">
      <c r="I5666" s="225"/>
      <c r="K5666" s="9"/>
      <c r="L5666" s="9"/>
    </row>
    <row r="5667" s="105" customFormat="1" spans="9:12">
      <c r="I5667" s="225"/>
      <c r="K5667" s="9"/>
      <c r="L5667" s="9"/>
    </row>
    <row r="5668" s="105" customFormat="1" spans="9:12">
      <c r="I5668" s="225"/>
      <c r="K5668" s="9"/>
      <c r="L5668" s="9"/>
    </row>
    <row r="5669" s="105" customFormat="1" spans="9:12">
      <c r="I5669" s="225"/>
      <c r="K5669" s="9"/>
      <c r="L5669" s="9"/>
    </row>
    <row r="5670" s="105" customFormat="1" spans="9:12">
      <c r="I5670" s="225"/>
      <c r="K5670" s="9"/>
      <c r="L5670" s="9"/>
    </row>
    <row r="5671" s="105" customFormat="1" spans="9:12">
      <c r="I5671" s="225"/>
      <c r="K5671" s="9"/>
      <c r="L5671" s="9"/>
    </row>
    <row r="5672" s="105" customFormat="1" spans="9:12">
      <c r="I5672" s="225"/>
      <c r="K5672" s="9"/>
      <c r="L5672" s="9"/>
    </row>
    <row r="5673" s="105" customFormat="1" spans="9:12">
      <c r="I5673" s="225"/>
      <c r="K5673" s="9"/>
      <c r="L5673" s="9"/>
    </row>
    <row r="5674" s="105" customFormat="1" spans="9:12">
      <c r="I5674" s="225"/>
      <c r="K5674" s="9"/>
      <c r="L5674" s="9"/>
    </row>
    <row r="5675" s="105" customFormat="1" spans="9:12">
      <c r="I5675" s="225"/>
      <c r="K5675" s="9"/>
      <c r="L5675" s="9"/>
    </row>
    <row r="5676" s="105" customFormat="1" spans="9:12">
      <c r="I5676" s="225"/>
      <c r="K5676" s="9"/>
      <c r="L5676" s="9"/>
    </row>
    <row r="5677" s="105" customFormat="1" spans="9:12">
      <c r="I5677" s="225"/>
      <c r="K5677" s="9"/>
      <c r="L5677" s="9"/>
    </row>
    <row r="5678" s="105" customFormat="1" spans="9:12">
      <c r="I5678" s="225"/>
      <c r="K5678" s="9"/>
      <c r="L5678" s="9"/>
    </row>
    <row r="5679" s="105" customFormat="1" spans="9:12">
      <c r="I5679" s="225"/>
      <c r="K5679" s="9"/>
      <c r="L5679" s="9"/>
    </row>
    <row r="5680" s="105" customFormat="1" spans="9:12">
      <c r="I5680" s="225"/>
      <c r="K5680" s="9"/>
      <c r="L5680" s="9"/>
    </row>
    <row r="5681" s="105" customFormat="1" spans="9:12">
      <c r="I5681" s="225"/>
      <c r="K5681" s="9"/>
      <c r="L5681" s="9"/>
    </row>
    <row r="5682" s="105" customFormat="1" spans="9:12">
      <c r="I5682" s="225"/>
      <c r="K5682" s="9"/>
      <c r="L5682" s="9"/>
    </row>
    <row r="5683" s="105" customFormat="1" spans="9:12">
      <c r="I5683" s="225"/>
      <c r="K5683" s="9"/>
      <c r="L5683" s="9"/>
    </row>
    <row r="5684" s="105" customFormat="1" spans="9:12">
      <c r="I5684" s="225"/>
      <c r="K5684" s="9"/>
      <c r="L5684" s="9"/>
    </row>
    <row r="5685" s="105" customFormat="1" spans="9:12">
      <c r="I5685" s="225"/>
      <c r="K5685" s="9"/>
      <c r="L5685" s="9"/>
    </row>
    <row r="5686" s="105" customFormat="1" spans="9:12">
      <c r="I5686" s="225"/>
      <c r="K5686" s="9"/>
      <c r="L5686" s="9"/>
    </row>
    <row r="5687" s="105" customFormat="1" spans="9:12">
      <c r="I5687" s="225"/>
      <c r="K5687" s="9"/>
      <c r="L5687" s="9"/>
    </row>
    <row r="5688" s="105" customFormat="1" spans="9:12">
      <c r="I5688" s="225"/>
      <c r="K5688" s="9"/>
      <c r="L5688" s="9"/>
    </row>
    <row r="5689" s="105" customFormat="1" spans="9:12">
      <c r="I5689" s="225"/>
      <c r="K5689" s="9"/>
      <c r="L5689" s="9"/>
    </row>
    <row r="5690" s="105" customFormat="1" spans="9:12">
      <c r="I5690" s="225"/>
      <c r="K5690" s="9"/>
      <c r="L5690" s="9"/>
    </row>
    <row r="5691" s="105" customFormat="1" spans="9:12">
      <c r="I5691" s="225"/>
      <c r="K5691" s="9"/>
      <c r="L5691" s="9"/>
    </row>
    <row r="5692" s="105" customFormat="1" spans="9:12">
      <c r="I5692" s="225"/>
      <c r="K5692" s="9"/>
      <c r="L5692" s="9"/>
    </row>
    <row r="5693" s="105" customFormat="1" spans="9:12">
      <c r="I5693" s="225"/>
      <c r="K5693" s="9"/>
      <c r="L5693" s="9"/>
    </row>
    <row r="5694" s="105" customFormat="1" spans="9:12">
      <c r="I5694" s="225"/>
      <c r="K5694" s="9"/>
      <c r="L5694" s="9"/>
    </row>
    <row r="5695" s="105" customFormat="1" spans="9:12">
      <c r="I5695" s="225"/>
      <c r="K5695" s="9"/>
      <c r="L5695" s="9"/>
    </row>
    <row r="5696" s="105" customFormat="1" spans="9:12">
      <c r="I5696" s="225"/>
      <c r="K5696" s="9"/>
      <c r="L5696" s="9"/>
    </row>
    <row r="5697" s="105" customFormat="1" spans="9:12">
      <c r="I5697" s="225"/>
      <c r="K5697" s="9"/>
      <c r="L5697" s="9"/>
    </row>
    <row r="5698" s="105" customFormat="1" spans="9:12">
      <c r="I5698" s="225"/>
      <c r="K5698" s="9"/>
      <c r="L5698" s="9"/>
    </row>
    <row r="5699" s="105" customFormat="1" spans="9:12">
      <c r="I5699" s="225"/>
      <c r="K5699" s="9"/>
      <c r="L5699" s="9"/>
    </row>
    <row r="5700" s="105" customFormat="1" spans="9:12">
      <c r="I5700" s="225"/>
      <c r="K5700" s="9"/>
      <c r="L5700" s="9"/>
    </row>
    <row r="5701" s="105" customFormat="1" spans="9:12">
      <c r="I5701" s="225"/>
      <c r="K5701" s="9"/>
      <c r="L5701" s="9"/>
    </row>
    <row r="5702" s="105" customFormat="1" spans="9:12">
      <c r="I5702" s="225"/>
      <c r="K5702" s="9"/>
      <c r="L5702" s="9"/>
    </row>
    <row r="5703" s="105" customFormat="1" spans="9:12">
      <c r="I5703" s="225"/>
      <c r="K5703" s="9"/>
      <c r="L5703" s="9"/>
    </row>
    <row r="5704" s="105" customFormat="1" spans="9:12">
      <c r="I5704" s="225"/>
      <c r="K5704" s="9"/>
      <c r="L5704" s="9"/>
    </row>
    <row r="5705" s="105" customFormat="1" spans="9:12">
      <c r="I5705" s="225"/>
      <c r="K5705" s="9"/>
      <c r="L5705" s="9"/>
    </row>
    <row r="5706" s="105" customFormat="1" spans="9:12">
      <c r="I5706" s="225"/>
      <c r="K5706" s="9"/>
      <c r="L5706" s="9"/>
    </row>
    <row r="5707" s="105" customFormat="1" spans="9:12">
      <c r="I5707" s="225"/>
      <c r="K5707" s="9"/>
      <c r="L5707" s="9"/>
    </row>
    <row r="5708" s="105" customFormat="1" spans="9:12">
      <c r="I5708" s="225"/>
      <c r="K5708" s="9"/>
      <c r="L5708" s="9"/>
    </row>
    <row r="5709" s="105" customFormat="1" spans="9:12">
      <c r="I5709" s="225"/>
      <c r="K5709" s="9"/>
      <c r="L5709" s="9"/>
    </row>
    <row r="5710" s="105" customFormat="1" spans="9:12">
      <c r="I5710" s="225"/>
      <c r="K5710" s="9"/>
      <c r="L5710" s="9"/>
    </row>
    <row r="5711" s="105" customFormat="1" spans="9:12">
      <c r="I5711" s="225"/>
      <c r="K5711" s="9"/>
      <c r="L5711" s="9"/>
    </row>
    <row r="5712" s="105" customFormat="1" spans="9:12">
      <c r="I5712" s="225"/>
      <c r="K5712" s="9"/>
      <c r="L5712" s="9"/>
    </row>
    <row r="5713" s="105" customFormat="1" spans="9:12">
      <c r="I5713" s="225"/>
      <c r="K5713" s="9"/>
      <c r="L5713" s="9"/>
    </row>
    <row r="5714" s="105" customFormat="1" spans="9:12">
      <c r="I5714" s="225"/>
      <c r="K5714" s="9"/>
      <c r="L5714" s="9"/>
    </row>
    <row r="5715" s="105" customFormat="1" spans="9:12">
      <c r="I5715" s="225"/>
      <c r="K5715" s="9"/>
      <c r="L5715" s="9"/>
    </row>
    <row r="5716" s="105" customFormat="1" spans="9:12">
      <c r="I5716" s="225"/>
      <c r="K5716" s="9"/>
      <c r="L5716" s="9"/>
    </row>
    <row r="5717" s="105" customFormat="1" spans="9:12">
      <c r="I5717" s="225"/>
      <c r="K5717" s="9"/>
      <c r="L5717" s="9"/>
    </row>
    <row r="5718" s="105" customFormat="1" spans="9:12">
      <c r="I5718" s="225"/>
      <c r="K5718" s="9"/>
      <c r="L5718" s="9"/>
    </row>
    <row r="5719" s="105" customFormat="1" spans="9:12">
      <c r="I5719" s="225"/>
      <c r="K5719" s="9"/>
      <c r="L5719" s="9"/>
    </row>
    <row r="5720" s="105" customFormat="1" spans="9:12">
      <c r="I5720" s="225"/>
      <c r="K5720" s="9"/>
      <c r="L5720" s="9"/>
    </row>
    <row r="5721" s="105" customFormat="1" spans="9:12">
      <c r="I5721" s="225"/>
      <c r="K5721" s="9"/>
      <c r="L5721" s="9"/>
    </row>
    <row r="5722" s="105" customFormat="1" spans="9:12">
      <c r="I5722" s="225"/>
      <c r="K5722" s="9"/>
      <c r="L5722" s="9"/>
    </row>
    <row r="5723" s="105" customFormat="1" spans="9:12">
      <c r="I5723" s="225"/>
      <c r="K5723" s="9"/>
      <c r="L5723" s="9"/>
    </row>
    <row r="5724" s="105" customFormat="1" spans="9:12">
      <c r="I5724" s="225"/>
      <c r="K5724" s="9"/>
      <c r="L5724" s="9"/>
    </row>
    <row r="5725" s="105" customFormat="1" spans="9:12">
      <c r="I5725" s="225"/>
      <c r="K5725" s="9"/>
      <c r="L5725" s="9"/>
    </row>
    <row r="5726" s="105" customFormat="1" spans="9:12">
      <c r="I5726" s="225"/>
      <c r="K5726" s="9"/>
      <c r="L5726" s="9"/>
    </row>
    <row r="5727" s="105" customFormat="1" spans="9:12">
      <c r="I5727" s="225"/>
      <c r="K5727" s="9"/>
      <c r="L5727" s="9"/>
    </row>
    <row r="5728" s="105" customFormat="1" spans="9:12">
      <c r="I5728" s="225"/>
      <c r="K5728" s="9"/>
      <c r="L5728" s="9"/>
    </row>
    <row r="5729" s="105" customFormat="1" spans="9:12">
      <c r="I5729" s="225"/>
      <c r="K5729" s="9"/>
      <c r="L5729" s="9"/>
    </row>
    <row r="5730" s="105" customFormat="1" spans="9:12">
      <c r="I5730" s="225"/>
      <c r="K5730" s="9"/>
      <c r="L5730" s="9"/>
    </row>
    <row r="5731" s="105" customFormat="1" spans="9:12">
      <c r="I5731" s="225"/>
      <c r="K5731" s="9"/>
      <c r="L5731" s="9"/>
    </row>
    <row r="5732" s="105" customFormat="1" spans="9:12">
      <c r="I5732" s="225"/>
      <c r="K5732" s="9"/>
      <c r="L5732" s="9"/>
    </row>
    <row r="5733" s="105" customFormat="1" spans="9:12">
      <c r="I5733" s="225"/>
      <c r="K5733" s="9"/>
      <c r="L5733" s="9"/>
    </row>
    <row r="5734" s="105" customFormat="1" spans="9:12">
      <c r="I5734" s="225"/>
      <c r="K5734" s="9"/>
      <c r="L5734" s="9"/>
    </row>
    <row r="5735" s="105" customFormat="1" spans="9:12">
      <c r="I5735" s="225"/>
      <c r="K5735" s="9"/>
      <c r="L5735" s="9"/>
    </row>
    <row r="5736" s="105" customFormat="1" spans="9:12">
      <c r="I5736" s="225"/>
      <c r="K5736" s="9"/>
      <c r="L5736" s="9"/>
    </row>
    <row r="5737" s="105" customFormat="1" spans="9:12">
      <c r="I5737" s="225"/>
      <c r="K5737" s="9"/>
      <c r="L5737" s="9"/>
    </row>
    <row r="5738" s="105" customFormat="1" spans="9:12">
      <c r="I5738" s="225"/>
      <c r="K5738" s="9"/>
      <c r="L5738" s="9"/>
    </row>
    <row r="5739" s="105" customFormat="1" spans="9:12">
      <c r="I5739" s="225"/>
      <c r="K5739" s="9"/>
      <c r="L5739" s="9"/>
    </row>
    <row r="5740" s="105" customFormat="1" spans="9:12">
      <c r="I5740" s="225"/>
      <c r="K5740" s="9"/>
      <c r="L5740" s="9"/>
    </row>
    <row r="5741" s="105" customFormat="1" spans="9:12">
      <c r="I5741" s="225"/>
      <c r="K5741" s="9"/>
      <c r="L5741" s="9"/>
    </row>
    <row r="5742" s="105" customFormat="1" spans="9:12">
      <c r="I5742" s="225"/>
      <c r="K5742" s="9"/>
      <c r="L5742" s="9"/>
    </row>
    <row r="5743" s="105" customFormat="1" spans="9:12">
      <c r="I5743" s="225"/>
      <c r="K5743" s="9"/>
      <c r="L5743" s="9"/>
    </row>
    <row r="5744" s="105" customFormat="1" spans="9:12">
      <c r="I5744" s="225"/>
      <c r="K5744" s="9"/>
      <c r="L5744" s="9"/>
    </row>
    <row r="5745" s="105" customFormat="1" spans="9:12">
      <c r="I5745" s="225"/>
      <c r="K5745" s="9"/>
      <c r="L5745" s="9"/>
    </row>
    <row r="5746" s="105" customFormat="1" spans="9:12">
      <c r="I5746" s="225"/>
      <c r="K5746" s="9"/>
      <c r="L5746" s="9"/>
    </row>
    <row r="5747" s="105" customFormat="1" spans="9:12">
      <c r="I5747" s="225"/>
      <c r="K5747" s="9"/>
      <c r="L5747" s="9"/>
    </row>
    <row r="5748" s="105" customFormat="1" spans="9:12">
      <c r="I5748" s="225"/>
      <c r="K5748" s="9"/>
      <c r="L5748" s="9"/>
    </row>
    <row r="5749" s="105" customFormat="1" spans="9:12">
      <c r="I5749" s="225"/>
      <c r="K5749" s="9"/>
      <c r="L5749" s="9"/>
    </row>
    <row r="5750" s="105" customFormat="1" spans="9:12">
      <c r="I5750" s="225"/>
      <c r="K5750" s="9"/>
      <c r="L5750" s="9"/>
    </row>
    <row r="5751" s="105" customFormat="1" spans="9:12">
      <c r="I5751" s="225"/>
      <c r="K5751" s="9"/>
      <c r="L5751" s="9"/>
    </row>
    <row r="5752" s="105" customFormat="1" spans="9:12">
      <c r="I5752" s="225"/>
      <c r="K5752" s="9"/>
      <c r="L5752" s="9"/>
    </row>
    <row r="5753" s="105" customFormat="1" spans="9:12">
      <c r="I5753" s="225"/>
      <c r="K5753" s="9"/>
      <c r="L5753" s="9"/>
    </row>
    <row r="5754" s="105" customFormat="1" spans="9:12">
      <c r="I5754" s="225"/>
      <c r="K5754" s="9"/>
      <c r="L5754" s="9"/>
    </row>
    <row r="5755" s="105" customFormat="1" spans="9:12">
      <c r="I5755" s="225"/>
      <c r="K5755" s="9"/>
      <c r="L5755" s="9"/>
    </row>
    <row r="5756" s="105" customFormat="1" spans="9:12">
      <c r="I5756" s="225"/>
      <c r="K5756" s="9"/>
      <c r="L5756" s="9"/>
    </row>
    <row r="5757" s="105" customFormat="1" spans="9:12">
      <c r="I5757" s="225"/>
      <c r="K5757" s="9"/>
      <c r="L5757" s="9"/>
    </row>
    <row r="5758" s="105" customFormat="1" spans="9:12">
      <c r="I5758" s="225"/>
      <c r="K5758" s="9"/>
      <c r="L5758" s="9"/>
    </row>
    <row r="5759" s="105" customFormat="1" spans="9:12">
      <c r="I5759" s="225"/>
      <c r="K5759" s="9"/>
      <c r="L5759" s="9"/>
    </row>
    <row r="5760" s="105" customFormat="1" spans="9:12">
      <c r="I5760" s="225"/>
      <c r="K5760" s="9"/>
      <c r="L5760" s="9"/>
    </row>
    <row r="5761" s="105" customFormat="1" spans="9:12">
      <c r="I5761" s="225"/>
      <c r="K5761" s="9"/>
      <c r="L5761" s="9"/>
    </row>
    <row r="5762" s="105" customFormat="1" spans="9:12">
      <c r="I5762" s="225"/>
      <c r="K5762" s="9"/>
      <c r="L5762" s="9"/>
    </row>
    <row r="5763" s="105" customFormat="1" spans="9:12">
      <c r="I5763" s="225"/>
      <c r="K5763" s="9"/>
      <c r="L5763" s="9"/>
    </row>
    <row r="5764" s="105" customFormat="1" spans="9:12">
      <c r="I5764" s="225"/>
      <c r="K5764" s="9"/>
      <c r="L5764" s="9"/>
    </row>
    <row r="5765" s="105" customFormat="1" spans="9:12">
      <c r="I5765" s="225"/>
      <c r="K5765" s="9"/>
      <c r="L5765" s="9"/>
    </row>
    <row r="5766" s="105" customFormat="1" spans="9:12">
      <c r="I5766" s="225"/>
      <c r="K5766" s="9"/>
      <c r="L5766" s="9"/>
    </row>
    <row r="5767" s="105" customFormat="1" spans="9:12">
      <c r="I5767" s="225"/>
      <c r="K5767" s="9"/>
      <c r="L5767" s="9"/>
    </row>
    <row r="5768" s="105" customFormat="1" spans="9:12">
      <c r="I5768" s="225"/>
      <c r="K5768" s="9"/>
      <c r="L5768" s="9"/>
    </row>
    <row r="5769" s="105" customFormat="1" spans="9:12">
      <c r="I5769" s="225"/>
      <c r="K5769" s="9"/>
      <c r="L5769" s="9"/>
    </row>
    <row r="5770" s="105" customFormat="1" spans="9:12">
      <c r="I5770" s="225"/>
      <c r="K5770" s="9"/>
      <c r="L5770" s="9"/>
    </row>
    <row r="5771" s="105" customFormat="1" spans="9:12">
      <c r="I5771" s="225"/>
      <c r="K5771" s="9"/>
      <c r="L5771" s="9"/>
    </row>
    <row r="5772" s="105" customFormat="1" spans="9:12">
      <c r="I5772" s="225"/>
      <c r="K5772" s="9"/>
      <c r="L5772" s="9"/>
    </row>
    <row r="5773" s="105" customFormat="1" spans="9:12">
      <c r="I5773" s="225"/>
      <c r="K5773" s="9"/>
      <c r="L5773" s="9"/>
    </row>
    <row r="5774" s="105" customFormat="1" spans="9:12">
      <c r="I5774" s="225"/>
      <c r="K5774" s="9"/>
      <c r="L5774" s="9"/>
    </row>
    <row r="5775" s="105" customFormat="1" spans="9:12">
      <c r="I5775" s="225"/>
      <c r="K5775" s="9"/>
      <c r="L5775" s="9"/>
    </row>
    <row r="5776" s="105" customFormat="1" spans="9:12">
      <c r="I5776" s="225"/>
      <c r="K5776" s="9"/>
      <c r="L5776" s="9"/>
    </row>
    <row r="5777" s="105" customFormat="1" spans="9:12">
      <c r="I5777" s="225"/>
      <c r="K5777" s="9"/>
      <c r="L5777" s="9"/>
    </row>
    <row r="5778" s="105" customFormat="1" spans="9:12">
      <c r="I5778" s="225"/>
      <c r="K5778" s="9"/>
      <c r="L5778" s="9"/>
    </row>
    <row r="5779" s="105" customFormat="1" spans="9:12">
      <c r="I5779" s="225"/>
      <c r="K5779" s="9"/>
      <c r="L5779" s="9"/>
    </row>
    <row r="5780" s="105" customFormat="1" spans="9:12">
      <c r="I5780" s="225"/>
      <c r="K5780" s="9"/>
      <c r="L5780" s="9"/>
    </row>
    <row r="5781" s="105" customFormat="1" spans="9:12">
      <c r="I5781" s="225"/>
      <c r="K5781" s="9"/>
      <c r="L5781" s="9"/>
    </row>
    <row r="5782" s="105" customFormat="1" spans="9:12">
      <c r="I5782" s="225"/>
      <c r="K5782" s="9"/>
      <c r="L5782" s="9"/>
    </row>
    <row r="5783" s="105" customFormat="1" spans="9:12">
      <c r="I5783" s="225"/>
      <c r="K5783" s="9"/>
      <c r="L5783" s="9"/>
    </row>
    <row r="5784" s="105" customFormat="1" spans="9:12">
      <c r="I5784" s="225"/>
      <c r="K5784" s="9"/>
      <c r="L5784" s="9"/>
    </row>
    <row r="5785" s="105" customFormat="1" spans="9:12">
      <c r="I5785" s="225"/>
      <c r="K5785" s="9"/>
      <c r="L5785" s="9"/>
    </row>
    <row r="5786" s="105" customFormat="1" spans="9:12">
      <c r="I5786" s="225"/>
      <c r="K5786" s="9"/>
      <c r="L5786" s="9"/>
    </row>
    <row r="5787" s="105" customFormat="1" spans="9:12">
      <c r="I5787" s="225"/>
      <c r="K5787" s="9"/>
      <c r="L5787" s="9"/>
    </row>
    <row r="5788" s="105" customFormat="1" spans="9:12">
      <c r="I5788" s="225"/>
      <c r="K5788" s="9"/>
      <c r="L5788" s="9"/>
    </row>
    <row r="5789" s="105" customFormat="1" spans="9:12">
      <c r="I5789" s="225"/>
      <c r="K5789" s="9"/>
      <c r="L5789" s="9"/>
    </row>
    <row r="5790" s="105" customFormat="1" spans="9:12">
      <c r="I5790" s="225"/>
      <c r="K5790" s="9"/>
      <c r="L5790" s="9"/>
    </row>
    <row r="5791" s="105" customFormat="1" spans="9:12">
      <c r="I5791" s="225"/>
      <c r="K5791" s="9"/>
      <c r="L5791" s="9"/>
    </row>
    <row r="5792" s="105" customFormat="1" spans="9:12">
      <c r="I5792" s="225"/>
      <c r="K5792" s="9"/>
      <c r="L5792" s="9"/>
    </row>
    <row r="5793" s="105" customFormat="1" spans="9:12">
      <c r="I5793" s="225"/>
      <c r="K5793" s="9"/>
      <c r="L5793" s="9"/>
    </row>
    <row r="5794" s="105" customFormat="1" spans="9:12">
      <c r="I5794" s="225"/>
      <c r="K5794" s="9"/>
      <c r="L5794" s="9"/>
    </row>
    <row r="5795" s="105" customFormat="1" spans="9:12">
      <c r="I5795" s="225"/>
      <c r="K5795" s="9"/>
      <c r="L5795" s="9"/>
    </row>
    <row r="5796" s="105" customFormat="1" spans="9:12">
      <c r="I5796" s="225"/>
      <c r="K5796" s="9"/>
      <c r="L5796" s="9"/>
    </row>
    <row r="5797" s="105" customFormat="1" spans="9:12">
      <c r="I5797" s="225"/>
      <c r="K5797" s="9"/>
      <c r="L5797" s="9"/>
    </row>
    <row r="5798" s="105" customFormat="1" spans="9:12">
      <c r="I5798" s="225"/>
      <c r="K5798" s="9"/>
      <c r="L5798" s="9"/>
    </row>
    <row r="5799" s="105" customFormat="1" spans="9:12">
      <c r="I5799" s="225"/>
      <c r="K5799" s="9"/>
      <c r="L5799" s="9"/>
    </row>
    <row r="5800" s="105" customFormat="1" spans="9:12">
      <c r="I5800" s="225"/>
      <c r="K5800" s="9"/>
      <c r="L5800" s="9"/>
    </row>
    <row r="5801" s="105" customFormat="1" spans="9:12">
      <c r="I5801" s="225"/>
      <c r="K5801" s="9"/>
      <c r="L5801" s="9"/>
    </row>
    <row r="5802" s="105" customFormat="1" spans="9:12">
      <c r="I5802" s="225"/>
      <c r="K5802" s="9"/>
      <c r="L5802" s="9"/>
    </row>
    <row r="5803" s="105" customFormat="1" spans="9:12">
      <c r="I5803" s="225"/>
      <c r="K5803" s="9"/>
      <c r="L5803" s="9"/>
    </row>
    <row r="5804" s="105" customFormat="1" spans="9:12">
      <c r="I5804" s="225"/>
      <c r="K5804" s="9"/>
      <c r="L5804" s="9"/>
    </row>
    <row r="5805" s="105" customFormat="1" spans="9:12">
      <c r="I5805" s="225"/>
      <c r="K5805" s="9"/>
      <c r="L5805" s="9"/>
    </row>
    <row r="5806" s="105" customFormat="1" spans="9:12">
      <c r="I5806" s="225"/>
      <c r="K5806" s="9"/>
      <c r="L5806" s="9"/>
    </row>
    <row r="5807" s="105" customFormat="1" spans="9:12">
      <c r="I5807" s="225"/>
      <c r="K5807" s="9"/>
      <c r="L5807" s="9"/>
    </row>
    <row r="5808" s="105" customFormat="1" spans="9:12">
      <c r="I5808" s="225"/>
      <c r="K5808" s="9"/>
      <c r="L5808" s="9"/>
    </row>
    <row r="5809" s="105" customFormat="1" spans="9:12">
      <c r="I5809" s="225"/>
      <c r="K5809" s="9"/>
      <c r="L5809" s="9"/>
    </row>
    <row r="5810" s="105" customFormat="1" spans="9:12">
      <c r="I5810" s="225"/>
      <c r="K5810" s="9"/>
      <c r="L5810" s="9"/>
    </row>
    <row r="5811" s="105" customFormat="1" spans="9:12">
      <c r="I5811" s="225"/>
      <c r="K5811" s="9"/>
      <c r="L5811" s="9"/>
    </row>
    <row r="5812" s="105" customFormat="1" spans="9:12">
      <c r="I5812" s="225"/>
      <c r="K5812" s="9"/>
      <c r="L5812" s="9"/>
    </row>
    <row r="5813" s="105" customFormat="1" spans="9:12">
      <c r="I5813" s="225"/>
      <c r="K5813" s="9"/>
      <c r="L5813" s="9"/>
    </row>
    <row r="5814" s="105" customFormat="1" spans="9:12">
      <c r="I5814" s="225"/>
      <c r="K5814" s="9"/>
      <c r="L5814" s="9"/>
    </row>
    <row r="5815" s="105" customFormat="1" spans="9:12">
      <c r="I5815" s="225"/>
      <c r="K5815" s="9"/>
      <c r="L5815" s="9"/>
    </row>
    <row r="5816" s="105" customFormat="1" spans="9:12">
      <c r="I5816" s="225"/>
      <c r="K5816" s="9"/>
      <c r="L5816" s="9"/>
    </row>
    <row r="5817" s="105" customFormat="1" spans="9:12">
      <c r="I5817" s="225"/>
      <c r="K5817" s="9"/>
      <c r="L5817" s="9"/>
    </row>
    <row r="5818" s="105" customFormat="1" spans="9:12">
      <c r="I5818" s="225"/>
      <c r="K5818" s="9"/>
      <c r="L5818" s="9"/>
    </row>
    <row r="5819" s="105" customFormat="1" spans="9:12">
      <c r="I5819" s="225"/>
      <c r="K5819" s="9"/>
      <c r="L5819" s="9"/>
    </row>
    <row r="5820" s="105" customFormat="1" spans="9:12">
      <c r="I5820" s="225"/>
      <c r="K5820" s="9"/>
      <c r="L5820" s="9"/>
    </row>
    <row r="5821" s="105" customFormat="1" spans="9:12">
      <c r="I5821" s="225"/>
      <c r="K5821" s="9"/>
      <c r="L5821" s="9"/>
    </row>
    <row r="5822" s="105" customFormat="1" spans="9:12">
      <c r="I5822" s="225"/>
      <c r="K5822" s="9"/>
      <c r="L5822" s="9"/>
    </row>
    <row r="5823" s="105" customFormat="1" spans="9:12">
      <c r="I5823" s="225"/>
      <c r="K5823" s="9"/>
      <c r="L5823" s="9"/>
    </row>
    <row r="5824" s="105" customFormat="1" spans="9:12">
      <c r="I5824" s="225"/>
      <c r="K5824" s="9"/>
      <c r="L5824" s="9"/>
    </row>
    <row r="5825" s="105" customFormat="1" spans="9:12">
      <c r="I5825" s="225"/>
      <c r="K5825" s="9"/>
      <c r="L5825" s="9"/>
    </row>
    <row r="5826" s="105" customFormat="1" spans="9:12">
      <c r="I5826" s="225"/>
      <c r="K5826" s="9"/>
      <c r="L5826" s="9"/>
    </row>
    <row r="5827" s="105" customFormat="1" spans="9:12">
      <c r="I5827" s="225"/>
      <c r="K5827" s="9"/>
      <c r="L5827" s="9"/>
    </row>
    <row r="5828" s="105" customFormat="1" spans="9:12">
      <c r="I5828" s="225"/>
      <c r="K5828" s="9"/>
      <c r="L5828" s="9"/>
    </row>
    <row r="5829" s="105" customFormat="1" spans="9:12">
      <c r="I5829" s="225"/>
      <c r="K5829" s="9"/>
      <c r="L5829" s="9"/>
    </row>
    <row r="5830" s="105" customFormat="1" spans="9:12">
      <c r="I5830" s="225"/>
      <c r="K5830" s="9"/>
      <c r="L5830" s="9"/>
    </row>
    <row r="5831" s="105" customFormat="1" spans="9:12">
      <c r="I5831" s="225"/>
      <c r="K5831" s="9"/>
      <c r="L5831" s="9"/>
    </row>
    <row r="5832" s="105" customFormat="1" spans="9:12">
      <c r="I5832" s="225"/>
      <c r="K5832" s="9"/>
      <c r="L5832" s="9"/>
    </row>
    <row r="5833" s="105" customFormat="1" spans="9:12">
      <c r="I5833" s="225"/>
      <c r="K5833" s="9"/>
      <c r="L5833" s="9"/>
    </row>
    <row r="5834" s="105" customFormat="1" spans="9:12">
      <c r="I5834" s="225"/>
      <c r="K5834" s="9"/>
      <c r="L5834" s="9"/>
    </row>
    <row r="5835" s="105" customFormat="1" spans="9:12">
      <c r="I5835" s="225"/>
      <c r="K5835" s="9"/>
      <c r="L5835" s="9"/>
    </row>
    <row r="5836" s="105" customFormat="1" spans="9:12">
      <c r="I5836" s="225"/>
      <c r="K5836" s="9"/>
      <c r="L5836" s="9"/>
    </row>
    <row r="5837" s="105" customFormat="1" spans="9:12">
      <c r="I5837" s="225"/>
      <c r="K5837" s="9"/>
      <c r="L5837" s="9"/>
    </row>
    <row r="5838" s="105" customFormat="1" spans="9:12">
      <c r="I5838" s="225"/>
      <c r="K5838" s="9"/>
      <c r="L5838" s="9"/>
    </row>
    <row r="5839" s="105" customFormat="1" spans="9:12">
      <c r="I5839" s="225"/>
      <c r="K5839" s="9"/>
      <c r="L5839" s="9"/>
    </row>
    <row r="5840" s="105" customFormat="1" spans="9:12">
      <c r="I5840" s="225"/>
      <c r="K5840" s="9"/>
      <c r="L5840" s="9"/>
    </row>
    <row r="5841" s="105" customFormat="1" spans="9:12">
      <c r="I5841" s="225"/>
      <c r="K5841" s="9"/>
      <c r="L5841" s="9"/>
    </row>
    <row r="5842" s="105" customFormat="1" spans="9:12">
      <c r="I5842" s="225"/>
      <c r="K5842" s="9"/>
      <c r="L5842" s="9"/>
    </row>
    <row r="5843" s="105" customFormat="1" spans="9:12">
      <c r="I5843" s="225"/>
      <c r="K5843" s="9"/>
      <c r="L5843" s="9"/>
    </row>
    <row r="5844" s="105" customFormat="1" spans="9:12">
      <c r="I5844" s="225"/>
      <c r="K5844" s="9"/>
      <c r="L5844" s="9"/>
    </row>
    <row r="5845" s="105" customFormat="1" spans="9:12">
      <c r="I5845" s="225"/>
      <c r="K5845" s="9"/>
      <c r="L5845" s="9"/>
    </row>
    <row r="5846" s="105" customFormat="1" spans="9:12">
      <c r="I5846" s="225"/>
      <c r="K5846" s="9"/>
      <c r="L5846" s="9"/>
    </row>
    <row r="5847" s="105" customFormat="1" spans="9:12">
      <c r="I5847" s="225"/>
      <c r="K5847" s="9"/>
      <c r="L5847" s="9"/>
    </row>
    <row r="5848" s="105" customFormat="1" spans="9:12">
      <c r="I5848" s="225"/>
      <c r="K5848" s="9"/>
      <c r="L5848" s="9"/>
    </row>
    <row r="5849" s="105" customFormat="1" spans="9:12">
      <c r="I5849" s="225"/>
      <c r="K5849" s="9"/>
      <c r="L5849" s="9"/>
    </row>
    <row r="5850" s="105" customFormat="1" spans="9:12">
      <c r="I5850" s="225"/>
      <c r="K5850" s="9"/>
      <c r="L5850" s="9"/>
    </row>
    <row r="5851" s="105" customFormat="1" spans="9:12">
      <c r="I5851" s="225"/>
      <c r="K5851" s="9"/>
      <c r="L5851" s="9"/>
    </row>
    <row r="5852" s="105" customFormat="1" spans="9:12">
      <c r="I5852" s="225"/>
      <c r="K5852" s="9"/>
      <c r="L5852" s="9"/>
    </row>
    <row r="5853" s="105" customFormat="1" spans="9:12">
      <c r="I5853" s="225"/>
      <c r="K5853" s="9"/>
      <c r="L5853" s="9"/>
    </row>
    <row r="5854" s="105" customFormat="1" spans="9:12">
      <c r="I5854" s="225"/>
      <c r="K5854" s="9"/>
      <c r="L5854" s="9"/>
    </row>
    <row r="5855" s="105" customFormat="1" spans="9:12">
      <c r="I5855" s="225"/>
      <c r="K5855" s="9"/>
      <c r="L5855" s="9"/>
    </row>
    <row r="5856" s="105" customFormat="1" spans="9:12">
      <c r="I5856" s="225"/>
      <c r="K5856" s="9"/>
      <c r="L5856" s="9"/>
    </row>
    <row r="5857" s="105" customFormat="1" spans="9:12">
      <c r="I5857" s="225"/>
      <c r="K5857" s="9"/>
      <c r="L5857" s="9"/>
    </row>
    <row r="5858" s="105" customFormat="1" spans="9:12">
      <c r="I5858" s="225"/>
      <c r="K5858" s="9"/>
      <c r="L5858" s="9"/>
    </row>
    <row r="5859" s="105" customFormat="1" spans="9:12">
      <c r="I5859" s="225"/>
      <c r="K5859" s="9"/>
      <c r="L5859" s="9"/>
    </row>
    <row r="5860" s="105" customFormat="1" spans="9:12">
      <c r="I5860" s="225"/>
      <c r="K5860" s="9"/>
      <c r="L5860" s="9"/>
    </row>
    <row r="5861" s="105" customFormat="1" spans="9:12">
      <c r="I5861" s="225"/>
      <c r="K5861" s="9"/>
      <c r="L5861" s="9"/>
    </row>
    <row r="5862" s="105" customFormat="1" spans="9:12">
      <c r="I5862" s="225"/>
      <c r="K5862" s="9"/>
      <c r="L5862" s="9"/>
    </row>
    <row r="5863" s="105" customFormat="1" spans="9:12">
      <c r="I5863" s="225"/>
      <c r="K5863" s="9"/>
      <c r="L5863" s="9"/>
    </row>
    <row r="5864" s="105" customFormat="1" spans="9:12">
      <c r="I5864" s="225"/>
      <c r="K5864" s="9"/>
      <c r="L5864" s="9"/>
    </row>
    <row r="5865" s="105" customFormat="1" spans="9:12">
      <c r="I5865" s="225"/>
      <c r="K5865" s="9"/>
      <c r="L5865" s="9"/>
    </row>
    <row r="5866" s="105" customFormat="1" spans="9:12">
      <c r="I5866" s="225"/>
      <c r="K5866" s="9"/>
      <c r="L5866" s="9"/>
    </row>
    <row r="5867" s="105" customFormat="1" spans="9:12">
      <c r="I5867" s="225"/>
      <c r="K5867" s="9"/>
      <c r="L5867" s="9"/>
    </row>
    <row r="5868" s="105" customFormat="1" spans="9:12">
      <c r="I5868" s="225"/>
      <c r="K5868" s="9"/>
      <c r="L5868" s="9"/>
    </row>
    <row r="5869" s="105" customFormat="1" spans="9:12">
      <c r="I5869" s="225"/>
      <c r="K5869" s="9"/>
      <c r="L5869" s="9"/>
    </row>
    <row r="5870" s="105" customFormat="1" spans="9:12">
      <c r="I5870" s="225"/>
      <c r="K5870" s="9"/>
      <c r="L5870" s="9"/>
    </row>
    <row r="5871" s="105" customFormat="1" spans="9:12">
      <c r="I5871" s="225"/>
      <c r="K5871" s="9"/>
      <c r="L5871" s="9"/>
    </row>
    <row r="5872" s="105" customFormat="1" spans="9:12">
      <c r="I5872" s="225"/>
      <c r="K5872" s="9"/>
      <c r="L5872" s="9"/>
    </row>
    <row r="5873" s="105" customFormat="1" spans="9:12">
      <c r="I5873" s="225"/>
      <c r="K5873" s="9"/>
      <c r="L5873" s="9"/>
    </row>
    <row r="5874" s="105" customFormat="1" spans="9:12">
      <c r="I5874" s="225"/>
      <c r="K5874" s="9"/>
      <c r="L5874" s="9"/>
    </row>
    <row r="5875" s="105" customFormat="1" spans="9:12">
      <c r="I5875" s="225"/>
      <c r="K5875" s="9"/>
      <c r="L5875" s="9"/>
    </row>
    <row r="5876" s="105" customFormat="1" spans="9:12">
      <c r="I5876" s="225"/>
      <c r="K5876" s="9"/>
      <c r="L5876" s="9"/>
    </row>
    <row r="5877" s="105" customFormat="1" spans="9:12">
      <c r="I5877" s="225"/>
      <c r="K5877" s="9"/>
      <c r="L5877" s="9"/>
    </row>
    <row r="5878" s="105" customFormat="1" spans="9:12">
      <c r="I5878" s="225"/>
      <c r="K5878" s="9"/>
      <c r="L5878" s="9"/>
    </row>
    <row r="5879" s="105" customFormat="1" spans="9:12">
      <c r="I5879" s="225"/>
      <c r="K5879" s="9"/>
      <c r="L5879" s="9"/>
    </row>
    <row r="5880" s="105" customFormat="1" spans="9:12">
      <c r="I5880" s="225"/>
      <c r="K5880" s="9"/>
      <c r="L5880" s="9"/>
    </row>
    <row r="5881" s="105" customFormat="1" spans="9:12">
      <c r="I5881" s="225"/>
      <c r="K5881" s="9"/>
      <c r="L5881" s="9"/>
    </row>
    <row r="5882" s="105" customFormat="1" spans="9:12">
      <c r="I5882" s="225"/>
      <c r="K5882" s="9"/>
      <c r="L5882" s="9"/>
    </row>
    <row r="5883" s="105" customFormat="1" spans="9:12">
      <c r="I5883" s="225"/>
      <c r="K5883" s="9"/>
      <c r="L5883" s="9"/>
    </row>
    <row r="5884" s="105" customFormat="1" spans="9:12">
      <c r="I5884" s="225"/>
      <c r="K5884" s="9"/>
      <c r="L5884" s="9"/>
    </row>
    <row r="5885" s="105" customFormat="1" spans="9:12">
      <c r="I5885" s="225"/>
      <c r="K5885" s="9"/>
      <c r="L5885" s="9"/>
    </row>
    <row r="5886" s="105" customFormat="1" spans="9:12">
      <c r="I5886" s="225"/>
      <c r="K5886" s="9"/>
      <c r="L5886" s="9"/>
    </row>
    <row r="5887" s="105" customFormat="1" spans="9:12">
      <c r="I5887" s="225"/>
      <c r="K5887" s="9"/>
      <c r="L5887" s="9"/>
    </row>
    <row r="5888" s="105" customFormat="1" spans="9:12">
      <c r="I5888" s="225"/>
      <c r="K5888" s="9"/>
      <c r="L5888" s="9"/>
    </row>
    <row r="5889" s="105" customFormat="1" spans="9:12">
      <c r="I5889" s="225"/>
      <c r="K5889" s="9"/>
      <c r="L5889" s="9"/>
    </row>
    <row r="5890" s="105" customFormat="1" spans="9:12">
      <c r="I5890" s="225"/>
      <c r="K5890" s="9"/>
      <c r="L5890" s="9"/>
    </row>
    <row r="5891" s="105" customFormat="1" spans="9:12">
      <c r="I5891" s="225"/>
      <c r="K5891" s="9"/>
      <c r="L5891" s="9"/>
    </row>
    <row r="5892" s="105" customFormat="1" spans="9:12">
      <c r="I5892" s="225"/>
      <c r="K5892" s="9"/>
      <c r="L5892" s="9"/>
    </row>
    <row r="5893" s="105" customFormat="1" spans="9:12">
      <c r="I5893" s="225"/>
      <c r="K5893" s="9"/>
      <c r="L5893" s="9"/>
    </row>
    <row r="5894" s="105" customFormat="1" spans="9:12">
      <c r="I5894" s="225"/>
      <c r="K5894" s="9"/>
      <c r="L5894" s="9"/>
    </row>
    <row r="5895" s="105" customFormat="1" spans="9:12">
      <c r="I5895" s="225"/>
      <c r="K5895" s="9"/>
      <c r="L5895" s="9"/>
    </row>
    <row r="5896" s="105" customFormat="1" spans="9:12">
      <c r="I5896" s="225"/>
      <c r="K5896" s="9"/>
      <c r="L5896" s="9"/>
    </row>
    <row r="5897" s="105" customFormat="1" spans="9:12">
      <c r="I5897" s="225"/>
      <c r="K5897" s="9"/>
      <c r="L5897" s="9"/>
    </row>
    <row r="5898" s="105" customFormat="1" spans="9:12">
      <c r="I5898" s="225"/>
      <c r="K5898" s="9"/>
      <c r="L5898" s="9"/>
    </row>
    <row r="5899" s="105" customFormat="1" spans="9:12">
      <c r="I5899" s="225"/>
      <c r="K5899" s="9"/>
      <c r="L5899" s="9"/>
    </row>
    <row r="5900" s="105" customFormat="1" spans="9:12">
      <c r="I5900" s="225"/>
      <c r="K5900" s="9"/>
      <c r="L5900" s="9"/>
    </row>
    <row r="5901" s="105" customFormat="1" spans="9:12">
      <c r="I5901" s="225"/>
      <c r="K5901" s="9"/>
      <c r="L5901" s="9"/>
    </row>
    <row r="5902" s="105" customFormat="1" spans="9:12">
      <c r="I5902" s="225"/>
      <c r="K5902" s="9"/>
      <c r="L5902" s="9"/>
    </row>
    <row r="5903" s="105" customFormat="1" spans="9:12">
      <c r="I5903" s="225"/>
      <c r="K5903" s="9"/>
      <c r="L5903" s="9"/>
    </row>
    <row r="5904" s="105" customFormat="1" spans="9:12">
      <c r="I5904" s="225"/>
      <c r="K5904" s="9"/>
      <c r="L5904" s="9"/>
    </row>
    <row r="5905" s="105" customFormat="1" spans="9:12">
      <c r="I5905" s="225"/>
      <c r="K5905" s="9"/>
      <c r="L5905" s="9"/>
    </row>
    <row r="5906" s="105" customFormat="1" spans="9:12">
      <c r="I5906" s="225"/>
      <c r="K5906" s="9"/>
      <c r="L5906" s="9"/>
    </row>
    <row r="5907" s="105" customFormat="1" spans="9:12">
      <c r="I5907" s="225"/>
      <c r="K5907" s="9"/>
      <c r="L5907" s="9"/>
    </row>
    <row r="5908" s="105" customFormat="1" spans="9:12">
      <c r="I5908" s="225"/>
      <c r="K5908" s="9"/>
      <c r="L5908" s="9"/>
    </row>
    <row r="5909" s="105" customFormat="1" spans="9:12">
      <c r="I5909" s="225"/>
      <c r="K5909" s="9"/>
      <c r="L5909" s="9"/>
    </row>
    <row r="5910" s="105" customFormat="1" spans="9:12">
      <c r="I5910" s="225"/>
      <c r="K5910" s="9"/>
      <c r="L5910" s="9"/>
    </row>
    <row r="5911" s="105" customFormat="1" spans="9:12">
      <c r="I5911" s="225"/>
      <c r="K5911" s="9"/>
      <c r="L5911" s="9"/>
    </row>
    <row r="5912" s="105" customFormat="1" spans="9:12">
      <c r="I5912" s="225"/>
      <c r="K5912" s="9"/>
      <c r="L5912" s="9"/>
    </row>
    <row r="5913" s="105" customFormat="1" spans="9:12">
      <c r="I5913" s="225"/>
      <c r="K5913" s="9"/>
      <c r="L5913" s="9"/>
    </row>
    <row r="5914" s="105" customFormat="1" spans="9:12">
      <c r="I5914" s="225"/>
      <c r="K5914" s="9"/>
      <c r="L5914" s="9"/>
    </row>
    <row r="5915" s="105" customFormat="1" spans="9:12">
      <c r="I5915" s="225"/>
      <c r="K5915" s="9"/>
      <c r="L5915" s="9"/>
    </row>
    <row r="5916" s="105" customFormat="1" spans="9:12">
      <c r="I5916" s="225"/>
      <c r="K5916" s="9"/>
      <c r="L5916" s="9"/>
    </row>
    <row r="5917" s="105" customFormat="1" spans="9:12">
      <c r="I5917" s="225"/>
      <c r="K5917" s="9"/>
      <c r="L5917" s="9"/>
    </row>
    <row r="5918" s="105" customFormat="1" spans="9:12">
      <c r="I5918" s="225"/>
      <c r="K5918" s="9"/>
      <c r="L5918" s="9"/>
    </row>
    <row r="5919" s="105" customFormat="1" spans="9:12">
      <c r="I5919" s="225"/>
      <c r="K5919" s="9"/>
      <c r="L5919" s="9"/>
    </row>
    <row r="5920" s="105" customFormat="1" spans="9:12">
      <c r="I5920" s="225"/>
      <c r="K5920" s="9"/>
      <c r="L5920" s="9"/>
    </row>
    <row r="5921" s="105" customFormat="1" spans="9:12">
      <c r="I5921" s="225"/>
      <c r="K5921" s="9"/>
      <c r="L5921" s="9"/>
    </row>
    <row r="5922" s="105" customFormat="1" spans="9:12">
      <c r="I5922" s="225"/>
      <c r="K5922" s="9"/>
      <c r="L5922" s="9"/>
    </row>
    <row r="5923" s="105" customFormat="1" spans="9:12">
      <c r="I5923" s="225"/>
      <c r="K5923" s="9"/>
      <c r="L5923" s="9"/>
    </row>
    <row r="5924" s="105" customFormat="1" spans="9:12">
      <c r="I5924" s="225"/>
      <c r="K5924" s="9"/>
      <c r="L5924" s="9"/>
    </row>
    <row r="5925" s="105" customFormat="1" spans="9:12">
      <c r="I5925" s="225"/>
      <c r="K5925" s="9"/>
      <c r="L5925" s="9"/>
    </row>
    <row r="5926" s="105" customFormat="1" spans="9:12">
      <c r="I5926" s="225"/>
      <c r="K5926" s="9"/>
      <c r="L5926" s="9"/>
    </row>
    <row r="5927" s="105" customFormat="1" spans="9:12">
      <c r="I5927" s="225"/>
      <c r="K5927" s="9"/>
      <c r="L5927" s="9"/>
    </row>
    <row r="5928" s="105" customFormat="1" spans="9:12">
      <c r="I5928" s="225"/>
      <c r="K5928" s="9"/>
      <c r="L5928" s="9"/>
    </row>
    <row r="5929" s="105" customFormat="1" spans="9:12">
      <c r="I5929" s="225"/>
      <c r="K5929" s="9"/>
      <c r="L5929" s="9"/>
    </row>
    <row r="5930" s="105" customFormat="1" spans="9:12">
      <c r="I5930" s="225"/>
      <c r="K5930" s="9"/>
      <c r="L5930" s="9"/>
    </row>
    <row r="5931" s="105" customFormat="1" spans="9:12">
      <c r="I5931" s="225"/>
      <c r="K5931" s="9"/>
      <c r="L5931" s="9"/>
    </row>
    <row r="5932" s="105" customFormat="1" spans="9:12">
      <c r="I5932" s="225"/>
      <c r="K5932" s="9"/>
      <c r="L5932" s="9"/>
    </row>
    <row r="5933" s="105" customFormat="1" spans="9:12">
      <c r="I5933" s="225"/>
      <c r="K5933" s="9"/>
      <c r="L5933" s="9"/>
    </row>
    <row r="5934" s="105" customFormat="1" spans="9:12">
      <c r="I5934" s="225"/>
      <c r="K5934" s="9"/>
      <c r="L5934" s="9"/>
    </row>
    <row r="5935" s="105" customFormat="1" spans="9:12">
      <c r="I5935" s="225"/>
      <c r="K5935" s="9"/>
      <c r="L5935" s="9"/>
    </row>
    <row r="5936" s="105" customFormat="1" spans="9:12">
      <c r="I5936" s="225"/>
      <c r="K5936" s="9"/>
      <c r="L5936" s="9"/>
    </row>
    <row r="5937" s="105" customFormat="1" spans="9:12">
      <c r="I5937" s="225"/>
      <c r="K5937" s="9"/>
      <c r="L5937" s="9"/>
    </row>
    <row r="5938" s="105" customFormat="1" spans="9:12">
      <c r="I5938" s="225"/>
      <c r="K5938" s="9"/>
      <c r="L5938" s="9"/>
    </row>
    <row r="5939" s="105" customFormat="1" spans="9:12">
      <c r="I5939" s="225"/>
      <c r="K5939" s="9"/>
      <c r="L5939" s="9"/>
    </row>
    <row r="5940" s="105" customFormat="1" spans="9:12">
      <c r="I5940" s="225"/>
      <c r="K5940" s="9"/>
      <c r="L5940" s="9"/>
    </row>
    <row r="5941" s="105" customFormat="1" spans="9:12">
      <c r="I5941" s="225"/>
      <c r="K5941" s="9"/>
      <c r="L5941" s="9"/>
    </row>
    <row r="5942" s="105" customFormat="1" spans="9:12">
      <c r="I5942" s="225"/>
      <c r="K5942" s="9"/>
      <c r="L5942" s="9"/>
    </row>
    <row r="5943" s="105" customFormat="1" spans="9:12">
      <c r="I5943" s="225"/>
      <c r="K5943" s="9"/>
      <c r="L5943" s="9"/>
    </row>
    <row r="5944" s="105" customFormat="1" spans="9:12">
      <c r="I5944" s="225"/>
      <c r="K5944" s="9"/>
      <c r="L5944" s="9"/>
    </row>
    <row r="5945" s="105" customFormat="1" spans="9:12">
      <c r="I5945" s="225"/>
      <c r="K5945" s="9"/>
      <c r="L5945" s="9"/>
    </row>
    <row r="5946" s="105" customFormat="1" spans="9:12">
      <c r="I5946" s="225"/>
      <c r="K5946" s="9"/>
      <c r="L5946" s="9"/>
    </row>
    <row r="5947" s="105" customFormat="1" spans="9:12">
      <c r="I5947" s="225"/>
      <c r="K5947" s="9"/>
      <c r="L5947" s="9"/>
    </row>
    <row r="5948" s="105" customFormat="1" spans="9:12">
      <c r="I5948" s="225"/>
      <c r="K5948" s="9"/>
      <c r="L5948" s="9"/>
    </row>
    <row r="5949" s="105" customFormat="1" spans="9:12">
      <c r="I5949" s="225"/>
      <c r="K5949" s="9"/>
      <c r="L5949" s="9"/>
    </row>
    <row r="5950" s="105" customFormat="1" spans="9:12">
      <c r="I5950" s="225"/>
      <c r="K5950" s="9"/>
      <c r="L5950" s="9"/>
    </row>
    <row r="5951" s="105" customFormat="1" spans="9:12">
      <c r="I5951" s="225"/>
      <c r="K5951" s="9"/>
      <c r="L5951" s="9"/>
    </row>
    <row r="5952" s="105" customFormat="1" spans="9:12">
      <c r="I5952" s="225"/>
      <c r="K5952" s="9"/>
      <c r="L5952" s="9"/>
    </row>
    <row r="5953" s="105" customFormat="1" spans="9:12">
      <c r="I5953" s="225"/>
      <c r="K5953" s="9"/>
      <c r="L5953" s="9"/>
    </row>
    <row r="5954" s="105" customFormat="1" spans="9:12">
      <c r="I5954" s="225"/>
      <c r="K5954" s="9"/>
      <c r="L5954" s="9"/>
    </row>
    <row r="5955" s="105" customFormat="1" spans="9:12">
      <c r="I5955" s="225"/>
      <c r="K5955" s="9"/>
      <c r="L5955" s="9"/>
    </row>
    <row r="5956" s="105" customFormat="1" spans="9:12">
      <c r="I5956" s="225"/>
      <c r="K5956" s="9"/>
      <c r="L5956" s="9"/>
    </row>
    <row r="5957" s="105" customFormat="1" spans="9:12">
      <c r="I5957" s="225"/>
      <c r="K5957" s="9"/>
      <c r="L5957" s="9"/>
    </row>
    <row r="5958" s="105" customFormat="1" spans="9:12">
      <c r="I5958" s="225"/>
      <c r="K5958" s="9"/>
      <c r="L5958" s="9"/>
    </row>
    <row r="5959" s="105" customFormat="1" spans="9:12">
      <c r="I5959" s="225"/>
      <c r="K5959" s="9"/>
      <c r="L5959" s="9"/>
    </row>
    <row r="5960" s="105" customFormat="1" spans="9:12">
      <c r="I5960" s="225"/>
      <c r="K5960" s="9"/>
      <c r="L5960" s="9"/>
    </row>
    <row r="5961" s="105" customFormat="1" spans="9:12">
      <c r="I5961" s="225"/>
      <c r="K5961" s="9"/>
      <c r="L5961" s="9"/>
    </row>
    <row r="5962" s="105" customFormat="1" spans="9:12">
      <c r="I5962" s="225"/>
      <c r="K5962" s="9"/>
      <c r="L5962" s="9"/>
    </row>
    <row r="5963" s="105" customFormat="1" spans="9:12">
      <c r="I5963" s="225"/>
      <c r="K5963" s="9"/>
      <c r="L5963" s="9"/>
    </row>
    <row r="5964" s="105" customFormat="1" spans="9:12">
      <c r="I5964" s="225"/>
      <c r="K5964" s="9"/>
      <c r="L5964" s="9"/>
    </row>
    <row r="5965" s="105" customFormat="1" spans="9:12">
      <c r="I5965" s="225"/>
      <c r="K5965" s="9"/>
      <c r="L5965" s="9"/>
    </row>
    <row r="5966" s="105" customFormat="1" spans="9:12">
      <c r="I5966" s="225"/>
      <c r="K5966" s="9"/>
      <c r="L5966" s="9"/>
    </row>
    <row r="5967" s="105" customFormat="1" spans="9:12">
      <c r="I5967" s="225"/>
      <c r="K5967" s="9"/>
      <c r="L5967" s="9"/>
    </row>
    <row r="5968" s="105" customFormat="1" spans="9:12">
      <c r="I5968" s="225"/>
      <c r="K5968" s="9"/>
      <c r="L5968" s="9"/>
    </row>
    <row r="5969" s="105" customFormat="1" spans="9:12">
      <c r="I5969" s="225"/>
      <c r="K5969" s="9"/>
      <c r="L5969" s="9"/>
    </row>
    <row r="5970" s="105" customFormat="1" spans="9:12">
      <c r="I5970" s="225"/>
      <c r="K5970" s="9"/>
      <c r="L5970" s="9"/>
    </row>
    <row r="5971" s="105" customFormat="1" spans="9:12">
      <c r="I5971" s="225"/>
      <c r="K5971" s="9"/>
      <c r="L5971" s="9"/>
    </row>
    <row r="5972" s="105" customFormat="1" spans="9:12">
      <c r="I5972" s="225"/>
      <c r="K5972" s="9"/>
      <c r="L5972" s="9"/>
    </row>
    <row r="5973" s="105" customFormat="1" spans="9:12">
      <c r="I5973" s="225"/>
      <c r="K5973" s="9"/>
      <c r="L5973" s="9"/>
    </row>
    <row r="5974" s="105" customFormat="1" spans="9:12">
      <c r="I5974" s="225"/>
      <c r="K5974" s="9"/>
      <c r="L5974" s="9"/>
    </row>
    <row r="5975" s="105" customFormat="1" spans="9:12">
      <c r="I5975" s="225"/>
      <c r="K5975" s="9"/>
      <c r="L5975" s="9"/>
    </row>
    <row r="5976" s="105" customFormat="1" spans="9:12">
      <c r="I5976" s="225"/>
      <c r="K5976" s="9"/>
      <c r="L5976" s="9"/>
    </row>
    <row r="5977" s="105" customFormat="1" spans="9:12">
      <c r="I5977" s="225"/>
      <c r="K5977" s="9"/>
      <c r="L5977" s="9"/>
    </row>
    <row r="5978" s="105" customFormat="1" spans="9:12">
      <c r="I5978" s="225"/>
      <c r="K5978" s="9"/>
      <c r="L5978" s="9"/>
    </row>
    <row r="5979" s="105" customFormat="1" spans="9:12">
      <c r="I5979" s="225"/>
      <c r="K5979" s="9"/>
      <c r="L5979" s="9"/>
    </row>
    <row r="5980" s="105" customFormat="1" spans="9:12">
      <c r="I5980" s="225"/>
      <c r="K5980" s="9"/>
      <c r="L5980" s="9"/>
    </row>
    <row r="5981" s="105" customFormat="1" spans="9:12">
      <c r="I5981" s="225"/>
      <c r="K5981" s="9"/>
      <c r="L5981" s="9"/>
    </row>
    <row r="5982" s="105" customFormat="1" spans="9:12">
      <c r="I5982" s="225"/>
      <c r="K5982" s="9"/>
      <c r="L5982" s="9"/>
    </row>
    <row r="5983" s="105" customFormat="1" spans="9:12">
      <c r="I5983" s="225"/>
      <c r="K5983" s="9"/>
      <c r="L5983" s="9"/>
    </row>
    <row r="5984" s="105" customFormat="1" spans="9:12">
      <c r="I5984" s="225"/>
      <c r="K5984" s="9"/>
      <c r="L5984" s="9"/>
    </row>
    <row r="5985" s="105" customFormat="1" spans="9:12">
      <c r="I5985" s="225"/>
      <c r="K5985" s="9"/>
      <c r="L5985" s="9"/>
    </row>
    <row r="5986" s="105" customFormat="1" spans="9:12">
      <c r="I5986" s="225"/>
      <c r="K5986" s="9"/>
      <c r="L5986" s="9"/>
    </row>
    <row r="5987" s="105" customFormat="1" spans="9:12">
      <c r="I5987" s="225"/>
      <c r="K5987" s="9"/>
      <c r="L5987" s="9"/>
    </row>
    <row r="5988" s="105" customFormat="1" spans="9:12">
      <c r="I5988" s="225"/>
      <c r="K5988" s="9"/>
      <c r="L5988" s="9"/>
    </row>
    <row r="5989" s="105" customFormat="1" spans="9:12">
      <c r="I5989" s="225"/>
      <c r="K5989" s="9"/>
      <c r="L5989" s="9"/>
    </row>
    <row r="5990" s="105" customFormat="1" spans="9:12">
      <c r="I5990" s="225"/>
      <c r="K5990" s="9"/>
      <c r="L5990" s="9"/>
    </row>
    <row r="5991" s="105" customFormat="1" spans="9:12">
      <c r="I5991" s="225"/>
      <c r="K5991" s="9"/>
      <c r="L5991" s="9"/>
    </row>
    <row r="5992" s="105" customFormat="1" spans="9:12">
      <c r="I5992" s="225"/>
      <c r="K5992" s="9"/>
      <c r="L5992" s="9"/>
    </row>
    <row r="5993" s="105" customFormat="1" spans="9:12">
      <c r="I5993" s="225"/>
      <c r="K5993" s="9"/>
      <c r="L5993" s="9"/>
    </row>
    <row r="5994" s="105" customFormat="1" spans="9:12">
      <c r="I5994" s="225"/>
      <c r="K5994" s="9"/>
      <c r="L5994" s="9"/>
    </row>
    <row r="5995" s="105" customFormat="1" spans="9:12">
      <c r="I5995" s="225"/>
      <c r="K5995" s="9"/>
      <c r="L5995" s="9"/>
    </row>
    <row r="5996" s="105" customFormat="1" spans="9:12">
      <c r="I5996" s="225"/>
      <c r="K5996" s="9"/>
      <c r="L5996" s="9"/>
    </row>
    <row r="5997" s="105" customFormat="1" spans="9:12">
      <c r="I5997" s="225"/>
      <c r="K5997" s="9"/>
      <c r="L5997" s="9"/>
    </row>
    <row r="5998" s="105" customFormat="1" spans="9:12">
      <c r="I5998" s="225"/>
      <c r="K5998" s="9"/>
      <c r="L5998" s="9"/>
    </row>
    <row r="5999" s="105" customFormat="1" spans="9:12">
      <c r="I5999" s="225"/>
      <c r="K5999" s="9"/>
      <c r="L5999" s="9"/>
    </row>
    <row r="6000" s="105" customFormat="1" spans="9:12">
      <c r="I6000" s="225"/>
      <c r="K6000" s="9"/>
      <c r="L6000" s="9"/>
    </row>
    <row r="6001" s="105" customFormat="1" spans="9:12">
      <c r="I6001" s="225"/>
      <c r="K6001" s="9"/>
      <c r="L6001" s="9"/>
    </row>
    <row r="6002" s="105" customFormat="1" spans="9:12">
      <c r="I6002" s="225"/>
      <c r="K6002" s="9"/>
      <c r="L6002" s="9"/>
    </row>
    <row r="6003" s="105" customFormat="1" spans="9:12">
      <c r="I6003" s="225"/>
      <c r="K6003" s="9"/>
      <c r="L6003" s="9"/>
    </row>
    <row r="6004" s="105" customFormat="1" spans="9:12">
      <c r="I6004" s="225"/>
      <c r="K6004" s="9"/>
      <c r="L6004" s="9"/>
    </row>
    <row r="6005" s="105" customFormat="1" spans="9:12">
      <c r="I6005" s="225"/>
      <c r="K6005" s="9"/>
      <c r="L6005" s="9"/>
    </row>
    <row r="6006" s="105" customFormat="1" spans="9:12">
      <c r="I6006" s="225"/>
      <c r="K6006" s="9"/>
      <c r="L6006" s="9"/>
    </row>
    <row r="6007" s="105" customFormat="1" spans="9:12">
      <c r="I6007" s="225"/>
      <c r="K6007" s="9"/>
      <c r="L6007" s="9"/>
    </row>
    <row r="6008" s="105" customFormat="1" spans="9:12">
      <c r="I6008" s="225"/>
      <c r="K6008" s="9"/>
      <c r="L6008" s="9"/>
    </row>
    <row r="6009" s="105" customFormat="1" spans="9:12">
      <c r="I6009" s="225"/>
      <c r="K6009" s="9"/>
      <c r="L6009" s="9"/>
    </row>
    <row r="6010" s="105" customFormat="1" spans="9:12">
      <c r="I6010" s="225"/>
      <c r="K6010" s="9"/>
      <c r="L6010" s="9"/>
    </row>
    <row r="6011" s="105" customFormat="1" spans="9:12">
      <c r="I6011" s="225"/>
      <c r="K6011" s="9"/>
      <c r="L6011" s="9"/>
    </row>
    <row r="6012" s="105" customFormat="1" spans="9:12">
      <c r="I6012" s="225"/>
      <c r="K6012" s="9"/>
      <c r="L6012" s="9"/>
    </row>
    <row r="6013" s="105" customFormat="1" spans="9:12">
      <c r="I6013" s="225"/>
      <c r="K6013" s="9"/>
      <c r="L6013" s="9"/>
    </row>
    <row r="6014" s="105" customFormat="1" spans="9:12">
      <c r="I6014" s="225"/>
      <c r="K6014" s="9"/>
      <c r="L6014" s="9"/>
    </row>
    <row r="6015" s="105" customFormat="1" spans="9:12">
      <c r="I6015" s="225"/>
      <c r="K6015" s="9"/>
      <c r="L6015" s="9"/>
    </row>
    <row r="6016" s="105" customFormat="1" spans="9:12">
      <c r="I6016" s="225"/>
      <c r="K6016" s="9"/>
      <c r="L6016" s="9"/>
    </row>
    <row r="6017" s="105" customFormat="1" spans="9:12">
      <c r="I6017" s="225"/>
      <c r="K6017" s="9"/>
      <c r="L6017" s="9"/>
    </row>
    <row r="6018" s="105" customFormat="1" spans="9:12">
      <c r="I6018" s="225"/>
      <c r="K6018" s="9"/>
      <c r="L6018" s="9"/>
    </row>
    <row r="6019" s="105" customFormat="1" spans="9:12">
      <c r="I6019" s="225"/>
      <c r="K6019" s="9"/>
      <c r="L6019" s="9"/>
    </row>
    <row r="6020" s="105" customFormat="1" spans="9:12">
      <c r="I6020" s="225"/>
      <c r="K6020" s="9"/>
      <c r="L6020" s="9"/>
    </row>
    <row r="6021" s="105" customFormat="1" spans="9:12">
      <c r="I6021" s="225"/>
      <c r="K6021" s="9"/>
      <c r="L6021" s="9"/>
    </row>
    <row r="6022" s="105" customFormat="1" spans="9:12">
      <c r="I6022" s="225"/>
      <c r="K6022" s="9"/>
      <c r="L6022" s="9"/>
    </row>
    <row r="6023" s="105" customFormat="1" spans="9:12">
      <c r="I6023" s="225"/>
      <c r="K6023" s="9"/>
      <c r="L6023" s="9"/>
    </row>
    <row r="6024" s="105" customFormat="1" spans="9:12">
      <c r="I6024" s="225"/>
      <c r="K6024" s="9"/>
      <c r="L6024" s="9"/>
    </row>
    <row r="6025" s="105" customFormat="1" spans="9:12">
      <c r="I6025" s="225"/>
      <c r="K6025" s="9"/>
      <c r="L6025" s="9"/>
    </row>
    <row r="6026" s="105" customFormat="1" spans="9:12">
      <c r="I6026" s="225"/>
      <c r="K6026" s="9"/>
      <c r="L6026" s="9"/>
    </row>
    <row r="6027" s="105" customFormat="1" spans="9:12">
      <c r="I6027" s="225"/>
      <c r="K6027" s="9"/>
      <c r="L6027" s="9"/>
    </row>
    <row r="6028" s="105" customFormat="1" spans="9:12">
      <c r="I6028" s="225"/>
      <c r="K6028" s="9"/>
      <c r="L6028" s="9"/>
    </row>
    <row r="6029" s="105" customFormat="1" spans="9:12">
      <c r="I6029" s="225"/>
      <c r="K6029" s="9"/>
      <c r="L6029" s="9"/>
    </row>
    <row r="6030" s="105" customFormat="1" spans="9:12">
      <c r="I6030" s="225"/>
      <c r="K6030" s="9"/>
      <c r="L6030" s="9"/>
    </row>
    <row r="6031" s="105" customFormat="1" spans="9:12">
      <c r="I6031" s="225"/>
      <c r="K6031" s="9"/>
      <c r="L6031" s="9"/>
    </row>
    <row r="6032" s="105" customFormat="1" spans="9:12">
      <c r="I6032" s="225"/>
      <c r="K6032" s="9"/>
      <c r="L6032" s="9"/>
    </row>
    <row r="6033" s="105" customFormat="1" spans="9:12">
      <c r="I6033" s="225"/>
      <c r="K6033" s="9"/>
      <c r="L6033" s="9"/>
    </row>
    <row r="6034" s="105" customFormat="1" spans="9:12">
      <c r="I6034" s="225"/>
      <c r="K6034" s="9"/>
      <c r="L6034" s="9"/>
    </row>
    <row r="6035" s="105" customFormat="1" spans="9:12">
      <c r="I6035" s="225"/>
      <c r="K6035" s="9"/>
      <c r="L6035" s="9"/>
    </row>
    <row r="6036" s="105" customFormat="1" spans="9:12">
      <c r="I6036" s="225"/>
      <c r="K6036" s="9"/>
      <c r="L6036" s="9"/>
    </row>
    <row r="6037" s="105" customFormat="1" spans="9:12">
      <c r="I6037" s="225"/>
      <c r="K6037" s="9"/>
      <c r="L6037" s="9"/>
    </row>
    <row r="6038" s="105" customFormat="1" spans="9:12">
      <c r="I6038" s="225"/>
      <c r="K6038" s="9"/>
      <c r="L6038" s="9"/>
    </row>
    <row r="6039" s="105" customFormat="1" spans="9:12">
      <c r="I6039" s="225"/>
      <c r="K6039" s="9"/>
      <c r="L6039" s="9"/>
    </row>
    <row r="6040" s="105" customFormat="1" spans="9:12">
      <c r="I6040" s="225"/>
      <c r="K6040" s="9"/>
      <c r="L6040" s="9"/>
    </row>
    <row r="6041" s="105" customFormat="1" spans="9:12">
      <c r="I6041" s="225"/>
      <c r="K6041" s="9"/>
      <c r="L6041" s="9"/>
    </row>
    <row r="6042" s="105" customFormat="1" spans="9:12">
      <c r="I6042" s="225"/>
      <c r="K6042" s="9"/>
      <c r="L6042" s="9"/>
    </row>
    <row r="6043" s="105" customFormat="1" spans="9:12">
      <c r="I6043" s="225"/>
      <c r="K6043" s="9"/>
      <c r="L6043" s="9"/>
    </row>
    <row r="6044" s="105" customFormat="1" spans="9:12">
      <c r="I6044" s="225"/>
      <c r="K6044" s="9"/>
      <c r="L6044" s="9"/>
    </row>
    <row r="6045" s="105" customFormat="1" spans="9:12">
      <c r="I6045" s="225"/>
      <c r="K6045" s="9"/>
      <c r="L6045" s="9"/>
    </row>
    <row r="6046" s="105" customFormat="1" spans="9:12">
      <c r="I6046" s="225"/>
      <c r="K6046" s="9"/>
      <c r="L6046" s="9"/>
    </row>
    <row r="6047" s="105" customFormat="1" spans="9:12">
      <c r="I6047" s="225"/>
      <c r="K6047" s="9"/>
      <c r="L6047" s="9"/>
    </row>
    <row r="6048" s="105" customFormat="1" spans="9:12">
      <c r="I6048" s="225"/>
      <c r="K6048" s="9"/>
      <c r="L6048" s="9"/>
    </row>
    <row r="6049" s="105" customFormat="1" spans="9:12">
      <c r="I6049" s="225"/>
      <c r="K6049" s="9"/>
      <c r="L6049" s="9"/>
    </row>
    <row r="6050" s="105" customFormat="1" spans="9:12">
      <c r="I6050" s="225"/>
      <c r="K6050" s="9"/>
      <c r="L6050" s="9"/>
    </row>
    <row r="6051" s="105" customFormat="1" spans="9:12">
      <c r="I6051" s="225"/>
      <c r="K6051" s="9"/>
      <c r="L6051" s="9"/>
    </row>
    <row r="6052" s="105" customFormat="1" spans="9:12">
      <c r="I6052" s="225"/>
      <c r="K6052" s="9"/>
      <c r="L6052" s="9"/>
    </row>
    <row r="6053" s="105" customFormat="1" spans="9:12">
      <c r="I6053" s="225"/>
      <c r="K6053" s="9"/>
      <c r="L6053" s="9"/>
    </row>
    <row r="6054" s="105" customFormat="1" spans="9:12">
      <c r="I6054" s="225"/>
      <c r="K6054" s="9"/>
      <c r="L6054" s="9"/>
    </row>
    <row r="6055" s="105" customFormat="1" spans="9:12">
      <c r="I6055" s="225"/>
      <c r="K6055" s="9"/>
      <c r="L6055" s="9"/>
    </row>
    <row r="6056" s="105" customFormat="1" spans="9:12">
      <c r="I6056" s="225"/>
      <c r="K6056" s="9"/>
      <c r="L6056" s="9"/>
    </row>
    <row r="6057" s="105" customFormat="1" spans="9:12">
      <c r="I6057" s="225"/>
      <c r="K6057" s="9"/>
      <c r="L6057" s="9"/>
    </row>
    <row r="6058" s="105" customFormat="1" spans="9:12">
      <c r="I6058" s="225"/>
      <c r="K6058" s="9"/>
      <c r="L6058" s="9"/>
    </row>
    <row r="6059" s="105" customFormat="1" spans="9:12">
      <c r="I6059" s="225"/>
      <c r="K6059" s="9"/>
      <c r="L6059" s="9"/>
    </row>
    <row r="6060" s="105" customFormat="1" spans="9:12">
      <c r="I6060" s="225"/>
      <c r="K6060" s="9"/>
      <c r="L6060" s="9"/>
    </row>
    <row r="6061" s="105" customFormat="1" spans="9:12">
      <c r="I6061" s="225"/>
      <c r="K6061" s="9"/>
      <c r="L6061" s="9"/>
    </row>
    <row r="6062" s="105" customFormat="1" spans="9:12">
      <c r="I6062" s="225"/>
      <c r="K6062" s="9"/>
      <c r="L6062" s="9"/>
    </row>
    <row r="6063" s="105" customFormat="1" spans="9:12">
      <c r="I6063" s="225"/>
      <c r="K6063" s="9"/>
      <c r="L6063" s="9"/>
    </row>
    <row r="6064" s="105" customFormat="1" spans="9:12">
      <c r="I6064" s="225"/>
      <c r="K6064" s="9"/>
      <c r="L6064" s="9"/>
    </row>
    <row r="6065" s="105" customFormat="1" spans="9:12">
      <c r="I6065" s="225"/>
      <c r="K6065" s="9"/>
      <c r="L6065" s="9"/>
    </row>
    <row r="6066" s="105" customFormat="1" spans="9:12">
      <c r="I6066" s="225"/>
      <c r="K6066" s="9"/>
      <c r="L6066" s="9"/>
    </row>
    <row r="6067" s="105" customFormat="1" spans="9:12">
      <c r="I6067" s="225"/>
      <c r="K6067" s="9"/>
      <c r="L6067" s="9"/>
    </row>
    <row r="6068" s="105" customFormat="1" spans="9:12">
      <c r="I6068" s="225"/>
      <c r="K6068" s="9"/>
      <c r="L6068" s="9"/>
    </row>
    <row r="6069" s="105" customFormat="1" spans="9:12">
      <c r="I6069" s="225"/>
      <c r="K6069" s="9"/>
      <c r="L6069" s="9"/>
    </row>
    <row r="6070" s="105" customFormat="1" spans="9:12">
      <c r="I6070" s="225"/>
      <c r="K6070" s="9"/>
      <c r="L6070" s="9"/>
    </row>
    <row r="6071" s="105" customFormat="1" spans="9:12">
      <c r="I6071" s="225"/>
      <c r="K6071" s="9"/>
      <c r="L6071" s="9"/>
    </row>
    <row r="6072" s="105" customFormat="1" spans="9:12">
      <c r="I6072" s="225"/>
      <c r="K6072" s="9"/>
      <c r="L6072" s="9"/>
    </row>
    <row r="6073" s="105" customFormat="1" spans="9:12">
      <c r="I6073" s="225"/>
      <c r="K6073" s="9"/>
      <c r="L6073" s="9"/>
    </row>
    <row r="6074" s="105" customFormat="1" spans="9:12">
      <c r="I6074" s="225"/>
      <c r="K6074" s="9"/>
      <c r="L6074" s="9"/>
    </row>
    <row r="6075" s="105" customFormat="1" spans="9:12">
      <c r="I6075" s="225"/>
      <c r="K6075" s="9"/>
      <c r="L6075" s="9"/>
    </row>
    <row r="6076" s="105" customFormat="1" spans="9:12">
      <c r="I6076" s="225"/>
      <c r="K6076" s="9"/>
      <c r="L6076" s="9"/>
    </row>
    <row r="6077" s="105" customFormat="1" spans="9:12">
      <c r="I6077" s="225"/>
      <c r="K6077" s="9"/>
      <c r="L6077" s="9"/>
    </row>
    <row r="6078" s="105" customFormat="1" spans="9:12">
      <c r="I6078" s="225"/>
      <c r="K6078" s="9"/>
      <c r="L6078" s="9"/>
    </row>
    <row r="6079" s="105" customFormat="1" spans="9:12">
      <c r="I6079" s="225"/>
      <c r="K6079" s="9"/>
      <c r="L6079" s="9"/>
    </row>
    <row r="6080" s="105" customFormat="1" spans="9:12">
      <c r="I6080" s="225"/>
      <c r="K6080" s="9"/>
      <c r="L6080" s="9"/>
    </row>
    <row r="6081" s="105" customFormat="1" spans="9:12">
      <c r="I6081" s="225"/>
      <c r="K6081" s="9"/>
      <c r="L6081" s="9"/>
    </row>
    <row r="6082" s="105" customFormat="1" spans="9:12">
      <c r="I6082" s="225"/>
      <c r="K6082" s="9"/>
      <c r="L6082" s="9"/>
    </row>
    <row r="6083" s="105" customFormat="1" spans="9:12">
      <c r="I6083" s="225"/>
      <c r="K6083" s="9"/>
      <c r="L6083" s="9"/>
    </row>
    <row r="6084" s="105" customFormat="1" spans="9:12">
      <c r="I6084" s="225"/>
      <c r="K6084" s="9"/>
      <c r="L6084" s="9"/>
    </row>
    <row r="6085" s="105" customFormat="1" spans="9:12">
      <c r="I6085" s="225"/>
      <c r="K6085" s="9"/>
      <c r="L6085" s="9"/>
    </row>
    <row r="6086" s="105" customFormat="1" spans="9:12">
      <c r="I6086" s="225"/>
      <c r="K6086" s="9"/>
      <c r="L6086" s="9"/>
    </row>
    <row r="6087" s="105" customFormat="1" spans="9:12">
      <c r="I6087" s="225"/>
      <c r="K6087" s="9"/>
      <c r="L6087" s="9"/>
    </row>
    <row r="6088" s="105" customFormat="1" spans="9:12">
      <c r="I6088" s="225"/>
      <c r="K6088" s="9"/>
      <c r="L6088" s="9"/>
    </row>
    <row r="6089" s="105" customFormat="1" spans="9:12">
      <c r="I6089" s="225"/>
      <c r="K6089" s="9"/>
      <c r="L6089" s="9"/>
    </row>
    <row r="6090" s="105" customFormat="1" spans="9:12">
      <c r="I6090" s="225"/>
      <c r="K6090" s="9"/>
      <c r="L6090" s="9"/>
    </row>
    <row r="6091" s="105" customFormat="1" spans="9:12">
      <c r="I6091" s="225"/>
      <c r="K6091" s="9"/>
      <c r="L6091" s="9"/>
    </row>
    <row r="6092" s="105" customFormat="1" spans="9:12">
      <c r="I6092" s="225"/>
      <c r="K6092" s="9"/>
      <c r="L6092" s="9"/>
    </row>
    <row r="6093" s="105" customFormat="1" spans="9:12">
      <c r="I6093" s="225"/>
      <c r="K6093" s="9"/>
      <c r="L6093" s="9"/>
    </row>
    <row r="6094" s="105" customFormat="1" spans="9:12">
      <c r="I6094" s="225"/>
      <c r="K6094" s="9"/>
      <c r="L6094" s="9"/>
    </row>
    <row r="6095" s="105" customFormat="1" spans="9:12">
      <c r="I6095" s="225"/>
      <c r="K6095" s="9"/>
      <c r="L6095" s="9"/>
    </row>
    <row r="6096" s="105" customFormat="1" spans="9:12">
      <c r="I6096" s="225"/>
      <c r="K6096" s="9"/>
      <c r="L6096" s="9"/>
    </row>
    <row r="6097" s="105" customFormat="1" spans="9:12">
      <c r="I6097" s="225"/>
      <c r="K6097" s="9"/>
      <c r="L6097" s="9"/>
    </row>
    <row r="6098" s="105" customFormat="1" spans="9:12">
      <c r="I6098" s="225"/>
      <c r="K6098" s="9"/>
      <c r="L6098" s="9"/>
    </row>
    <row r="6099" s="105" customFormat="1" spans="9:12">
      <c r="I6099" s="225"/>
      <c r="K6099" s="9"/>
      <c r="L6099" s="9"/>
    </row>
    <row r="6100" s="105" customFormat="1" spans="9:12">
      <c r="I6100" s="225"/>
      <c r="K6100" s="9"/>
      <c r="L6100" s="9"/>
    </row>
    <row r="6101" s="105" customFormat="1" spans="9:12">
      <c r="I6101" s="225"/>
      <c r="K6101" s="9"/>
      <c r="L6101" s="9"/>
    </row>
    <row r="6102" s="105" customFormat="1" spans="9:12">
      <c r="I6102" s="225"/>
      <c r="K6102" s="9"/>
      <c r="L6102" s="9"/>
    </row>
    <row r="6103" s="105" customFormat="1" spans="9:12">
      <c r="I6103" s="225"/>
      <c r="K6103" s="9"/>
      <c r="L6103" s="9"/>
    </row>
    <row r="6104" s="105" customFormat="1" spans="9:12">
      <c r="I6104" s="225"/>
      <c r="K6104" s="9"/>
      <c r="L6104" s="9"/>
    </row>
    <row r="6105" s="105" customFormat="1" spans="9:12">
      <c r="I6105" s="225"/>
      <c r="K6105" s="9"/>
      <c r="L6105" s="9"/>
    </row>
    <row r="6106" s="105" customFormat="1" spans="9:12">
      <c r="I6106" s="225"/>
      <c r="K6106" s="9"/>
      <c r="L6106" s="9"/>
    </row>
    <row r="6107" s="105" customFormat="1" spans="9:12">
      <c r="I6107" s="225"/>
      <c r="K6107" s="9"/>
      <c r="L6107" s="9"/>
    </row>
    <row r="6108" s="105" customFormat="1" spans="9:12">
      <c r="I6108" s="225"/>
      <c r="K6108" s="9"/>
      <c r="L6108" s="9"/>
    </row>
    <row r="6109" s="105" customFormat="1" spans="9:12">
      <c r="I6109" s="225"/>
      <c r="K6109" s="9"/>
      <c r="L6109" s="9"/>
    </row>
    <row r="6110" s="105" customFormat="1" spans="9:12">
      <c r="I6110" s="225"/>
      <c r="K6110" s="9"/>
      <c r="L6110" s="9"/>
    </row>
    <row r="6111" s="105" customFormat="1" spans="9:12">
      <c r="I6111" s="225"/>
      <c r="K6111" s="9"/>
      <c r="L6111" s="9"/>
    </row>
    <row r="6112" s="105" customFormat="1" spans="9:12">
      <c r="I6112" s="225"/>
      <c r="K6112" s="9"/>
      <c r="L6112" s="9"/>
    </row>
    <row r="6113" s="105" customFormat="1" spans="9:12">
      <c r="I6113" s="225"/>
      <c r="K6113" s="9"/>
      <c r="L6113" s="9"/>
    </row>
    <row r="6114" s="105" customFormat="1" spans="9:12">
      <c r="I6114" s="225"/>
      <c r="K6114" s="9"/>
      <c r="L6114" s="9"/>
    </row>
    <row r="6115" s="105" customFormat="1" spans="9:12">
      <c r="I6115" s="225"/>
      <c r="K6115" s="9"/>
      <c r="L6115" s="9"/>
    </row>
    <row r="6116" s="105" customFormat="1" spans="9:12">
      <c r="I6116" s="225"/>
      <c r="K6116" s="9"/>
      <c r="L6116" s="9"/>
    </row>
    <row r="6117" s="105" customFormat="1" spans="9:12">
      <c r="I6117" s="225"/>
      <c r="K6117" s="9"/>
      <c r="L6117" s="9"/>
    </row>
    <row r="6118" s="105" customFormat="1" spans="9:12">
      <c r="I6118" s="225"/>
      <c r="K6118" s="9"/>
      <c r="L6118" s="9"/>
    </row>
    <row r="6119" s="105" customFormat="1" spans="9:12">
      <c r="I6119" s="225"/>
      <c r="K6119" s="9"/>
      <c r="L6119" s="9"/>
    </row>
    <row r="6120" s="105" customFormat="1" spans="9:12">
      <c r="I6120" s="225"/>
      <c r="K6120" s="9"/>
      <c r="L6120" s="9"/>
    </row>
    <row r="6121" s="105" customFormat="1" spans="9:12">
      <c r="I6121" s="225"/>
      <c r="K6121" s="9"/>
      <c r="L6121" s="9"/>
    </row>
    <row r="6122" s="105" customFormat="1" spans="9:12">
      <c r="I6122" s="225"/>
      <c r="K6122" s="9"/>
      <c r="L6122" s="9"/>
    </row>
    <row r="6123" s="105" customFormat="1" spans="9:12">
      <c r="I6123" s="225"/>
      <c r="K6123" s="9"/>
      <c r="L6123" s="9"/>
    </row>
    <row r="6124" s="105" customFormat="1" spans="9:12">
      <c r="I6124" s="225"/>
      <c r="K6124" s="9"/>
      <c r="L6124" s="9"/>
    </row>
    <row r="6125" s="105" customFormat="1" spans="9:12">
      <c r="I6125" s="225"/>
      <c r="K6125" s="9"/>
      <c r="L6125" s="9"/>
    </row>
    <row r="6126" s="105" customFormat="1" spans="9:12">
      <c r="I6126" s="225"/>
      <c r="K6126" s="9"/>
      <c r="L6126" s="9"/>
    </row>
    <row r="6127" s="105" customFormat="1" spans="9:12">
      <c r="I6127" s="225"/>
      <c r="K6127" s="9"/>
      <c r="L6127" s="9"/>
    </row>
    <row r="6128" s="105" customFormat="1" spans="9:12">
      <c r="I6128" s="225"/>
      <c r="K6128" s="9"/>
      <c r="L6128" s="9"/>
    </row>
    <row r="6129" s="105" customFormat="1" spans="9:12">
      <c r="I6129" s="225"/>
      <c r="K6129" s="9"/>
      <c r="L6129" s="9"/>
    </row>
    <row r="6130" s="105" customFormat="1" spans="9:12">
      <c r="I6130" s="225"/>
      <c r="K6130" s="9"/>
      <c r="L6130" s="9"/>
    </row>
    <row r="6131" s="105" customFormat="1" spans="9:12">
      <c r="I6131" s="225"/>
      <c r="K6131" s="9"/>
      <c r="L6131" s="9"/>
    </row>
    <row r="6132" s="105" customFormat="1" spans="9:12">
      <c r="I6132" s="225"/>
      <c r="K6132" s="9"/>
      <c r="L6132" s="9"/>
    </row>
    <row r="6133" s="105" customFormat="1" spans="9:12">
      <c r="I6133" s="225"/>
      <c r="K6133" s="9"/>
      <c r="L6133" s="9"/>
    </row>
    <row r="6134" s="105" customFormat="1" spans="9:12">
      <c r="I6134" s="225"/>
      <c r="K6134" s="9"/>
      <c r="L6134" s="9"/>
    </row>
    <row r="6135" s="105" customFormat="1" spans="9:12">
      <c r="I6135" s="225"/>
      <c r="K6135" s="9"/>
      <c r="L6135" s="9"/>
    </row>
    <row r="6136" s="105" customFormat="1" spans="9:12">
      <c r="I6136" s="225"/>
      <c r="K6136" s="9"/>
      <c r="L6136" s="9"/>
    </row>
    <row r="6137" s="105" customFormat="1" spans="9:12">
      <c r="I6137" s="225"/>
      <c r="K6137" s="9"/>
      <c r="L6137" s="9"/>
    </row>
    <row r="6138" s="105" customFormat="1" spans="9:12">
      <c r="I6138" s="225"/>
      <c r="K6138" s="9"/>
      <c r="L6138" s="9"/>
    </row>
    <row r="6139" s="105" customFormat="1" spans="9:12">
      <c r="I6139" s="225"/>
      <c r="K6139" s="9"/>
      <c r="L6139" s="9"/>
    </row>
    <row r="6140" s="105" customFormat="1" spans="9:12">
      <c r="I6140" s="225"/>
      <c r="K6140" s="9"/>
      <c r="L6140" s="9"/>
    </row>
    <row r="6141" s="105" customFormat="1" spans="9:12">
      <c r="I6141" s="225"/>
      <c r="K6141" s="9"/>
      <c r="L6141" s="9"/>
    </row>
    <row r="6142" s="105" customFormat="1" spans="9:12">
      <c r="I6142" s="225"/>
      <c r="K6142" s="9"/>
      <c r="L6142" s="9"/>
    </row>
    <row r="6143" s="105" customFormat="1" spans="9:12">
      <c r="I6143" s="225"/>
      <c r="K6143" s="9"/>
      <c r="L6143" s="9"/>
    </row>
    <row r="6144" s="105" customFormat="1" spans="9:12">
      <c r="I6144" s="225"/>
      <c r="K6144" s="9"/>
      <c r="L6144" s="9"/>
    </row>
    <row r="6145" s="105" customFormat="1" spans="9:12">
      <c r="I6145" s="225"/>
      <c r="K6145" s="9"/>
      <c r="L6145" s="9"/>
    </row>
    <row r="6146" s="105" customFormat="1" spans="9:12">
      <c r="I6146" s="225"/>
      <c r="K6146" s="9"/>
      <c r="L6146" s="9"/>
    </row>
    <row r="6147" s="105" customFormat="1" spans="9:12">
      <c r="I6147" s="225"/>
      <c r="K6147" s="9"/>
      <c r="L6147" s="9"/>
    </row>
    <row r="6148" s="105" customFormat="1" spans="9:12">
      <c r="I6148" s="225"/>
      <c r="K6148" s="9"/>
      <c r="L6148" s="9"/>
    </row>
    <row r="6149" s="105" customFormat="1" spans="9:12">
      <c r="I6149" s="225"/>
      <c r="K6149" s="9"/>
      <c r="L6149" s="9"/>
    </row>
    <row r="6150" s="105" customFormat="1" spans="9:12">
      <c r="I6150" s="225"/>
      <c r="K6150" s="9"/>
      <c r="L6150" s="9"/>
    </row>
    <row r="6151" s="105" customFormat="1" spans="9:12">
      <c r="I6151" s="225"/>
      <c r="K6151" s="9"/>
      <c r="L6151" s="9"/>
    </row>
    <row r="6152" s="105" customFormat="1" spans="9:12">
      <c r="I6152" s="225"/>
      <c r="K6152" s="9"/>
      <c r="L6152" s="9"/>
    </row>
    <row r="6153" s="105" customFormat="1" spans="9:12">
      <c r="I6153" s="225"/>
      <c r="K6153" s="9"/>
      <c r="L6153" s="9"/>
    </row>
    <row r="6154" s="105" customFormat="1" spans="9:12">
      <c r="I6154" s="225"/>
      <c r="K6154" s="9"/>
      <c r="L6154" s="9"/>
    </row>
    <row r="6155" s="105" customFormat="1" spans="9:12">
      <c r="I6155" s="225"/>
      <c r="K6155" s="9"/>
      <c r="L6155" s="9"/>
    </row>
    <row r="6156" s="105" customFormat="1" spans="9:12">
      <c r="I6156" s="225"/>
      <c r="K6156" s="9"/>
      <c r="L6156" s="9"/>
    </row>
    <row r="6157" s="105" customFormat="1" spans="9:12">
      <c r="I6157" s="225"/>
      <c r="K6157" s="9"/>
      <c r="L6157" s="9"/>
    </row>
    <row r="6158" s="105" customFormat="1" spans="9:12">
      <c r="I6158" s="225"/>
      <c r="K6158" s="9"/>
      <c r="L6158" s="9"/>
    </row>
    <row r="6159" s="105" customFormat="1" spans="9:12">
      <c r="I6159" s="225"/>
      <c r="K6159" s="9"/>
      <c r="L6159" s="9"/>
    </row>
    <row r="6160" s="105" customFormat="1" spans="9:12">
      <c r="I6160" s="225"/>
      <c r="K6160" s="9"/>
      <c r="L6160" s="9"/>
    </row>
    <row r="6161" s="105" customFormat="1" spans="9:12">
      <c r="I6161" s="225"/>
      <c r="K6161" s="9"/>
      <c r="L6161" s="9"/>
    </row>
    <row r="6162" s="105" customFormat="1" spans="9:12">
      <c r="I6162" s="225"/>
      <c r="K6162" s="9"/>
      <c r="L6162" s="9"/>
    </row>
    <row r="6163" s="105" customFormat="1" spans="9:12">
      <c r="I6163" s="225"/>
      <c r="K6163" s="9"/>
      <c r="L6163" s="9"/>
    </row>
    <row r="6164" s="105" customFormat="1" spans="9:12">
      <c r="I6164" s="225"/>
      <c r="K6164" s="9"/>
      <c r="L6164" s="9"/>
    </row>
    <row r="6165" s="105" customFormat="1" spans="9:12">
      <c r="I6165" s="225"/>
      <c r="K6165" s="9"/>
      <c r="L6165" s="9"/>
    </row>
    <row r="6166" s="105" customFormat="1" spans="9:12">
      <c r="I6166" s="225"/>
      <c r="K6166" s="9"/>
      <c r="L6166" s="9"/>
    </row>
    <row r="6167" s="105" customFormat="1" spans="9:12">
      <c r="I6167" s="225"/>
      <c r="K6167" s="9"/>
      <c r="L6167" s="9"/>
    </row>
    <row r="6168" s="105" customFormat="1" spans="9:12">
      <c r="I6168" s="225"/>
      <c r="K6168" s="9"/>
      <c r="L6168" s="9"/>
    </row>
    <row r="6169" s="105" customFormat="1" spans="9:12">
      <c r="I6169" s="225"/>
      <c r="K6169" s="9"/>
      <c r="L6169" s="9"/>
    </row>
    <row r="6170" s="105" customFormat="1" spans="9:12">
      <c r="I6170" s="225"/>
      <c r="K6170" s="9"/>
      <c r="L6170" s="9"/>
    </row>
    <row r="6171" s="105" customFormat="1" spans="9:12">
      <c r="I6171" s="225"/>
      <c r="K6171" s="9"/>
      <c r="L6171" s="9"/>
    </row>
    <row r="6172" s="105" customFormat="1" spans="9:12">
      <c r="I6172" s="225"/>
      <c r="K6172" s="9"/>
      <c r="L6172" s="9"/>
    </row>
    <row r="6173" s="105" customFormat="1" spans="9:12">
      <c r="I6173" s="225"/>
      <c r="K6173" s="9"/>
      <c r="L6173" s="9"/>
    </row>
    <row r="6174" s="105" customFormat="1" spans="9:12">
      <c r="I6174" s="225"/>
      <c r="K6174" s="9"/>
      <c r="L6174" s="9"/>
    </row>
    <row r="6175" s="105" customFormat="1" spans="9:12">
      <c r="I6175" s="225"/>
      <c r="K6175" s="9"/>
      <c r="L6175" s="9"/>
    </row>
    <row r="6176" s="105" customFormat="1" spans="9:12">
      <c r="I6176" s="225"/>
      <c r="K6176" s="9"/>
      <c r="L6176" s="9"/>
    </row>
    <row r="6177" s="105" customFormat="1" spans="9:12">
      <c r="I6177" s="225"/>
      <c r="K6177" s="9"/>
      <c r="L6177" s="9"/>
    </row>
    <row r="6178" s="105" customFormat="1" spans="9:12">
      <c r="I6178" s="225"/>
      <c r="K6178" s="9"/>
      <c r="L6178" s="9"/>
    </row>
    <row r="6179" s="105" customFormat="1" spans="9:12">
      <c r="I6179" s="225"/>
      <c r="K6179" s="9"/>
      <c r="L6179" s="9"/>
    </row>
    <row r="6180" s="105" customFormat="1" spans="9:12">
      <c r="I6180" s="225"/>
      <c r="K6180" s="9"/>
      <c r="L6180" s="9"/>
    </row>
    <row r="6181" s="105" customFormat="1" spans="9:12">
      <c r="I6181" s="225"/>
      <c r="K6181" s="9"/>
      <c r="L6181" s="9"/>
    </row>
    <row r="6182" s="105" customFormat="1" spans="9:12">
      <c r="I6182" s="225"/>
      <c r="K6182" s="9"/>
      <c r="L6182" s="9"/>
    </row>
    <row r="6183" s="105" customFormat="1" spans="9:12">
      <c r="I6183" s="225"/>
      <c r="K6183" s="9"/>
      <c r="L6183" s="9"/>
    </row>
    <row r="6184" s="105" customFormat="1" spans="9:12">
      <c r="I6184" s="225"/>
      <c r="K6184" s="9"/>
      <c r="L6184" s="9"/>
    </row>
    <row r="6185" s="105" customFormat="1" spans="9:12">
      <c r="I6185" s="225"/>
      <c r="K6185" s="9"/>
      <c r="L6185" s="9"/>
    </row>
    <row r="6186" s="105" customFormat="1" spans="9:12">
      <c r="I6186" s="225"/>
      <c r="K6186" s="9"/>
      <c r="L6186" s="9"/>
    </row>
    <row r="6187" s="105" customFormat="1" spans="9:12">
      <c r="I6187" s="225"/>
      <c r="K6187" s="9"/>
      <c r="L6187" s="9"/>
    </row>
    <row r="6188" s="105" customFormat="1" spans="9:12">
      <c r="I6188" s="225"/>
      <c r="K6188" s="9"/>
      <c r="L6188" s="9"/>
    </row>
    <row r="6189" s="105" customFormat="1" spans="9:12">
      <c r="I6189" s="225"/>
      <c r="K6189" s="9"/>
      <c r="L6189" s="9"/>
    </row>
    <row r="6190" s="105" customFormat="1" spans="9:12">
      <c r="I6190" s="225"/>
      <c r="K6190" s="9"/>
      <c r="L6190" s="9"/>
    </row>
    <row r="6191" s="105" customFormat="1" spans="9:12">
      <c r="I6191" s="225"/>
      <c r="K6191" s="9"/>
      <c r="L6191" s="9"/>
    </row>
    <row r="6192" s="105" customFormat="1" spans="9:12">
      <c r="I6192" s="225"/>
      <c r="K6192" s="9"/>
      <c r="L6192" s="9"/>
    </row>
    <row r="6193" s="105" customFormat="1" spans="9:12">
      <c r="I6193" s="225"/>
      <c r="K6193" s="9"/>
      <c r="L6193" s="9"/>
    </row>
    <row r="6194" s="105" customFormat="1" spans="9:12">
      <c r="I6194" s="225"/>
      <c r="K6194" s="9"/>
      <c r="L6194" s="9"/>
    </row>
    <row r="6195" s="105" customFormat="1" spans="9:12">
      <c r="I6195" s="225"/>
      <c r="K6195" s="9"/>
      <c r="L6195" s="9"/>
    </row>
    <row r="6196" s="105" customFormat="1" spans="9:12">
      <c r="I6196" s="225"/>
      <c r="K6196" s="9"/>
      <c r="L6196" s="9"/>
    </row>
    <row r="6197" s="105" customFormat="1" spans="9:12">
      <c r="I6197" s="225"/>
      <c r="K6197" s="9"/>
      <c r="L6197" s="9"/>
    </row>
    <row r="6198" s="105" customFormat="1" spans="9:12">
      <c r="I6198" s="225"/>
      <c r="K6198" s="9"/>
      <c r="L6198" s="9"/>
    </row>
    <row r="6199" s="105" customFormat="1" spans="9:12">
      <c r="I6199" s="225"/>
      <c r="K6199" s="9"/>
      <c r="L6199" s="9"/>
    </row>
    <row r="6200" s="105" customFormat="1" spans="9:12">
      <c r="I6200" s="225"/>
      <c r="K6200" s="9"/>
      <c r="L6200" s="9"/>
    </row>
    <row r="6201" s="105" customFormat="1" spans="9:12">
      <c r="I6201" s="225"/>
      <c r="K6201" s="9"/>
      <c r="L6201" s="9"/>
    </row>
    <row r="6202" s="105" customFormat="1" spans="9:12">
      <c r="I6202" s="225"/>
      <c r="K6202" s="9"/>
      <c r="L6202" s="9"/>
    </row>
    <row r="6203" s="105" customFormat="1" spans="9:12">
      <c r="I6203" s="225"/>
      <c r="K6203" s="9"/>
      <c r="L6203" s="9"/>
    </row>
    <row r="6204" s="105" customFormat="1" spans="9:12">
      <c r="I6204" s="225"/>
      <c r="K6204" s="9"/>
      <c r="L6204" s="9"/>
    </row>
    <row r="6205" s="105" customFormat="1" spans="9:12">
      <c r="I6205" s="225"/>
      <c r="K6205" s="9"/>
      <c r="L6205" s="9"/>
    </row>
    <row r="6206" s="105" customFormat="1" spans="9:12">
      <c r="I6206" s="225"/>
      <c r="K6206" s="9"/>
      <c r="L6206" s="9"/>
    </row>
    <row r="6207" s="105" customFormat="1" spans="9:12">
      <c r="I6207" s="225"/>
      <c r="K6207" s="9"/>
      <c r="L6207" s="9"/>
    </row>
    <row r="6208" s="105" customFormat="1" spans="9:12">
      <c r="I6208" s="225"/>
      <c r="K6208" s="9"/>
      <c r="L6208" s="9"/>
    </row>
    <row r="6209" s="105" customFormat="1" spans="9:12">
      <c r="I6209" s="225"/>
      <c r="K6209" s="9"/>
      <c r="L6209" s="9"/>
    </row>
    <row r="6210" s="105" customFormat="1" spans="9:12">
      <c r="I6210" s="225"/>
      <c r="K6210" s="9"/>
      <c r="L6210" s="9"/>
    </row>
    <row r="6211" s="105" customFormat="1" spans="9:12">
      <c r="I6211" s="225"/>
      <c r="K6211" s="9"/>
      <c r="L6211" s="9"/>
    </row>
    <row r="6212" s="105" customFormat="1" spans="9:12">
      <c r="I6212" s="225"/>
      <c r="K6212" s="9"/>
      <c r="L6212" s="9"/>
    </row>
    <row r="6213" s="105" customFormat="1" spans="9:12">
      <c r="I6213" s="225"/>
      <c r="K6213" s="9"/>
      <c r="L6213" s="9"/>
    </row>
    <row r="6214" s="105" customFormat="1" spans="9:12">
      <c r="I6214" s="225"/>
      <c r="K6214" s="9"/>
      <c r="L6214" s="9"/>
    </row>
    <row r="6215" s="105" customFormat="1" spans="9:12">
      <c r="I6215" s="225"/>
      <c r="K6215" s="9"/>
      <c r="L6215" s="9"/>
    </row>
    <row r="6216" s="105" customFormat="1" spans="9:12">
      <c r="I6216" s="225"/>
      <c r="K6216" s="9"/>
      <c r="L6216" s="9"/>
    </row>
    <row r="6217" s="105" customFormat="1" spans="9:12">
      <c r="I6217" s="225"/>
      <c r="K6217" s="9"/>
      <c r="L6217" s="9"/>
    </row>
    <row r="6218" s="105" customFormat="1" spans="9:12">
      <c r="I6218" s="225"/>
      <c r="K6218" s="9"/>
      <c r="L6218" s="9"/>
    </row>
    <row r="6219" s="105" customFormat="1" spans="9:12">
      <c r="I6219" s="225"/>
      <c r="K6219" s="9"/>
      <c r="L6219" s="9"/>
    </row>
    <row r="6220" s="105" customFormat="1" spans="9:12">
      <c r="I6220" s="225"/>
      <c r="K6220" s="9"/>
      <c r="L6220" s="9"/>
    </row>
    <row r="6221" s="105" customFormat="1" spans="9:12">
      <c r="I6221" s="225"/>
      <c r="K6221" s="9"/>
      <c r="L6221" s="9"/>
    </row>
    <row r="6222" s="105" customFormat="1" spans="9:12">
      <c r="I6222" s="225"/>
      <c r="K6222" s="9"/>
      <c r="L6222" s="9"/>
    </row>
    <row r="6223" s="105" customFormat="1" spans="9:12">
      <c r="I6223" s="225"/>
      <c r="K6223" s="9"/>
      <c r="L6223" s="9"/>
    </row>
    <row r="6224" s="105" customFormat="1" spans="9:12">
      <c r="I6224" s="225"/>
      <c r="K6224" s="9"/>
      <c r="L6224" s="9"/>
    </row>
    <row r="6225" s="105" customFormat="1" spans="9:12">
      <c r="I6225" s="225"/>
      <c r="K6225" s="9"/>
      <c r="L6225" s="9"/>
    </row>
    <row r="6226" s="105" customFormat="1" spans="9:12">
      <c r="I6226" s="225"/>
      <c r="K6226" s="9"/>
      <c r="L6226" s="9"/>
    </row>
    <row r="6227" s="105" customFormat="1" spans="9:12">
      <c r="I6227" s="225"/>
      <c r="K6227" s="9"/>
      <c r="L6227" s="9"/>
    </row>
    <row r="6228" s="105" customFormat="1" spans="9:12">
      <c r="I6228" s="225"/>
      <c r="K6228" s="9"/>
      <c r="L6228" s="9"/>
    </row>
    <row r="6229" s="105" customFormat="1" spans="9:12">
      <c r="I6229" s="225"/>
      <c r="K6229" s="9"/>
      <c r="L6229" s="9"/>
    </row>
    <row r="6230" s="105" customFormat="1" spans="9:12">
      <c r="I6230" s="225"/>
      <c r="K6230" s="9"/>
      <c r="L6230" s="9"/>
    </row>
    <row r="6231" s="105" customFormat="1" spans="9:12">
      <c r="I6231" s="225"/>
      <c r="K6231" s="9"/>
      <c r="L6231" s="9"/>
    </row>
    <row r="6232" s="105" customFormat="1" spans="9:12">
      <c r="I6232" s="225"/>
      <c r="K6232" s="9"/>
      <c r="L6232" s="9"/>
    </row>
    <row r="6233" s="105" customFormat="1" spans="9:12">
      <c r="I6233" s="225"/>
      <c r="K6233" s="9"/>
      <c r="L6233" s="9"/>
    </row>
    <row r="6234" s="105" customFormat="1" spans="9:12">
      <c r="I6234" s="225"/>
      <c r="K6234" s="9"/>
      <c r="L6234" s="9"/>
    </row>
    <row r="6235" s="105" customFormat="1" spans="9:12">
      <c r="I6235" s="225"/>
      <c r="K6235" s="9"/>
      <c r="L6235" s="9"/>
    </row>
    <row r="6236" s="105" customFormat="1" spans="9:12">
      <c r="I6236" s="225"/>
      <c r="K6236" s="9"/>
      <c r="L6236" s="9"/>
    </row>
    <row r="6237" s="105" customFormat="1" spans="9:12">
      <c r="I6237" s="225"/>
      <c r="K6237" s="9"/>
      <c r="L6237" s="9"/>
    </row>
    <row r="6238" s="105" customFormat="1" spans="9:12">
      <c r="I6238" s="225"/>
      <c r="K6238" s="9"/>
      <c r="L6238" s="9"/>
    </row>
    <row r="6239" s="105" customFormat="1" spans="9:12">
      <c r="I6239" s="225"/>
      <c r="K6239" s="9"/>
      <c r="L6239" s="9"/>
    </row>
    <row r="6240" s="105" customFormat="1" spans="9:12">
      <c r="I6240" s="225"/>
      <c r="K6240" s="9"/>
      <c r="L6240" s="9"/>
    </row>
    <row r="6241" s="105" customFormat="1" spans="9:12">
      <c r="I6241" s="225"/>
      <c r="K6241" s="9"/>
      <c r="L6241" s="9"/>
    </row>
    <row r="6242" s="105" customFormat="1" spans="9:12">
      <c r="I6242" s="225"/>
      <c r="K6242" s="9"/>
      <c r="L6242" s="9"/>
    </row>
    <row r="6243" s="105" customFormat="1" spans="9:12">
      <c r="I6243" s="225"/>
      <c r="K6243" s="9"/>
      <c r="L6243" s="9"/>
    </row>
    <row r="6244" s="105" customFormat="1" spans="9:12">
      <c r="I6244" s="225"/>
      <c r="K6244" s="9"/>
      <c r="L6244" s="9"/>
    </row>
    <row r="6245" s="105" customFormat="1" spans="9:12">
      <c r="I6245" s="225"/>
      <c r="K6245" s="9"/>
      <c r="L6245" s="9"/>
    </row>
    <row r="6246" s="105" customFormat="1" spans="9:12">
      <c r="I6246" s="225"/>
      <c r="K6246" s="9"/>
      <c r="L6246" s="9"/>
    </row>
    <row r="6247" s="105" customFormat="1" spans="9:12">
      <c r="I6247" s="225"/>
      <c r="K6247" s="9"/>
      <c r="L6247" s="9"/>
    </row>
    <row r="6248" s="105" customFormat="1" spans="9:12">
      <c r="I6248" s="225"/>
      <c r="K6248" s="9"/>
      <c r="L6248" s="9"/>
    </row>
    <row r="6249" s="105" customFormat="1" spans="9:12">
      <c r="I6249" s="225"/>
      <c r="K6249" s="9"/>
      <c r="L6249" s="9"/>
    </row>
    <row r="6250" s="105" customFormat="1" spans="9:12">
      <c r="I6250" s="225"/>
      <c r="K6250" s="9"/>
      <c r="L6250" s="9"/>
    </row>
    <row r="6251" s="105" customFormat="1" spans="9:12">
      <c r="I6251" s="225"/>
      <c r="K6251" s="9"/>
      <c r="L6251" s="9"/>
    </row>
    <row r="6252" s="105" customFormat="1" spans="9:12">
      <c r="I6252" s="225"/>
      <c r="K6252" s="9"/>
      <c r="L6252" s="9"/>
    </row>
    <row r="6253" s="105" customFormat="1" spans="9:12">
      <c r="I6253" s="225"/>
      <c r="K6253" s="9"/>
      <c r="L6253" s="9"/>
    </row>
    <row r="6254" s="105" customFormat="1" spans="9:12">
      <c r="I6254" s="225"/>
      <c r="K6254" s="9"/>
      <c r="L6254" s="9"/>
    </row>
    <row r="6255" s="105" customFormat="1" spans="9:12">
      <c r="I6255" s="225"/>
      <c r="K6255" s="9"/>
      <c r="L6255" s="9"/>
    </row>
    <row r="6256" s="105" customFormat="1" spans="9:12">
      <c r="I6256" s="225"/>
      <c r="K6256" s="9"/>
      <c r="L6256" s="9"/>
    </row>
    <row r="6257" s="105" customFormat="1" spans="9:12">
      <c r="I6257" s="225"/>
      <c r="K6257" s="9"/>
      <c r="L6257" s="9"/>
    </row>
    <row r="6258" s="105" customFormat="1" spans="9:12">
      <c r="I6258" s="225"/>
      <c r="K6258" s="9"/>
      <c r="L6258" s="9"/>
    </row>
    <row r="6259" s="105" customFormat="1" spans="9:12">
      <c r="I6259" s="225"/>
      <c r="K6259" s="9"/>
      <c r="L6259" s="9"/>
    </row>
    <row r="6260" s="105" customFormat="1" spans="9:12">
      <c r="I6260" s="225"/>
      <c r="K6260" s="9"/>
      <c r="L6260" s="9"/>
    </row>
    <row r="6261" s="105" customFormat="1" spans="9:12">
      <c r="I6261" s="225"/>
      <c r="K6261" s="9"/>
      <c r="L6261" s="9"/>
    </row>
    <row r="6262" s="105" customFormat="1" spans="9:12">
      <c r="I6262" s="225"/>
      <c r="K6262" s="9"/>
      <c r="L6262" s="9"/>
    </row>
    <row r="6263" s="105" customFormat="1" spans="9:12">
      <c r="I6263" s="225"/>
      <c r="K6263" s="9"/>
      <c r="L6263" s="9"/>
    </row>
    <row r="6264" s="105" customFormat="1" spans="9:12">
      <c r="I6264" s="225"/>
      <c r="K6264" s="9"/>
      <c r="L6264" s="9"/>
    </row>
    <row r="6265" s="105" customFormat="1" spans="9:12">
      <c r="I6265" s="225"/>
      <c r="K6265" s="9"/>
      <c r="L6265" s="9"/>
    </row>
    <row r="6266" s="105" customFormat="1" spans="9:12">
      <c r="I6266" s="225"/>
      <c r="K6266" s="9"/>
      <c r="L6266" s="9"/>
    </row>
    <row r="6267" s="105" customFormat="1" spans="9:12">
      <c r="I6267" s="225"/>
      <c r="K6267" s="9"/>
      <c r="L6267" s="9"/>
    </row>
    <row r="6268" s="105" customFormat="1" spans="9:12">
      <c r="I6268" s="225"/>
      <c r="K6268" s="9"/>
      <c r="L6268" s="9"/>
    </row>
    <row r="6269" s="105" customFormat="1" spans="9:12">
      <c r="I6269" s="225"/>
      <c r="K6269" s="9"/>
      <c r="L6269" s="9"/>
    </row>
    <row r="6270" s="105" customFormat="1" spans="9:12">
      <c r="I6270" s="225"/>
      <c r="K6270" s="9"/>
      <c r="L6270" s="9"/>
    </row>
    <row r="6271" s="105" customFormat="1" spans="9:12">
      <c r="I6271" s="225"/>
      <c r="K6271" s="9"/>
      <c r="L6271" s="9"/>
    </row>
    <row r="6272" s="105" customFormat="1" spans="9:12">
      <c r="I6272" s="225"/>
      <c r="K6272" s="9"/>
      <c r="L6272" s="9"/>
    </row>
    <row r="6273" s="105" customFormat="1" spans="9:12">
      <c r="I6273" s="225"/>
      <c r="K6273" s="9"/>
      <c r="L6273" s="9"/>
    </row>
    <row r="6274" s="105" customFormat="1" spans="9:12">
      <c r="I6274" s="225"/>
      <c r="K6274" s="9"/>
      <c r="L6274" s="9"/>
    </row>
    <row r="6275" s="105" customFormat="1" spans="9:12">
      <c r="I6275" s="225"/>
      <c r="K6275" s="9"/>
      <c r="L6275" s="9"/>
    </row>
    <row r="6276" s="105" customFormat="1" spans="9:12">
      <c r="I6276" s="225"/>
      <c r="K6276" s="9"/>
      <c r="L6276" s="9"/>
    </row>
    <row r="6277" s="105" customFormat="1" spans="9:12">
      <c r="I6277" s="225"/>
      <c r="K6277" s="9"/>
      <c r="L6277" s="9"/>
    </row>
    <row r="6278" s="105" customFormat="1" spans="9:12">
      <c r="I6278" s="225"/>
      <c r="K6278" s="9"/>
      <c r="L6278" s="9"/>
    </row>
    <row r="6279" s="105" customFormat="1" spans="9:12">
      <c r="I6279" s="225"/>
      <c r="K6279" s="9"/>
      <c r="L6279" s="9"/>
    </row>
    <row r="6280" s="105" customFormat="1" spans="9:12">
      <c r="I6280" s="225"/>
      <c r="K6280" s="9"/>
      <c r="L6280" s="9"/>
    </row>
    <row r="6281" s="105" customFormat="1" spans="9:12">
      <c r="I6281" s="225"/>
      <c r="K6281" s="9"/>
      <c r="L6281" s="9"/>
    </row>
    <row r="6282" s="105" customFormat="1" spans="9:12">
      <c r="I6282" s="225"/>
      <c r="K6282" s="9"/>
      <c r="L6282" s="9"/>
    </row>
    <row r="6283" s="105" customFormat="1" spans="9:12">
      <c r="I6283" s="225"/>
      <c r="K6283" s="9"/>
      <c r="L6283" s="9"/>
    </row>
    <row r="6284" s="105" customFormat="1" spans="9:12">
      <c r="I6284" s="225"/>
      <c r="K6284" s="9"/>
      <c r="L6284" s="9"/>
    </row>
    <row r="6285" s="105" customFormat="1" spans="9:12">
      <c r="I6285" s="225"/>
      <c r="K6285" s="9"/>
      <c r="L6285" s="9"/>
    </row>
    <row r="6286" s="105" customFormat="1" spans="9:12">
      <c r="I6286" s="225"/>
      <c r="K6286" s="9"/>
      <c r="L6286" s="9"/>
    </row>
    <row r="6287" s="105" customFormat="1" spans="9:12">
      <c r="I6287" s="225"/>
      <c r="K6287" s="9"/>
      <c r="L6287" s="9"/>
    </row>
    <row r="6288" s="105" customFormat="1" spans="9:12">
      <c r="I6288" s="225"/>
      <c r="K6288" s="9"/>
      <c r="L6288" s="9"/>
    </row>
    <row r="6289" s="105" customFormat="1" spans="9:12">
      <c r="I6289" s="225"/>
      <c r="K6289" s="9"/>
      <c r="L6289" s="9"/>
    </row>
    <row r="6290" s="105" customFormat="1" spans="9:12">
      <c r="I6290" s="225"/>
      <c r="K6290" s="9"/>
      <c r="L6290" s="9"/>
    </row>
    <row r="6291" s="105" customFormat="1" spans="9:12">
      <c r="I6291" s="225"/>
      <c r="K6291" s="9"/>
      <c r="L6291" s="9"/>
    </row>
    <row r="6292" s="105" customFormat="1" spans="9:12">
      <c r="I6292" s="225"/>
      <c r="K6292" s="9"/>
      <c r="L6292" s="9"/>
    </row>
    <row r="6293" s="105" customFormat="1" spans="9:12">
      <c r="I6293" s="225"/>
      <c r="K6293" s="9"/>
      <c r="L6293" s="9"/>
    </row>
    <row r="6294" s="105" customFormat="1" spans="9:12">
      <c r="I6294" s="225"/>
      <c r="K6294" s="9"/>
      <c r="L6294" s="9"/>
    </row>
    <row r="6295" s="105" customFormat="1" spans="9:12">
      <c r="I6295" s="225"/>
      <c r="K6295" s="9"/>
      <c r="L6295" s="9"/>
    </row>
    <row r="6296" s="105" customFormat="1" spans="9:12">
      <c r="I6296" s="225"/>
      <c r="K6296" s="9"/>
      <c r="L6296" s="9"/>
    </row>
    <row r="6297" s="105" customFormat="1" spans="9:12">
      <c r="I6297" s="225"/>
      <c r="K6297" s="9"/>
      <c r="L6297" s="9"/>
    </row>
    <row r="6298" s="105" customFormat="1" spans="9:12">
      <c r="I6298" s="225"/>
      <c r="K6298" s="9"/>
      <c r="L6298" s="9"/>
    </row>
    <row r="6299" s="105" customFormat="1" spans="9:12">
      <c r="I6299" s="225"/>
      <c r="K6299" s="9"/>
      <c r="L6299" s="9"/>
    </row>
    <row r="6300" s="105" customFormat="1" spans="9:12">
      <c r="I6300" s="225"/>
      <c r="K6300" s="9"/>
      <c r="L6300" s="9"/>
    </row>
    <row r="6301" s="105" customFormat="1" spans="9:12">
      <c r="I6301" s="225"/>
      <c r="K6301" s="9"/>
      <c r="L6301" s="9"/>
    </row>
    <row r="6302" s="105" customFormat="1" spans="9:12">
      <c r="I6302" s="225"/>
      <c r="K6302" s="9"/>
      <c r="L6302" s="9"/>
    </row>
    <row r="6303" s="105" customFormat="1" spans="9:12">
      <c r="I6303" s="225"/>
      <c r="K6303" s="9"/>
      <c r="L6303" s="9"/>
    </row>
    <row r="6304" s="105" customFormat="1" spans="9:12">
      <c r="I6304" s="225"/>
      <c r="K6304" s="9"/>
      <c r="L6304" s="9"/>
    </row>
    <row r="6305" s="105" customFormat="1" spans="9:12">
      <c r="I6305" s="225"/>
      <c r="K6305" s="9"/>
      <c r="L6305" s="9"/>
    </row>
    <row r="6306" s="105" customFormat="1" spans="9:12">
      <c r="I6306" s="225"/>
      <c r="K6306" s="9"/>
      <c r="L6306" s="9"/>
    </row>
    <row r="6307" s="105" customFormat="1" spans="9:12">
      <c r="I6307" s="225"/>
      <c r="K6307" s="9"/>
      <c r="L6307" s="9"/>
    </row>
    <row r="6308" s="105" customFormat="1" spans="9:12">
      <c r="I6308" s="225"/>
      <c r="K6308" s="9"/>
      <c r="L6308" s="9"/>
    </row>
    <row r="6309" s="105" customFormat="1" spans="9:12">
      <c r="I6309" s="225"/>
      <c r="K6309" s="9"/>
      <c r="L6309" s="9"/>
    </row>
    <row r="6310" s="105" customFormat="1" spans="9:12">
      <c r="I6310" s="225"/>
      <c r="K6310" s="9"/>
      <c r="L6310" s="9"/>
    </row>
    <row r="6311" s="105" customFormat="1" spans="9:12">
      <c r="I6311" s="225"/>
      <c r="K6311" s="9"/>
      <c r="L6311" s="9"/>
    </row>
    <row r="6312" s="105" customFormat="1" spans="9:12">
      <c r="I6312" s="225"/>
      <c r="K6312" s="9"/>
      <c r="L6312" s="9"/>
    </row>
    <row r="6313" s="105" customFormat="1" spans="9:12">
      <c r="I6313" s="225"/>
      <c r="K6313" s="9"/>
      <c r="L6313" s="9"/>
    </row>
    <row r="6314" s="105" customFormat="1" spans="9:12">
      <c r="I6314" s="225"/>
      <c r="K6314" s="9"/>
      <c r="L6314" s="9"/>
    </row>
    <row r="6315" s="105" customFormat="1" spans="9:12">
      <c r="I6315" s="225"/>
      <c r="K6315" s="9"/>
      <c r="L6315" s="9"/>
    </row>
    <row r="6316" s="105" customFormat="1" spans="9:12">
      <c r="I6316" s="225"/>
      <c r="K6316" s="9"/>
      <c r="L6316" s="9"/>
    </row>
    <row r="6317" s="105" customFormat="1" spans="9:12">
      <c r="I6317" s="225"/>
      <c r="K6317" s="9"/>
      <c r="L6317" s="9"/>
    </row>
    <row r="6318" s="105" customFormat="1" spans="9:12">
      <c r="I6318" s="225"/>
      <c r="K6318" s="9"/>
      <c r="L6318" s="9"/>
    </row>
    <row r="6319" s="105" customFormat="1" spans="9:12">
      <c r="I6319" s="225"/>
      <c r="K6319" s="9"/>
      <c r="L6319" s="9"/>
    </row>
    <row r="6320" s="105" customFormat="1" spans="9:12">
      <c r="I6320" s="225"/>
      <c r="K6320" s="9"/>
      <c r="L6320" s="9"/>
    </row>
    <row r="6321" s="105" customFormat="1" spans="9:12">
      <c r="I6321" s="225"/>
      <c r="K6321" s="9"/>
      <c r="L6321" s="9"/>
    </row>
    <row r="6322" s="105" customFormat="1" spans="9:12">
      <c r="I6322" s="225"/>
      <c r="K6322" s="9"/>
      <c r="L6322" s="9"/>
    </row>
    <row r="6323" s="105" customFormat="1" spans="9:12">
      <c r="I6323" s="225"/>
      <c r="K6323" s="9"/>
      <c r="L6323" s="9"/>
    </row>
    <row r="6324" s="105" customFormat="1" spans="9:12">
      <c r="I6324" s="225"/>
      <c r="K6324" s="9"/>
      <c r="L6324" s="9"/>
    </row>
    <row r="6325" s="105" customFormat="1" spans="9:12">
      <c r="I6325" s="225"/>
      <c r="K6325" s="9"/>
      <c r="L6325" s="9"/>
    </row>
    <row r="6326" s="105" customFormat="1" spans="9:12">
      <c r="I6326" s="225"/>
      <c r="K6326" s="9"/>
      <c r="L6326" s="9"/>
    </row>
    <row r="6327" s="105" customFormat="1" spans="9:12">
      <c r="I6327" s="225"/>
      <c r="K6327" s="9"/>
      <c r="L6327" s="9"/>
    </row>
    <row r="6328" s="105" customFormat="1" spans="9:12">
      <c r="I6328" s="225"/>
      <c r="K6328" s="9"/>
      <c r="L6328" s="9"/>
    </row>
    <row r="6329" s="105" customFormat="1" spans="9:12">
      <c r="I6329" s="225"/>
      <c r="K6329" s="9"/>
      <c r="L6329" s="9"/>
    </row>
    <row r="6330" s="105" customFormat="1" spans="9:12">
      <c r="I6330" s="225"/>
      <c r="K6330" s="9"/>
      <c r="L6330" s="9"/>
    </row>
    <row r="6331" s="105" customFormat="1" spans="9:12">
      <c r="I6331" s="225"/>
      <c r="K6331" s="9"/>
      <c r="L6331" s="9"/>
    </row>
    <row r="6332" s="105" customFormat="1" spans="9:12">
      <c r="I6332" s="225"/>
      <c r="K6332" s="9"/>
      <c r="L6332" s="9"/>
    </row>
    <row r="6333" s="105" customFormat="1" spans="9:12">
      <c r="I6333" s="225"/>
      <c r="K6333" s="9"/>
      <c r="L6333" s="9"/>
    </row>
    <row r="6334" s="105" customFormat="1" spans="9:12">
      <c r="I6334" s="225"/>
      <c r="K6334" s="9"/>
      <c r="L6334" s="9"/>
    </row>
    <row r="6335" s="105" customFormat="1" spans="9:12">
      <c r="I6335" s="225"/>
      <c r="K6335" s="9"/>
      <c r="L6335" s="9"/>
    </row>
    <row r="6336" s="105" customFormat="1" spans="9:12">
      <c r="I6336" s="225"/>
      <c r="K6336" s="9"/>
      <c r="L6336" s="9"/>
    </row>
    <row r="6337" s="105" customFormat="1" spans="9:12">
      <c r="I6337" s="225"/>
      <c r="K6337" s="9"/>
      <c r="L6337" s="9"/>
    </row>
    <row r="6338" s="105" customFormat="1" spans="9:12">
      <c r="I6338" s="225"/>
      <c r="K6338" s="9"/>
      <c r="L6338" s="9"/>
    </row>
    <row r="6339" s="105" customFormat="1" spans="9:12">
      <c r="I6339" s="225"/>
      <c r="K6339" s="9"/>
      <c r="L6339" s="9"/>
    </row>
    <row r="6340" s="105" customFormat="1" spans="9:12">
      <c r="I6340" s="225"/>
      <c r="K6340" s="9"/>
      <c r="L6340" s="9"/>
    </row>
    <row r="6341" s="105" customFormat="1" spans="9:12">
      <c r="I6341" s="225"/>
      <c r="K6341" s="9"/>
      <c r="L6341" s="9"/>
    </row>
    <row r="6342" s="105" customFormat="1" spans="9:12">
      <c r="I6342" s="225"/>
      <c r="K6342" s="9"/>
      <c r="L6342" s="9"/>
    </row>
    <row r="6343" s="105" customFormat="1" spans="9:12">
      <c r="I6343" s="225"/>
      <c r="K6343" s="9"/>
      <c r="L6343" s="9"/>
    </row>
    <row r="6344" s="105" customFormat="1" spans="9:12">
      <c r="I6344" s="225"/>
      <c r="K6344" s="9"/>
      <c r="L6344" s="9"/>
    </row>
    <row r="6345" s="105" customFormat="1" spans="9:12">
      <c r="I6345" s="225"/>
      <c r="K6345" s="9"/>
      <c r="L6345" s="9"/>
    </row>
    <row r="6346" s="105" customFormat="1" spans="9:12">
      <c r="I6346" s="225"/>
      <c r="K6346" s="9"/>
      <c r="L6346" s="9"/>
    </row>
    <row r="6347" s="105" customFormat="1" spans="9:12">
      <c r="I6347" s="225"/>
      <c r="K6347" s="9"/>
      <c r="L6347" s="9"/>
    </row>
    <row r="6348" s="105" customFormat="1" spans="9:12">
      <c r="I6348" s="225"/>
      <c r="K6348" s="9"/>
      <c r="L6348" s="9"/>
    </row>
    <row r="6349" s="105" customFormat="1" spans="9:12">
      <c r="I6349" s="225"/>
      <c r="K6349" s="9"/>
      <c r="L6349" s="9"/>
    </row>
    <row r="6350" s="105" customFormat="1" spans="9:12">
      <c r="I6350" s="225"/>
      <c r="K6350" s="9"/>
      <c r="L6350" s="9"/>
    </row>
    <row r="6351" s="105" customFormat="1" spans="9:12">
      <c r="I6351" s="225"/>
      <c r="K6351" s="9"/>
      <c r="L6351" s="9"/>
    </row>
    <row r="6352" s="105" customFormat="1" spans="9:12">
      <c r="I6352" s="225"/>
      <c r="K6352" s="9"/>
      <c r="L6352" s="9"/>
    </row>
    <row r="6353" s="105" customFormat="1" spans="9:12">
      <c r="I6353" s="225"/>
      <c r="K6353" s="9"/>
      <c r="L6353" s="9"/>
    </row>
    <row r="6354" s="105" customFormat="1" spans="9:12">
      <c r="I6354" s="225"/>
      <c r="K6354" s="9"/>
      <c r="L6354" s="9"/>
    </row>
    <row r="6355" s="105" customFormat="1" spans="9:12">
      <c r="I6355" s="225"/>
      <c r="K6355" s="9"/>
      <c r="L6355" s="9"/>
    </row>
    <row r="6356" s="105" customFormat="1" spans="9:12">
      <c r="I6356" s="225"/>
      <c r="K6356" s="9"/>
      <c r="L6356" s="9"/>
    </row>
    <row r="6357" s="105" customFormat="1" spans="9:12">
      <c r="I6357" s="225"/>
      <c r="K6357" s="9"/>
      <c r="L6357" s="9"/>
    </row>
    <row r="6358" s="105" customFormat="1" spans="9:12">
      <c r="I6358" s="225"/>
      <c r="K6358" s="9"/>
      <c r="L6358" s="9"/>
    </row>
    <row r="6359" s="105" customFormat="1" spans="9:12">
      <c r="I6359" s="225"/>
      <c r="K6359" s="9"/>
      <c r="L6359" s="9"/>
    </row>
    <row r="6360" s="105" customFormat="1" spans="9:12">
      <c r="I6360" s="225"/>
      <c r="K6360" s="9"/>
      <c r="L6360" s="9"/>
    </row>
    <row r="6361" s="105" customFormat="1" spans="9:12">
      <c r="I6361" s="225"/>
      <c r="K6361" s="9"/>
      <c r="L6361" s="9"/>
    </row>
    <row r="6362" s="105" customFormat="1" spans="9:12">
      <c r="I6362" s="225"/>
      <c r="K6362" s="9"/>
      <c r="L6362" s="9"/>
    </row>
    <row r="6363" s="105" customFormat="1" spans="9:12">
      <c r="I6363" s="225"/>
      <c r="K6363" s="9"/>
      <c r="L6363" s="9"/>
    </row>
    <row r="6364" s="105" customFormat="1" spans="9:12">
      <c r="I6364" s="225"/>
      <c r="K6364" s="9"/>
      <c r="L6364" s="9"/>
    </row>
    <row r="6365" s="105" customFormat="1" spans="9:12">
      <c r="I6365" s="225"/>
      <c r="K6365" s="9"/>
      <c r="L6365" s="9"/>
    </row>
    <row r="6366" s="105" customFormat="1" spans="9:12">
      <c r="I6366" s="225"/>
      <c r="K6366" s="9"/>
      <c r="L6366" s="9"/>
    </row>
    <row r="6367" s="105" customFormat="1" spans="9:12">
      <c r="I6367" s="225"/>
      <c r="K6367" s="9"/>
      <c r="L6367" s="9"/>
    </row>
    <row r="6368" s="105" customFormat="1" spans="9:12">
      <c r="I6368" s="225"/>
      <c r="K6368" s="9"/>
      <c r="L6368" s="9"/>
    </row>
    <row r="6369" s="105" customFormat="1" spans="9:12">
      <c r="I6369" s="225"/>
      <c r="K6369" s="9"/>
      <c r="L6369" s="9"/>
    </row>
    <row r="6370" s="105" customFormat="1" spans="9:12">
      <c r="I6370" s="225"/>
      <c r="K6370" s="9"/>
      <c r="L6370" s="9"/>
    </row>
    <row r="6371" s="105" customFormat="1" spans="9:12">
      <c r="I6371" s="225"/>
      <c r="K6371" s="9"/>
      <c r="L6371" s="9"/>
    </row>
    <row r="6372" s="105" customFormat="1" spans="9:12">
      <c r="I6372" s="225"/>
      <c r="K6372" s="9"/>
      <c r="L6372" s="9"/>
    </row>
    <row r="6373" s="105" customFormat="1" spans="9:12">
      <c r="I6373" s="225"/>
      <c r="K6373" s="9"/>
      <c r="L6373" s="9"/>
    </row>
    <row r="6374" s="105" customFormat="1" spans="9:12">
      <c r="I6374" s="225"/>
      <c r="K6374" s="9"/>
      <c r="L6374" s="9"/>
    </row>
    <row r="6375" s="105" customFormat="1" spans="9:12">
      <c r="I6375" s="225"/>
      <c r="K6375" s="9"/>
      <c r="L6375" s="9"/>
    </row>
    <row r="6376" s="105" customFormat="1" spans="9:12">
      <c r="I6376" s="225"/>
      <c r="K6376" s="9"/>
      <c r="L6376" s="9"/>
    </row>
    <row r="6377" s="105" customFormat="1" spans="9:12">
      <c r="I6377" s="225"/>
      <c r="K6377" s="9"/>
      <c r="L6377" s="9"/>
    </row>
    <row r="6378" s="105" customFormat="1" spans="9:12">
      <c r="I6378" s="225"/>
      <c r="K6378" s="9"/>
      <c r="L6378" s="9"/>
    </row>
    <row r="6379" s="105" customFormat="1" spans="9:12">
      <c r="I6379" s="225"/>
      <c r="K6379" s="9"/>
      <c r="L6379" s="9"/>
    </row>
    <row r="6380" s="105" customFormat="1" spans="9:12">
      <c r="I6380" s="225"/>
      <c r="K6380" s="9"/>
      <c r="L6380" s="9"/>
    </row>
    <row r="6381" s="105" customFormat="1" spans="9:12">
      <c r="I6381" s="225"/>
      <c r="K6381" s="9"/>
      <c r="L6381" s="9"/>
    </row>
    <row r="6382" s="105" customFormat="1" spans="9:12">
      <c r="I6382" s="225"/>
      <c r="K6382" s="9"/>
      <c r="L6382" s="9"/>
    </row>
    <row r="6383" s="105" customFormat="1" spans="9:12">
      <c r="I6383" s="225"/>
      <c r="K6383" s="9"/>
      <c r="L6383" s="9"/>
    </row>
    <row r="6384" s="105" customFormat="1" spans="9:12">
      <c r="I6384" s="225"/>
      <c r="K6384" s="9"/>
      <c r="L6384" s="9"/>
    </row>
    <row r="6385" s="105" customFormat="1" spans="9:12">
      <c r="I6385" s="225"/>
      <c r="K6385" s="9"/>
      <c r="L6385" s="9"/>
    </row>
    <row r="6386" s="105" customFormat="1" spans="9:12">
      <c r="I6386" s="225"/>
      <c r="K6386" s="9"/>
      <c r="L6386" s="9"/>
    </row>
    <row r="6387" s="105" customFormat="1" spans="9:12">
      <c r="I6387" s="225"/>
      <c r="K6387" s="9"/>
      <c r="L6387" s="9"/>
    </row>
    <row r="6388" s="105" customFormat="1" spans="9:12">
      <c r="I6388" s="225"/>
      <c r="K6388" s="9"/>
      <c r="L6388" s="9"/>
    </row>
    <row r="6389" s="105" customFormat="1" spans="9:12">
      <c r="I6389" s="225"/>
      <c r="K6389" s="9"/>
      <c r="L6389" s="9"/>
    </row>
    <row r="6390" s="105" customFormat="1" spans="9:12">
      <c r="I6390" s="225"/>
      <c r="K6390" s="9"/>
      <c r="L6390" s="9"/>
    </row>
    <row r="6391" s="105" customFormat="1" spans="9:12">
      <c r="I6391" s="225"/>
      <c r="K6391" s="9"/>
      <c r="L6391" s="9"/>
    </row>
    <row r="6392" s="105" customFormat="1" spans="9:12">
      <c r="I6392" s="225"/>
      <c r="K6392" s="9"/>
      <c r="L6392" s="9"/>
    </row>
    <row r="6393" s="105" customFormat="1" spans="9:12">
      <c r="I6393" s="225"/>
      <c r="K6393" s="9"/>
      <c r="L6393" s="9"/>
    </row>
    <row r="6394" s="105" customFormat="1" spans="9:12">
      <c r="I6394" s="225"/>
      <c r="K6394" s="9"/>
      <c r="L6394" s="9"/>
    </row>
    <row r="6395" s="105" customFormat="1" spans="9:12">
      <c r="I6395" s="225"/>
      <c r="K6395" s="9"/>
      <c r="L6395" s="9"/>
    </row>
    <row r="6396" s="105" customFormat="1" spans="9:12">
      <c r="I6396" s="225"/>
      <c r="K6396" s="9"/>
      <c r="L6396" s="9"/>
    </row>
    <row r="6397" s="105" customFormat="1" spans="9:12">
      <c r="I6397" s="225"/>
      <c r="K6397" s="9"/>
      <c r="L6397" s="9"/>
    </row>
    <row r="6398" s="105" customFormat="1" spans="9:12">
      <c r="I6398" s="225"/>
      <c r="K6398" s="9"/>
      <c r="L6398" s="9"/>
    </row>
    <row r="6399" s="105" customFormat="1" spans="9:12">
      <c r="I6399" s="225"/>
      <c r="K6399" s="9"/>
      <c r="L6399" s="9"/>
    </row>
    <row r="6400" s="105" customFormat="1" spans="9:12">
      <c r="I6400" s="225"/>
      <c r="K6400" s="9"/>
      <c r="L6400" s="9"/>
    </row>
    <row r="6401" s="105" customFormat="1" spans="9:12">
      <c r="I6401" s="225"/>
      <c r="K6401" s="9"/>
      <c r="L6401" s="9"/>
    </row>
    <row r="6402" s="105" customFormat="1" spans="9:12">
      <c r="I6402" s="225"/>
      <c r="K6402" s="9"/>
      <c r="L6402" s="9"/>
    </row>
    <row r="6403" s="105" customFormat="1" spans="9:12">
      <c r="I6403" s="225"/>
      <c r="K6403" s="9"/>
      <c r="L6403" s="9"/>
    </row>
    <row r="6404" s="105" customFormat="1" spans="9:12">
      <c r="I6404" s="225"/>
      <c r="K6404" s="9"/>
      <c r="L6404" s="9"/>
    </row>
    <row r="6405" s="105" customFormat="1" spans="9:12">
      <c r="I6405" s="225"/>
      <c r="K6405" s="9"/>
      <c r="L6405" s="9"/>
    </row>
    <row r="6406" s="105" customFormat="1" spans="9:12">
      <c r="I6406" s="225"/>
      <c r="K6406" s="9"/>
      <c r="L6406" s="9"/>
    </row>
    <row r="6407" s="105" customFormat="1" spans="9:12">
      <c r="I6407" s="225"/>
      <c r="K6407" s="9"/>
      <c r="L6407" s="9"/>
    </row>
    <row r="6408" s="105" customFormat="1" spans="9:12">
      <c r="I6408" s="225"/>
      <c r="K6408" s="9"/>
      <c r="L6408" s="9"/>
    </row>
    <row r="6409" s="105" customFormat="1" spans="9:12">
      <c r="I6409" s="225"/>
      <c r="K6409" s="9"/>
      <c r="L6409" s="9"/>
    </row>
    <row r="6410" s="105" customFormat="1" spans="9:12">
      <c r="I6410" s="225"/>
      <c r="K6410" s="9"/>
      <c r="L6410" s="9"/>
    </row>
    <row r="6411" s="105" customFormat="1" spans="9:12">
      <c r="I6411" s="225"/>
      <c r="K6411" s="9"/>
      <c r="L6411" s="9"/>
    </row>
    <row r="6412" s="105" customFormat="1" spans="9:12">
      <c r="I6412" s="225"/>
      <c r="K6412" s="9"/>
      <c r="L6412" s="9"/>
    </row>
    <row r="6413" s="105" customFormat="1" spans="9:12">
      <c r="I6413" s="225"/>
      <c r="K6413" s="9"/>
      <c r="L6413" s="9"/>
    </row>
    <row r="6414" s="105" customFormat="1" spans="9:12">
      <c r="I6414" s="225"/>
      <c r="K6414" s="9"/>
      <c r="L6414" s="9"/>
    </row>
    <row r="6415" s="105" customFormat="1" spans="9:12">
      <c r="I6415" s="225"/>
      <c r="K6415" s="9"/>
      <c r="L6415" s="9"/>
    </row>
    <row r="6416" s="105" customFormat="1" spans="9:12">
      <c r="I6416" s="225"/>
      <c r="K6416" s="9"/>
      <c r="L6416" s="9"/>
    </row>
    <row r="6417" s="105" customFormat="1" spans="9:12">
      <c r="I6417" s="225"/>
      <c r="K6417" s="9"/>
      <c r="L6417" s="9"/>
    </row>
    <row r="6418" s="105" customFormat="1" spans="9:12">
      <c r="I6418" s="225"/>
      <c r="K6418" s="9"/>
      <c r="L6418" s="9"/>
    </row>
    <row r="6419" s="105" customFormat="1" spans="9:12">
      <c r="I6419" s="225"/>
      <c r="K6419" s="9"/>
      <c r="L6419" s="9"/>
    </row>
    <row r="6420" s="105" customFormat="1" spans="9:12">
      <c r="I6420" s="225"/>
      <c r="K6420" s="9"/>
      <c r="L6420" s="9"/>
    </row>
    <row r="6421" s="105" customFormat="1" spans="9:12">
      <c r="I6421" s="225"/>
      <c r="K6421" s="9"/>
      <c r="L6421" s="9"/>
    </row>
    <row r="6422" s="105" customFormat="1" spans="9:12">
      <c r="I6422" s="225"/>
      <c r="K6422" s="9"/>
      <c r="L6422" s="9"/>
    </row>
    <row r="6423" s="105" customFormat="1" spans="9:12">
      <c r="I6423" s="225"/>
      <c r="K6423" s="9"/>
      <c r="L6423" s="9"/>
    </row>
    <row r="6424" s="105" customFormat="1" spans="9:12">
      <c r="I6424" s="225"/>
      <c r="K6424" s="9"/>
      <c r="L6424" s="9"/>
    </row>
    <row r="6425" s="105" customFormat="1" spans="9:12">
      <c r="I6425" s="225"/>
      <c r="K6425" s="9"/>
      <c r="L6425" s="9"/>
    </row>
    <row r="6426" s="105" customFormat="1" spans="9:12">
      <c r="I6426" s="225"/>
      <c r="K6426" s="9"/>
      <c r="L6426" s="9"/>
    </row>
    <row r="6427" s="105" customFormat="1" spans="9:12">
      <c r="I6427" s="225"/>
      <c r="K6427" s="9"/>
      <c r="L6427" s="9"/>
    </row>
    <row r="6428" s="105" customFormat="1" spans="9:12">
      <c r="I6428" s="225"/>
      <c r="K6428" s="9"/>
      <c r="L6428" s="9"/>
    </row>
    <row r="6429" s="105" customFormat="1" spans="9:12">
      <c r="I6429" s="225"/>
      <c r="K6429" s="9"/>
      <c r="L6429" s="9"/>
    </row>
    <row r="6430" s="105" customFormat="1" spans="9:12">
      <c r="I6430" s="225"/>
      <c r="K6430" s="9"/>
      <c r="L6430" s="9"/>
    </row>
    <row r="6431" s="105" customFormat="1" spans="9:12">
      <c r="I6431" s="225"/>
      <c r="K6431" s="9"/>
      <c r="L6431" s="9"/>
    </row>
    <row r="6432" s="105" customFormat="1" spans="9:12">
      <c r="I6432" s="225"/>
      <c r="K6432" s="9"/>
      <c r="L6432" s="9"/>
    </row>
    <row r="6433" s="105" customFormat="1" spans="9:12">
      <c r="I6433" s="225"/>
      <c r="K6433" s="9"/>
      <c r="L6433" s="9"/>
    </row>
    <row r="6434" s="105" customFormat="1" spans="9:12">
      <c r="I6434" s="225"/>
      <c r="K6434" s="9"/>
      <c r="L6434" s="9"/>
    </row>
    <row r="6435" s="105" customFormat="1" spans="9:12">
      <c r="I6435" s="225"/>
      <c r="K6435" s="9"/>
      <c r="L6435" s="9"/>
    </row>
    <row r="6436" s="105" customFormat="1" spans="9:12">
      <c r="I6436" s="225"/>
      <c r="K6436" s="9"/>
      <c r="L6436" s="9"/>
    </row>
    <row r="6437" s="105" customFormat="1" spans="9:12">
      <c r="I6437" s="225"/>
      <c r="K6437" s="9"/>
      <c r="L6437" s="9"/>
    </row>
    <row r="6438" s="105" customFormat="1" spans="9:12">
      <c r="I6438" s="225"/>
      <c r="K6438" s="9"/>
      <c r="L6438" s="9"/>
    </row>
    <row r="6439" s="105" customFormat="1" spans="9:12">
      <c r="I6439" s="225"/>
      <c r="K6439" s="9"/>
      <c r="L6439" s="9"/>
    </row>
    <row r="6440" s="105" customFormat="1" spans="9:12">
      <c r="I6440" s="225"/>
      <c r="K6440" s="9"/>
      <c r="L6440" s="9"/>
    </row>
    <row r="6441" s="105" customFormat="1" spans="9:12">
      <c r="I6441" s="225"/>
      <c r="K6441" s="9"/>
      <c r="L6441" s="9"/>
    </row>
    <row r="6442" s="105" customFormat="1" spans="9:12">
      <c r="I6442" s="225"/>
      <c r="K6442" s="9"/>
      <c r="L6442" s="9"/>
    </row>
    <row r="6443" s="105" customFormat="1" spans="9:12">
      <c r="I6443" s="225"/>
      <c r="K6443" s="9"/>
      <c r="L6443" s="9"/>
    </row>
    <row r="6444" s="105" customFormat="1" spans="9:12">
      <c r="I6444" s="225"/>
      <c r="K6444" s="9"/>
      <c r="L6444" s="9"/>
    </row>
    <row r="6445" s="105" customFormat="1" spans="9:12">
      <c r="I6445" s="225"/>
      <c r="K6445" s="9"/>
      <c r="L6445" s="9"/>
    </row>
    <row r="6446" s="105" customFormat="1" spans="9:12">
      <c r="I6446" s="225"/>
      <c r="K6446" s="9"/>
      <c r="L6446" s="9"/>
    </row>
    <row r="6447" s="105" customFormat="1" spans="9:12">
      <c r="I6447" s="225"/>
      <c r="K6447" s="9"/>
      <c r="L6447" s="9"/>
    </row>
    <row r="6448" s="105" customFormat="1" spans="9:12">
      <c r="I6448" s="225"/>
      <c r="K6448" s="9"/>
      <c r="L6448" s="9"/>
    </row>
    <row r="6449" s="105" customFormat="1" spans="9:12">
      <c r="I6449" s="225"/>
      <c r="K6449" s="9"/>
      <c r="L6449" s="9"/>
    </row>
    <row r="6450" s="105" customFormat="1" spans="9:12">
      <c r="I6450" s="225"/>
      <c r="K6450" s="9"/>
      <c r="L6450" s="9"/>
    </row>
    <row r="6451" s="105" customFormat="1" spans="9:12">
      <c r="I6451" s="225"/>
      <c r="K6451" s="9"/>
      <c r="L6451" s="9"/>
    </row>
    <row r="6452" s="105" customFormat="1" spans="9:12">
      <c r="I6452" s="225"/>
      <c r="K6452" s="9"/>
      <c r="L6452" s="9"/>
    </row>
    <row r="6453" s="105" customFormat="1" spans="9:12">
      <c r="I6453" s="225"/>
      <c r="K6453" s="9"/>
      <c r="L6453" s="9"/>
    </row>
    <row r="6454" s="105" customFormat="1" spans="9:12">
      <c r="I6454" s="225"/>
      <c r="K6454" s="9"/>
      <c r="L6454" s="9"/>
    </row>
    <row r="6455" s="105" customFormat="1" spans="9:12">
      <c r="I6455" s="225"/>
      <c r="K6455" s="9"/>
      <c r="L6455" s="9"/>
    </row>
    <row r="6456" s="105" customFormat="1" spans="9:12">
      <c r="I6456" s="225"/>
      <c r="K6456" s="9"/>
      <c r="L6456" s="9"/>
    </row>
    <row r="6457" s="105" customFormat="1" spans="9:12">
      <c r="I6457" s="225"/>
      <c r="K6457" s="9"/>
      <c r="L6457" s="9"/>
    </row>
    <row r="6458" s="105" customFormat="1" spans="9:12">
      <c r="I6458" s="225"/>
      <c r="K6458" s="9"/>
      <c r="L6458" s="9"/>
    </row>
    <row r="6459" s="105" customFormat="1" spans="9:12">
      <c r="I6459" s="225"/>
      <c r="K6459" s="9"/>
      <c r="L6459" s="9"/>
    </row>
    <row r="6460" s="105" customFormat="1" spans="9:12">
      <c r="I6460" s="225"/>
      <c r="K6460" s="9"/>
      <c r="L6460" s="9"/>
    </row>
    <row r="6461" s="105" customFormat="1" spans="9:12">
      <c r="I6461" s="225"/>
      <c r="K6461" s="9"/>
      <c r="L6461" s="9"/>
    </row>
    <row r="6462" s="105" customFormat="1" spans="9:12">
      <c r="I6462" s="225"/>
      <c r="K6462" s="9"/>
      <c r="L6462" s="9"/>
    </row>
    <row r="6463" s="105" customFormat="1" spans="9:12">
      <c r="I6463" s="225"/>
      <c r="K6463" s="9"/>
      <c r="L6463" s="9"/>
    </row>
    <row r="6464" s="105" customFormat="1" spans="9:12">
      <c r="I6464" s="225"/>
      <c r="K6464" s="9"/>
      <c r="L6464" s="9"/>
    </row>
    <row r="6465" s="105" customFormat="1" spans="9:12">
      <c r="I6465" s="225"/>
      <c r="K6465" s="9"/>
      <c r="L6465" s="9"/>
    </row>
    <row r="6466" s="105" customFormat="1" spans="9:12">
      <c r="I6466" s="225"/>
      <c r="K6466" s="9"/>
      <c r="L6466" s="9"/>
    </row>
    <row r="6467" s="105" customFormat="1" spans="9:12">
      <c r="I6467" s="225"/>
      <c r="K6467" s="9"/>
      <c r="L6467" s="9"/>
    </row>
    <row r="6468" s="105" customFormat="1" spans="9:12">
      <c r="I6468" s="225"/>
      <c r="K6468" s="9"/>
      <c r="L6468" s="9"/>
    </row>
    <row r="6469" s="105" customFormat="1" spans="9:12">
      <c r="I6469" s="225"/>
      <c r="K6469" s="9"/>
      <c r="L6469" s="9"/>
    </row>
    <row r="6470" s="105" customFormat="1" spans="9:12">
      <c r="I6470" s="225"/>
      <c r="K6470" s="9"/>
      <c r="L6470" s="9"/>
    </row>
    <row r="6471" s="105" customFormat="1" spans="9:12">
      <c r="I6471" s="225"/>
      <c r="K6471" s="9"/>
      <c r="L6471" s="9"/>
    </row>
    <row r="6472" s="105" customFormat="1" spans="9:12">
      <c r="I6472" s="225"/>
      <c r="K6472" s="9"/>
      <c r="L6472" s="9"/>
    </row>
    <row r="6473" s="105" customFormat="1" spans="9:12">
      <c r="I6473" s="225"/>
      <c r="K6473" s="9"/>
      <c r="L6473" s="9"/>
    </row>
    <row r="6474" s="105" customFormat="1" spans="9:12">
      <c r="I6474" s="225"/>
      <c r="K6474" s="9"/>
      <c r="L6474" s="9"/>
    </row>
    <row r="6475" s="105" customFormat="1" spans="9:12">
      <c r="I6475" s="225"/>
      <c r="K6475" s="9"/>
      <c r="L6475" s="9"/>
    </row>
    <row r="6476" s="105" customFormat="1" spans="9:12">
      <c r="I6476" s="225"/>
      <c r="K6476" s="9"/>
      <c r="L6476" s="9"/>
    </row>
    <row r="6477" s="105" customFormat="1" spans="9:12">
      <c r="I6477" s="225"/>
      <c r="K6477" s="9"/>
      <c r="L6477" s="9"/>
    </row>
    <row r="6478" s="105" customFormat="1" spans="9:12">
      <c r="I6478" s="225"/>
      <c r="K6478" s="9"/>
      <c r="L6478" s="9"/>
    </row>
    <row r="6479" s="105" customFormat="1" spans="9:12">
      <c r="I6479" s="225"/>
      <c r="K6479" s="9"/>
      <c r="L6479" s="9"/>
    </row>
    <row r="6480" s="105" customFormat="1" spans="9:12">
      <c r="I6480" s="225"/>
      <c r="K6480" s="9"/>
      <c r="L6480" s="9"/>
    </row>
    <row r="6481" s="105" customFormat="1" spans="9:12">
      <c r="I6481" s="225"/>
      <c r="K6481" s="9"/>
      <c r="L6481" s="9"/>
    </row>
    <row r="6482" s="105" customFormat="1" spans="9:12">
      <c r="I6482" s="225"/>
      <c r="K6482" s="9"/>
      <c r="L6482" s="9"/>
    </row>
    <row r="6483" s="105" customFormat="1" spans="9:12">
      <c r="I6483" s="225"/>
      <c r="K6483" s="9"/>
      <c r="L6483" s="9"/>
    </row>
    <row r="6484" s="105" customFormat="1" spans="9:12">
      <c r="I6484" s="225"/>
      <c r="K6484" s="9"/>
      <c r="L6484" s="9"/>
    </row>
    <row r="6485" s="105" customFormat="1" spans="9:12">
      <c r="I6485" s="225"/>
      <c r="K6485" s="9"/>
      <c r="L6485" s="9"/>
    </row>
    <row r="6486" s="105" customFormat="1" spans="9:12">
      <c r="I6486" s="225"/>
      <c r="K6486" s="9"/>
      <c r="L6486" s="9"/>
    </row>
    <row r="6487" s="105" customFormat="1" spans="9:12">
      <c r="I6487" s="225"/>
      <c r="K6487" s="9"/>
      <c r="L6487" s="9"/>
    </row>
    <row r="6488" s="105" customFormat="1" spans="9:12">
      <c r="I6488" s="225"/>
      <c r="K6488" s="9"/>
      <c r="L6488" s="9"/>
    </row>
    <row r="6489" s="105" customFormat="1" spans="9:12">
      <c r="I6489" s="225"/>
      <c r="K6489" s="9"/>
      <c r="L6489" s="9"/>
    </row>
    <row r="6490" s="105" customFormat="1" spans="9:12">
      <c r="I6490" s="225"/>
      <c r="K6490" s="9"/>
      <c r="L6490" s="9"/>
    </row>
    <row r="6491" s="105" customFormat="1" spans="9:12">
      <c r="I6491" s="225"/>
      <c r="K6491" s="9"/>
      <c r="L6491" s="9"/>
    </row>
    <row r="6492" s="105" customFormat="1" spans="9:12">
      <c r="I6492" s="225"/>
      <c r="K6492" s="9"/>
      <c r="L6492" s="9"/>
    </row>
    <row r="6493" s="105" customFormat="1" spans="9:12">
      <c r="I6493" s="225"/>
      <c r="K6493" s="9"/>
      <c r="L6493" s="9"/>
    </row>
    <row r="6494" s="105" customFormat="1" spans="9:12">
      <c r="I6494" s="225"/>
      <c r="K6494" s="9"/>
      <c r="L6494" s="9"/>
    </row>
    <row r="6495" s="105" customFormat="1" spans="9:12">
      <c r="I6495" s="225"/>
      <c r="K6495" s="9"/>
      <c r="L6495" s="9"/>
    </row>
    <row r="6496" s="105" customFormat="1" spans="9:12">
      <c r="I6496" s="225"/>
      <c r="K6496" s="9"/>
      <c r="L6496" s="9"/>
    </row>
    <row r="6497" s="105" customFormat="1" spans="9:12">
      <c r="I6497" s="225"/>
      <c r="K6497" s="9"/>
      <c r="L6497" s="9"/>
    </row>
    <row r="6498" s="105" customFormat="1" spans="9:12">
      <c r="I6498" s="225"/>
      <c r="K6498" s="9"/>
      <c r="L6498" s="9"/>
    </row>
    <row r="6499" s="105" customFormat="1" spans="9:12">
      <c r="I6499" s="225"/>
      <c r="K6499" s="9"/>
      <c r="L6499" s="9"/>
    </row>
    <row r="6500" s="105" customFormat="1" spans="9:12">
      <c r="I6500" s="225"/>
      <c r="K6500" s="9"/>
      <c r="L6500" s="9"/>
    </row>
    <row r="6501" s="105" customFormat="1" spans="9:12">
      <c r="I6501" s="225"/>
      <c r="K6501" s="9"/>
      <c r="L6501" s="9"/>
    </row>
    <row r="6502" s="105" customFormat="1" spans="9:12">
      <c r="I6502" s="225"/>
      <c r="K6502" s="9"/>
      <c r="L6502" s="9"/>
    </row>
    <row r="6503" s="105" customFormat="1" spans="9:12">
      <c r="I6503" s="225"/>
      <c r="K6503" s="9"/>
      <c r="L6503" s="9"/>
    </row>
    <row r="6504" s="105" customFormat="1" spans="9:12">
      <c r="I6504" s="225"/>
      <c r="K6504" s="9"/>
      <c r="L6504" s="9"/>
    </row>
    <row r="6505" s="105" customFormat="1" spans="9:12">
      <c r="I6505" s="225"/>
      <c r="K6505" s="9"/>
      <c r="L6505" s="9"/>
    </row>
    <row r="6506" s="105" customFormat="1" spans="9:12">
      <c r="I6506" s="225"/>
      <c r="K6506" s="9"/>
      <c r="L6506" s="9"/>
    </row>
    <row r="6507" s="105" customFormat="1" spans="9:12">
      <c r="I6507" s="225"/>
      <c r="K6507" s="9"/>
      <c r="L6507" s="9"/>
    </row>
    <row r="6508" s="105" customFormat="1" spans="9:12">
      <c r="I6508" s="225"/>
      <c r="K6508" s="9"/>
      <c r="L6508" s="9"/>
    </row>
    <row r="6509" s="105" customFormat="1" spans="9:12">
      <c r="I6509" s="225"/>
      <c r="K6509" s="9"/>
      <c r="L6509" s="9"/>
    </row>
    <row r="6510" s="105" customFormat="1" spans="9:12">
      <c r="I6510" s="225"/>
      <c r="K6510" s="9"/>
      <c r="L6510" s="9"/>
    </row>
    <row r="6511" s="105" customFormat="1" spans="9:12">
      <c r="I6511" s="225"/>
      <c r="K6511" s="9"/>
      <c r="L6511" s="9"/>
    </row>
    <row r="6512" s="105" customFormat="1" spans="9:12">
      <c r="I6512" s="225"/>
      <c r="K6512" s="9"/>
      <c r="L6512" s="9"/>
    </row>
    <row r="6513" s="105" customFormat="1" spans="9:12">
      <c r="I6513" s="225"/>
      <c r="K6513" s="9"/>
      <c r="L6513" s="9"/>
    </row>
    <row r="6514" s="105" customFormat="1" spans="9:12">
      <c r="I6514" s="225"/>
      <c r="K6514" s="9"/>
      <c r="L6514" s="9"/>
    </row>
    <row r="6515" s="105" customFormat="1" spans="9:12">
      <c r="I6515" s="225"/>
      <c r="K6515" s="9"/>
      <c r="L6515" s="9"/>
    </row>
    <row r="6516" s="105" customFormat="1" spans="9:12">
      <c r="I6516" s="225"/>
      <c r="K6516" s="9"/>
      <c r="L6516" s="9"/>
    </row>
    <row r="6517" s="105" customFormat="1" spans="9:12">
      <c r="I6517" s="225"/>
      <c r="K6517" s="9"/>
      <c r="L6517" s="9"/>
    </row>
    <row r="6518" s="105" customFormat="1" spans="9:12">
      <c r="I6518" s="225"/>
      <c r="K6518" s="9"/>
      <c r="L6518" s="9"/>
    </row>
    <row r="6519" s="105" customFormat="1" spans="9:12">
      <c r="I6519" s="225"/>
      <c r="K6519" s="9"/>
      <c r="L6519" s="9"/>
    </row>
    <row r="6520" s="105" customFormat="1" spans="9:12">
      <c r="I6520" s="225"/>
      <c r="K6520" s="9"/>
      <c r="L6520" s="9"/>
    </row>
    <row r="6521" s="105" customFormat="1" spans="9:12">
      <c r="I6521" s="225"/>
      <c r="K6521" s="9"/>
      <c r="L6521" s="9"/>
    </row>
    <row r="6522" s="105" customFormat="1" spans="9:12">
      <c r="I6522" s="225"/>
      <c r="K6522" s="9"/>
      <c r="L6522" s="9"/>
    </row>
    <row r="6523" s="105" customFormat="1" spans="9:12">
      <c r="I6523" s="225"/>
      <c r="K6523" s="9"/>
      <c r="L6523" s="9"/>
    </row>
    <row r="6524" s="105" customFormat="1" spans="9:12">
      <c r="I6524" s="225"/>
      <c r="K6524" s="9"/>
      <c r="L6524" s="9"/>
    </row>
    <row r="6525" s="105" customFormat="1" spans="9:12">
      <c r="I6525" s="225"/>
      <c r="K6525" s="9"/>
      <c r="L6525" s="9"/>
    </row>
    <row r="6526" s="105" customFormat="1" spans="9:12">
      <c r="I6526" s="225"/>
      <c r="K6526" s="9"/>
      <c r="L6526" s="9"/>
    </row>
    <row r="6527" s="105" customFormat="1" spans="9:12">
      <c r="I6527" s="225"/>
      <c r="K6527" s="9"/>
      <c r="L6527" s="9"/>
    </row>
    <row r="6528" s="105" customFormat="1" spans="9:12">
      <c r="I6528" s="225"/>
      <c r="K6528" s="9"/>
      <c r="L6528" s="9"/>
    </row>
    <row r="6529" s="105" customFormat="1" spans="9:12">
      <c r="I6529" s="225"/>
      <c r="K6529" s="9"/>
      <c r="L6529" s="9"/>
    </row>
    <row r="6530" s="105" customFormat="1" spans="9:12">
      <c r="I6530" s="225"/>
      <c r="K6530" s="9"/>
      <c r="L6530" s="9"/>
    </row>
    <row r="6531" s="105" customFormat="1" spans="9:12">
      <c r="I6531" s="225"/>
      <c r="K6531" s="9"/>
      <c r="L6531" s="9"/>
    </row>
    <row r="6532" s="105" customFormat="1" spans="9:12">
      <c r="I6532" s="225"/>
      <c r="K6532" s="9"/>
      <c r="L6532" s="9"/>
    </row>
    <row r="6533" s="105" customFormat="1" spans="9:12">
      <c r="I6533" s="225"/>
      <c r="K6533" s="9"/>
      <c r="L6533" s="9"/>
    </row>
    <row r="6534" s="105" customFormat="1" spans="9:12">
      <c r="I6534" s="225"/>
      <c r="K6534" s="9"/>
      <c r="L6534" s="9"/>
    </row>
    <row r="6535" s="105" customFormat="1" spans="9:12">
      <c r="I6535" s="225"/>
      <c r="K6535" s="9"/>
      <c r="L6535" s="9"/>
    </row>
    <row r="6536" s="105" customFormat="1" spans="9:12">
      <c r="I6536" s="225"/>
      <c r="K6536" s="9"/>
      <c r="L6536" s="9"/>
    </row>
    <row r="6537" s="105" customFormat="1" spans="9:12">
      <c r="I6537" s="225"/>
      <c r="K6537" s="9"/>
      <c r="L6537" s="9"/>
    </row>
    <row r="6538" s="105" customFormat="1" spans="9:12">
      <c r="I6538" s="225"/>
      <c r="K6538" s="9"/>
      <c r="L6538" s="9"/>
    </row>
    <row r="6539" s="105" customFormat="1" spans="9:12">
      <c r="I6539" s="225"/>
      <c r="K6539" s="9"/>
      <c r="L6539" s="9"/>
    </row>
    <row r="6540" s="105" customFormat="1" spans="9:12">
      <c r="I6540" s="225"/>
      <c r="K6540" s="9"/>
      <c r="L6540" s="9"/>
    </row>
    <row r="6541" s="105" customFormat="1" spans="9:12">
      <c r="I6541" s="225"/>
      <c r="K6541" s="9"/>
      <c r="L6541" s="9"/>
    </row>
    <row r="6542" s="105" customFormat="1" spans="9:12">
      <c r="I6542" s="225"/>
      <c r="K6542" s="9"/>
      <c r="L6542" s="9"/>
    </row>
    <row r="6543" s="105" customFormat="1" spans="9:12">
      <c r="I6543" s="225"/>
      <c r="K6543" s="9"/>
      <c r="L6543" s="9"/>
    </row>
    <row r="6544" s="105" customFormat="1" spans="9:12">
      <c r="I6544" s="225"/>
      <c r="K6544" s="9"/>
      <c r="L6544" s="9"/>
    </row>
    <row r="6545" s="105" customFormat="1" spans="9:12">
      <c r="I6545" s="225"/>
      <c r="K6545" s="9"/>
      <c r="L6545" s="9"/>
    </row>
    <row r="6546" s="105" customFormat="1" spans="9:12">
      <c r="I6546" s="225"/>
      <c r="K6546" s="9"/>
      <c r="L6546" s="9"/>
    </row>
    <row r="6547" s="105" customFormat="1" spans="9:12">
      <c r="I6547" s="225"/>
      <c r="K6547" s="9"/>
      <c r="L6547" s="9"/>
    </row>
    <row r="6548" s="105" customFormat="1" spans="9:12">
      <c r="I6548" s="225"/>
      <c r="K6548" s="9"/>
      <c r="L6548" s="9"/>
    </row>
    <row r="6549" s="105" customFormat="1" spans="9:12">
      <c r="I6549" s="225"/>
      <c r="K6549" s="9"/>
      <c r="L6549" s="9"/>
    </row>
    <row r="6550" s="105" customFormat="1" spans="9:12">
      <c r="I6550" s="225"/>
      <c r="K6550" s="9"/>
      <c r="L6550" s="9"/>
    </row>
    <row r="6551" s="105" customFormat="1" spans="9:12">
      <c r="I6551" s="225"/>
      <c r="K6551" s="9"/>
      <c r="L6551" s="9"/>
    </row>
    <row r="6552" s="105" customFormat="1" spans="9:12">
      <c r="I6552" s="225"/>
      <c r="K6552" s="9"/>
      <c r="L6552" s="9"/>
    </row>
    <row r="6553" s="105" customFormat="1" spans="9:12">
      <c r="I6553" s="225"/>
      <c r="K6553" s="9"/>
      <c r="L6553" s="9"/>
    </row>
    <row r="6554" s="105" customFormat="1" spans="9:12">
      <c r="I6554" s="225"/>
      <c r="K6554" s="9"/>
      <c r="L6554" s="9"/>
    </row>
    <row r="6555" s="105" customFormat="1" spans="9:12">
      <c r="I6555" s="225"/>
      <c r="K6555" s="9"/>
      <c r="L6555" s="9"/>
    </row>
    <row r="6556" s="105" customFormat="1" spans="9:12">
      <c r="I6556" s="225"/>
      <c r="K6556" s="9"/>
      <c r="L6556" s="9"/>
    </row>
    <row r="6557" s="105" customFormat="1" spans="9:12">
      <c r="I6557" s="225"/>
      <c r="K6557" s="9"/>
      <c r="L6557" s="9"/>
    </row>
    <row r="6558" s="105" customFormat="1" spans="9:12">
      <c r="I6558" s="225"/>
      <c r="K6558" s="9"/>
      <c r="L6558" s="9"/>
    </row>
    <row r="6559" s="105" customFormat="1" spans="9:12">
      <c r="I6559" s="225"/>
      <c r="K6559" s="9"/>
      <c r="L6559" s="9"/>
    </row>
    <row r="6560" s="105" customFormat="1" spans="9:12">
      <c r="I6560" s="225"/>
      <c r="K6560" s="9"/>
      <c r="L6560" s="9"/>
    </row>
    <row r="6561" s="105" customFormat="1" spans="9:12">
      <c r="I6561" s="225"/>
      <c r="K6561" s="9"/>
      <c r="L6561" s="9"/>
    </row>
    <row r="6562" s="105" customFormat="1" spans="9:12">
      <c r="I6562" s="225"/>
      <c r="K6562" s="9"/>
      <c r="L6562" s="9"/>
    </row>
    <row r="6563" s="105" customFormat="1" spans="9:12">
      <c r="I6563" s="225"/>
      <c r="K6563" s="9"/>
      <c r="L6563" s="9"/>
    </row>
    <row r="6564" s="105" customFormat="1" spans="9:12">
      <c r="I6564" s="225"/>
      <c r="K6564" s="9"/>
      <c r="L6564" s="9"/>
    </row>
    <row r="6565" s="105" customFormat="1" spans="9:12">
      <c r="I6565" s="225"/>
      <c r="K6565" s="9"/>
      <c r="L6565" s="9"/>
    </row>
    <row r="6566" s="105" customFormat="1" spans="9:12">
      <c r="I6566" s="225"/>
      <c r="K6566" s="9"/>
      <c r="L6566" s="9"/>
    </row>
    <row r="6567" s="105" customFormat="1" spans="9:12">
      <c r="I6567" s="225"/>
      <c r="K6567" s="9"/>
      <c r="L6567" s="9"/>
    </row>
    <row r="6568" s="105" customFormat="1" spans="9:12">
      <c r="I6568" s="225"/>
      <c r="K6568" s="9"/>
      <c r="L6568" s="9"/>
    </row>
    <row r="6569" s="105" customFormat="1" spans="9:12">
      <c r="I6569" s="225"/>
      <c r="K6569" s="9"/>
      <c r="L6569" s="9"/>
    </row>
    <row r="6570" s="105" customFormat="1" spans="9:12">
      <c r="I6570" s="225"/>
      <c r="K6570" s="9"/>
      <c r="L6570" s="9"/>
    </row>
    <row r="6571" s="105" customFormat="1" spans="9:12">
      <c r="I6571" s="225"/>
      <c r="K6571" s="9"/>
      <c r="L6571" s="9"/>
    </row>
    <row r="6572" s="105" customFormat="1" spans="9:12">
      <c r="I6572" s="225"/>
      <c r="K6572" s="9"/>
      <c r="L6572" s="9"/>
    </row>
    <row r="6573" s="105" customFormat="1" spans="9:12">
      <c r="I6573" s="225"/>
      <c r="K6573" s="9"/>
      <c r="L6573" s="9"/>
    </row>
    <row r="6574" s="105" customFormat="1" spans="9:12">
      <c r="I6574" s="225"/>
      <c r="K6574" s="9"/>
      <c r="L6574" s="9"/>
    </row>
    <row r="6575" s="105" customFormat="1" spans="9:12">
      <c r="I6575" s="225"/>
      <c r="K6575" s="9"/>
      <c r="L6575" s="9"/>
    </row>
    <row r="6576" s="105" customFormat="1" spans="9:12">
      <c r="I6576" s="225"/>
      <c r="K6576" s="9"/>
      <c r="L6576" s="9"/>
    </row>
    <row r="6577" s="105" customFormat="1" spans="9:12">
      <c r="I6577" s="225"/>
      <c r="K6577" s="9"/>
      <c r="L6577" s="9"/>
    </row>
    <row r="6578" s="105" customFormat="1" spans="9:12">
      <c r="I6578" s="225"/>
      <c r="K6578" s="9"/>
      <c r="L6578" s="9"/>
    </row>
    <row r="6579" s="105" customFormat="1" spans="9:12">
      <c r="I6579" s="225"/>
      <c r="K6579" s="9"/>
      <c r="L6579" s="9"/>
    </row>
    <row r="6580" s="105" customFormat="1" spans="9:12">
      <c r="I6580" s="225"/>
      <c r="K6580" s="9"/>
      <c r="L6580" s="9"/>
    </row>
    <row r="6581" s="105" customFormat="1" spans="9:12">
      <c r="I6581" s="225"/>
      <c r="K6581" s="9"/>
      <c r="L6581" s="9"/>
    </row>
    <row r="6582" s="105" customFormat="1" spans="9:12">
      <c r="I6582" s="225"/>
      <c r="K6582" s="9"/>
      <c r="L6582" s="9"/>
    </row>
    <row r="6583" s="105" customFormat="1" spans="9:12">
      <c r="I6583" s="225"/>
      <c r="K6583" s="9"/>
      <c r="L6583" s="9"/>
    </row>
    <row r="6584" s="105" customFormat="1" spans="9:12">
      <c r="I6584" s="225"/>
      <c r="K6584" s="9"/>
      <c r="L6584" s="9"/>
    </row>
    <row r="6585" s="105" customFormat="1" spans="9:12">
      <c r="I6585" s="225"/>
      <c r="K6585" s="9"/>
      <c r="L6585" s="9"/>
    </row>
    <row r="6586" s="105" customFormat="1" spans="9:12">
      <c r="I6586" s="225"/>
      <c r="K6586" s="9"/>
      <c r="L6586" s="9"/>
    </row>
    <row r="6587" s="105" customFormat="1" spans="9:12">
      <c r="I6587" s="225"/>
      <c r="K6587" s="9"/>
      <c r="L6587" s="9"/>
    </row>
    <row r="6588" s="105" customFormat="1" spans="9:12">
      <c r="I6588" s="225"/>
      <c r="K6588" s="9"/>
      <c r="L6588" s="9"/>
    </row>
    <row r="6589" s="105" customFormat="1" spans="9:12">
      <c r="I6589" s="225"/>
      <c r="K6589" s="9"/>
      <c r="L6589" s="9"/>
    </row>
    <row r="6590" s="105" customFormat="1" spans="9:12">
      <c r="I6590" s="225"/>
      <c r="K6590" s="9"/>
      <c r="L6590" s="9"/>
    </row>
    <row r="6591" s="105" customFormat="1" spans="9:12">
      <c r="I6591" s="225"/>
      <c r="K6591" s="9"/>
      <c r="L6591" s="9"/>
    </row>
    <row r="6592" s="105" customFormat="1" spans="9:12">
      <c r="I6592" s="225"/>
      <c r="K6592" s="9"/>
      <c r="L6592" s="9"/>
    </row>
    <row r="6593" s="105" customFormat="1" spans="9:12">
      <c r="I6593" s="225"/>
      <c r="K6593" s="9"/>
      <c r="L6593" s="9"/>
    </row>
    <row r="6594" s="105" customFormat="1" spans="9:12">
      <c r="I6594" s="225"/>
      <c r="K6594" s="9"/>
      <c r="L6594" s="9"/>
    </row>
    <row r="6595" s="105" customFormat="1" spans="9:12">
      <c r="I6595" s="225"/>
      <c r="K6595" s="9"/>
      <c r="L6595" s="9"/>
    </row>
    <row r="6596" s="105" customFormat="1" spans="9:12">
      <c r="I6596" s="225"/>
      <c r="K6596" s="9"/>
      <c r="L6596" s="9"/>
    </row>
    <row r="6597" s="105" customFormat="1" spans="9:12">
      <c r="I6597" s="225"/>
      <c r="K6597" s="9"/>
      <c r="L6597" s="9"/>
    </row>
    <row r="6598" s="105" customFormat="1" spans="9:12">
      <c r="I6598" s="225"/>
      <c r="K6598" s="9"/>
      <c r="L6598" s="9"/>
    </row>
    <row r="6599" s="105" customFormat="1" spans="9:12">
      <c r="I6599" s="225"/>
      <c r="K6599" s="9"/>
      <c r="L6599" s="9"/>
    </row>
    <row r="6600" s="105" customFormat="1" spans="9:12">
      <c r="I6600" s="225"/>
      <c r="K6600" s="9"/>
      <c r="L6600" s="9"/>
    </row>
    <row r="6601" s="105" customFormat="1" spans="9:12">
      <c r="I6601" s="225"/>
      <c r="K6601" s="9"/>
      <c r="L6601" s="9"/>
    </row>
    <row r="6602" s="105" customFormat="1" spans="9:12">
      <c r="I6602" s="225"/>
      <c r="K6602" s="9"/>
      <c r="L6602" s="9"/>
    </row>
    <row r="6603" s="105" customFormat="1" spans="9:12">
      <c r="I6603" s="225"/>
      <c r="K6603" s="9"/>
      <c r="L6603" s="9"/>
    </row>
    <row r="6604" s="105" customFormat="1" spans="9:12">
      <c r="I6604" s="225"/>
      <c r="K6604" s="9"/>
      <c r="L6604" s="9"/>
    </row>
    <row r="6605" s="105" customFormat="1" spans="9:12">
      <c r="I6605" s="225"/>
      <c r="K6605" s="9"/>
      <c r="L6605" s="9"/>
    </row>
    <row r="6606" s="105" customFormat="1" spans="9:12">
      <c r="I6606" s="225"/>
      <c r="K6606" s="9"/>
      <c r="L6606" s="9"/>
    </row>
    <row r="6607" s="105" customFormat="1" spans="9:12">
      <c r="I6607" s="225"/>
      <c r="K6607" s="9"/>
      <c r="L6607" s="9"/>
    </row>
    <row r="6608" s="105" customFormat="1" spans="9:12">
      <c r="I6608" s="225"/>
      <c r="K6608" s="9"/>
      <c r="L6608" s="9"/>
    </row>
    <row r="6609" s="105" customFormat="1" spans="9:12">
      <c r="I6609" s="225"/>
      <c r="K6609" s="9"/>
      <c r="L6609" s="9"/>
    </row>
    <row r="6610" s="105" customFormat="1" spans="9:12">
      <c r="I6610" s="225"/>
      <c r="K6610" s="9"/>
      <c r="L6610" s="9"/>
    </row>
    <row r="6611" s="105" customFormat="1" spans="9:12">
      <c r="I6611" s="225"/>
      <c r="K6611" s="9"/>
      <c r="L6611" s="9"/>
    </row>
    <row r="6612" s="105" customFormat="1" spans="9:12">
      <c r="I6612" s="225"/>
      <c r="K6612" s="9"/>
      <c r="L6612" s="9"/>
    </row>
    <row r="6613" s="105" customFormat="1" spans="9:12">
      <c r="I6613" s="225"/>
      <c r="K6613" s="9"/>
      <c r="L6613" s="9"/>
    </row>
    <row r="6614" s="105" customFormat="1" spans="9:12">
      <c r="I6614" s="225"/>
      <c r="K6614" s="9"/>
      <c r="L6614" s="9"/>
    </row>
    <row r="6615" s="105" customFormat="1" spans="9:12">
      <c r="I6615" s="225"/>
      <c r="K6615" s="9"/>
      <c r="L6615" s="9"/>
    </row>
    <row r="6616" s="105" customFormat="1" spans="9:12">
      <c r="I6616" s="225"/>
      <c r="K6616" s="9"/>
      <c r="L6616" s="9"/>
    </row>
    <row r="6617" s="105" customFormat="1" spans="9:12">
      <c r="I6617" s="225"/>
      <c r="K6617" s="9"/>
      <c r="L6617" s="9"/>
    </row>
    <row r="6618" s="105" customFormat="1" spans="9:12">
      <c r="I6618" s="225"/>
      <c r="K6618" s="9"/>
      <c r="L6618" s="9"/>
    </row>
    <row r="6619" s="105" customFormat="1" spans="9:12">
      <c r="I6619" s="225"/>
      <c r="K6619" s="9"/>
      <c r="L6619" s="9"/>
    </row>
    <row r="6620" s="105" customFormat="1" spans="9:12">
      <c r="I6620" s="225"/>
      <c r="K6620" s="9"/>
      <c r="L6620" s="9"/>
    </row>
    <row r="6621" s="105" customFormat="1" spans="9:12">
      <c r="I6621" s="225"/>
      <c r="K6621" s="9"/>
      <c r="L6621" s="9"/>
    </row>
    <row r="6622" s="105" customFormat="1" spans="9:12">
      <c r="I6622" s="225"/>
      <c r="K6622" s="9"/>
      <c r="L6622" s="9"/>
    </row>
    <row r="6623" s="105" customFormat="1" spans="9:12">
      <c r="I6623" s="225"/>
      <c r="K6623" s="9"/>
      <c r="L6623" s="9"/>
    </row>
    <row r="6624" s="105" customFormat="1" spans="9:12">
      <c r="I6624" s="225"/>
      <c r="K6624" s="9"/>
      <c r="L6624" s="9"/>
    </row>
    <row r="6625" s="105" customFormat="1" spans="9:12">
      <c r="I6625" s="225"/>
      <c r="K6625" s="9"/>
      <c r="L6625" s="9"/>
    </row>
    <row r="6626" s="105" customFormat="1" spans="9:12">
      <c r="I6626" s="225"/>
      <c r="K6626" s="9"/>
      <c r="L6626" s="9"/>
    </row>
    <row r="6627" s="105" customFormat="1" spans="9:12">
      <c r="I6627" s="225"/>
      <c r="K6627" s="9"/>
      <c r="L6627" s="9"/>
    </row>
    <row r="6628" s="105" customFormat="1" spans="9:12">
      <c r="I6628" s="225"/>
      <c r="K6628" s="9"/>
      <c r="L6628" s="9"/>
    </row>
    <row r="6629" s="105" customFormat="1" spans="9:12">
      <c r="I6629" s="225"/>
      <c r="K6629" s="9"/>
      <c r="L6629" s="9"/>
    </row>
    <row r="6630" s="105" customFormat="1" spans="9:12">
      <c r="I6630" s="225"/>
      <c r="K6630" s="9"/>
      <c r="L6630" s="9"/>
    </row>
    <row r="6631" s="105" customFormat="1" spans="9:12">
      <c r="I6631" s="225"/>
      <c r="K6631" s="9"/>
      <c r="L6631" s="9"/>
    </row>
    <row r="6632" s="105" customFormat="1" spans="9:12">
      <c r="I6632" s="225"/>
      <c r="K6632" s="9"/>
      <c r="L6632" s="9"/>
    </row>
    <row r="6633" s="105" customFormat="1" spans="9:12">
      <c r="I6633" s="225"/>
      <c r="K6633" s="9"/>
      <c r="L6633" s="9"/>
    </row>
    <row r="6634" s="105" customFormat="1" spans="9:12">
      <c r="I6634" s="225"/>
      <c r="K6634" s="9"/>
      <c r="L6634" s="9"/>
    </row>
    <row r="6635" s="105" customFormat="1" spans="9:12">
      <c r="I6635" s="225"/>
      <c r="K6635" s="9"/>
      <c r="L6635" s="9"/>
    </row>
    <row r="6636" s="105" customFormat="1" spans="9:12">
      <c r="I6636" s="225"/>
      <c r="K6636" s="9"/>
      <c r="L6636" s="9"/>
    </row>
    <row r="6637" s="105" customFormat="1" spans="9:12">
      <c r="I6637" s="225"/>
      <c r="K6637" s="9"/>
      <c r="L6637" s="9"/>
    </row>
    <row r="6638" s="105" customFormat="1" spans="9:12">
      <c r="I6638" s="225"/>
      <c r="K6638" s="9"/>
      <c r="L6638" s="9"/>
    </row>
    <row r="6639" s="105" customFormat="1" spans="9:12">
      <c r="I6639" s="225"/>
      <c r="K6639" s="9"/>
      <c r="L6639" s="9"/>
    </row>
    <row r="6640" s="105" customFormat="1" spans="9:12">
      <c r="I6640" s="225"/>
      <c r="K6640" s="9"/>
      <c r="L6640" s="9"/>
    </row>
    <row r="6641" s="105" customFormat="1" spans="9:12">
      <c r="I6641" s="225"/>
      <c r="K6641" s="9"/>
      <c r="L6641" s="9"/>
    </row>
    <row r="6642" s="105" customFormat="1" spans="9:12">
      <c r="I6642" s="225"/>
      <c r="K6642" s="9"/>
      <c r="L6642" s="9"/>
    </row>
    <row r="6643" s="105" customFormat="1" spans="9:12">
      <c r="I6643" s="225"/>
      <c r="K6643" s="9"/>
      <c r="L6643" s="9"/>
    </row>
    <row r="6644" s="105" customFormat="1" spans="9:12">
      <c r="I6644" s="225"/>
      <c r="K6644" s="9"/>
      <c r="L6644" s="9"/>
    </row>
    <row r="6645" s="105" customFormat="1" spans="9:12">
      <c r="I6645" s="225"/>
      <c r="K6645" s="9"/>
      <c r="L6645" s="9"/>
    </row>
    <row r="6646" s="105" customFormat="1" spans="9:12">
      <c r="I6646" s="225"/>
      <c r="K6646" s="9"/>
      <c r="L6646" s="9"/>
    </row>
    <row r="6647" s="105" customFormat="1" spans="9:12">
      <c r="I6647" s="225"/>
      <c r="K6647" s="9"/>
      <c r="L6647" s="9"/>
    </row>
    <row r="6648" s="105" customFormat="1" spans="9:12">
      <c r="I6648" s="225"/>
      <c r="K6648" s="9"/>
      <c r="L6648" s="9"/>
    </row>
    <row r="6649" s="105" customFormat="1" spans="9:12">
      <c r="I6649" s="225"/>
      <c r="K6649" s="9"/>
      <c r="L6649" s="9"/>
    </row>
    <row r="6650" s="105" customFormat="1" spans="9:12">
      <c r="I6650" s="225"/>
      <c r="K6650" s="9"/>
      <c r="L6650" s="9"/>
    </row>
    <row r="6651" s="105" customFormat="1" spans="9:12">
      <c r="I6651" s="225"/>
      <c r="K6651" s="9"/>
      <c r="L6651" s="9"/>
    </row>
    <row r="6652" s="105" customFormat="1" spans="9:12">
      <c r="I6652" s="225"/>
      <c r="K6652" s="9"/>
      <c r="L6652" s="9"/>
    </row>
    <row r="6653" s="105" customFormat="1" spans="9:12">
      <c r="I6653" s="225"/>
      <c r="K6653" s="9"/>
      <c r="L6653" s="9"/>
    </row>
    <row r="6654" s="105" customFormat="1" spans="9:12">
      <c r="I6654" s="225"/>
      <c r="K6654" s="9"/>
      <c r="L6654" s="9"/>
    </row>
    <row r="6655" s="105" customFormat="1" spans="9:12">
      <c r="I6655" s="225"/>
      <c r="K6655" s="9"/>
      <c r="L6655" s="9"/>
    </row>
    <row r="6656" s="105" customFormat="1" spans="9:12">
      <c r="I6656" s="225"/>
      <c r="K6656" s="9"/>
      <c r="L6656" s="9"/>
    </row>
    <row r="6657" s="105" customFormat="1" spans="9:12">
      <c r="I6657" s="225"/>
      <c r="K6657" s="9"/>
      <c r="L6657" s="9"/>
    </row>
    <row r="6658" s="105" customFormat="1" spans="9:12">
      <c r="I6658" s="225"/>
      <c r="K6658" s="9"/>
      <c r="L6658" s="9"/>
    </row>
    <row r="6659" s="105" customFormat="1" spans="9:12">
      <c r="I6659" s="225"/>
      <c r="K6659" s="9"/>
      <c r="L6659" s="9"/>
    </row>
    <row r="6660" s="105" customFormat="1" spans="9:12">
      <c r="I6660" s="225"/>
      <c r="K6660" s="9"/>
      <c r="L6660" s="9"/>
    </row>
    <row r="6661" s="105" customFormat="1" spans="9:12">
      <c r="I6661" s="225"/>
      <c r="K6661" s="9"/>
      <c r="L6661" s="9"/>
    </row>
    <row r="6662" s="105" customFormat="1" spans="9:12">
      <c r="I6662" s="225"/>
      <c r="K6662" s="9"/>
      <c r="L6662" s="9"/>
    </row>
    <row r="6663" s="105" customFormat="1" spans="9:12">
      <c r="I6663" s="225"/>
      <c r="K6663" s="9"/>
      <c r="L6663" s="9"/>
    </row>
    <row r="6664" s="105" customFormat="1" spans="9:12">
      <c r="I6664" s="225"/>
      <c r="K6664" s="9"/>
      <c r="L6664" s="9"/>
    </row>
    <row r="6665" s="105" customFormat="1" spans="9:12">
      <c r="I6665" s="225"/>
      <c r="K6665" s="9"/>
      <c r="L6665" s="9"/>
    </row>
    <row r="6666" s="105" customFormat="1" spans="9:12">
      <c r="I6666" s="225"/>
      <c r="K6666" s="9"/>
      <c r="L6666" s="9"/>
    </row>
    <row r="6667" s="105" customFormat="1" spans="9:12">
      <c r="I6667" s="225"/>
      <c r="K6667" s="9"/>
      <c r="L6667" s="9"/>
    </row>
    <row r="6668" s="105" customFormat="1" spans="9:12">
      <c r="I6668" s="225"/>
      <c r="K6668" s="9"/>
      <c r="L6668" s="9"/>
    </row>
    <row r="6669" s="105" customFormat="1" spans="9:12">
      <c r="I6669" s="225"/>
      <c r="K6669" s="9"/>
      <c r="L6669" s="9"/>
    </row>
    <row r="6670" s="105" customFormat="1" spans="9:12">
      <c r="I6670" s="225"/>
      <c r="K6670" s="9"/>
      <c r="L6670" s="9"/>
    </row>
    <row r="6671" s="105" customFormat="1" spans="9:12">
      <c r="I6671" s="225"/>
      <c r="K6671" s="9"/>
      <c r="L6671" s="9"/>
    </row>
    <row r="6672" s="105" customFormat="1" spans="9:12">
      <c r="I6672" s="225"/>
      <c r="K6672" s="9"/>
      <c r="L6672" s="9"/>
    </row>
    <row r="6673" s="105" customFormat="1" spans="9:12">
      <c r="I6673" s="225"/>
      <c r="K6673" s="9"/>
      <c r="L6673" s="9"/>
    </row>
    <row r="6674" s="105" customFormat="1" spans="9:12">
      <c r="I6674" s="225"/>
      <c r="K6674" s="9"/>
      <c r="L6674" s="9"/>
    </row>
    <row r="6675" s="105" customFormat="1" spans="9:12">
      <c r="I6675" s="225"/>
      <c r="K6675" s="9"/>
      <c r="L6675" s="9"/>
    </row>
    <row r="6676" s="105" customFormat="1" spans="9:12">
      <c r="I6676" s="225"/>
      <c r="K6676" s="9"/>
      <c r="L6676" s="9"/>
    </row>
    <row r="6677" s="105" customFormat="1" spans="9:12">
      <c r="I6677" s="225"/>
      <c r="K6677" s="9"/>
      <c r="L6677" s="9"/>
    </row>
    <row r="6678" s="105" customFormat="1" spans="9:12">
      <c r="I6678" s="225"/>
      <c r="K6678" s="9"/>
      <c r="L6678" s="9"/>
    </row>
    <row r="6679" s="105" customFormat="1" spans="9:12">
      <c r="I6679" s="225"/>
      <c r="K6679" s="9"/>
      <c r="L6679" s="9"/>
    </row>
    <row r="6680" s="105" customFormat="1" spans="9:12">
      <c r="I6680" s="225"/>
      <c r="K6680" s="9"/>
      <c r="L6680" s="9"/>
    </row>
    <row r="6681" s="105" customFormat="1" spans="9:12">
      <c r="I6681" s="225"/>
      <c r="K6681" s="9"/>
      <c r="L6681" s="9"/>
    </row>
    <row r="6682" s="105" customFormat="1" spans="9:12">
      <c r="I6682" s="225"/>
      <c r="K6682" s="9"/>
      <c r="L6682" s="9"/>
    </row>
    <row r="6683" s="105" customFormat="1" spans="9:12">
      <c r="I6683" s="225"/>
      <c r="K6683" s="9"/>
      <c r="L6683" s="9"/>
    </row>
    <row r="6684" s="105" customFormat="1" spans="9:12">
      <c r="I6684" s="225"/>
      <c r="K6684" s="9"/>
      <c r="L6684" s="9"/>
    </row>
    <row r="6685" s="105" customFormat="1" spans="9:12">
      <c r="I6685" s="225"/>
      <c r="K6685" s="9"/>
      <c r="L6685" s="9"/>
    </row>
    <row r="6686" s="105" customFormat="1" spans="9:12">
      <c r="I6686" s="225"/>
      <c r="K6686" s="9"/>
      <c r="L6686" s="9"/>
    </row>
    <row r="6687" s="105" customFormat="1" spans="9:12">
      <c r="I6687" s="225"/>
      <c r="K6687" s="9"/>
      <c r="L6687" s="9"/>
    </row>
    <row r="6688" s="105" customFormat="1" spans="9:12">
      <c r="I6688" s="225"/>
      <c r="K6688" s="9"/>
      <c r="L6688" s="9"/>
    </row>
    <row r="6689" s="105" customFormat="1" spans="9:12">
      <c r="I6689" s="225"/>
      <c r="K6689" s="9"/>
      <c r="L6689" s="9"/>
    </row>
    <row r="6690" s="105" customFormat="1" spans="9:12">
      <c r="I6690" s="225"/>
      <c r="K6690" s="9"/>
      <c r="L6690" s="9"/>
    </row>
    <row r="6691" s="105" customFormat="1" spans="9:12">
      <c r="I6691" s="225"/>
      <c r="K6691" s="9"/>
      <c r="L6691" s="9"/>
    </row>
    <row r="6692" s="105" customFormat="1" spans="9:12">
      <c r="I6692" s="225"/>
      <c r="K6692" s="9"/>
      <c r="L6692" s="9"/>
    </row>
    <row r="6693" s="105" customFormat="1" spans="9:12">
      <c r="I6693" s="225"/>
      <c r="K6693" s="9"/>
      <c r="L6693" s="9"/>
    </row>
    <row r="6694" s="105" customFormat="1" spans="9:12">
      <c r="I6694" s="225"/>
      <c r="K6694" s="9"/>
      <c r="L6694" s="9"/>
    </row>
    <row r="6695" s="105" customFormat="1" spans="9:12">
      <c r="I6695" s="225"/>
      <c r="K6695" s="9"/>
      <c r="L6695" s="9"/>
    </row>
    <row r="6696" s="105" customFormat="1" spans="9:12">
      <c r="I6696" s="225"/>
      <c r="K6696" s="9"/>
      <c r="L6696" s="9"/>
    </row>
    <row r="6697" s="105" customFormat="1" spans="9:12">
      <c r="I6697" s="225"/>
      <c r="K6697" s="9"/>
      <c r="L6697" s="9"/>
    </row>
    <row r="6698" s="105" customFormat="1" spans="9:12">
      <c r="I6698" s="225"/>
      <c r="K6698" s="9"/>
      <c r="L6698" s="9"/>
    </row>
    <row r="6699" s="105" customFormat="1" spans="9:12">
      <c r="I6699" s="225"/>
      <c r="K6699" s="9"/>
      <c r="L6699" s="9"/>
    </row>
    <row r="6700" s="105" customFormat="1" spans="9:12">
      <c r="I6700" s="225"/>
      <c r="K6700" s="9"/>
      <c r="L6700" s="9"/>
    </row>
    <row r="6701" s="105" customFormat="1" spans="9:12">
      <c r="I6701" s="225"/>
      <c r="K6701" s="9"/>
      <c r="L6701" s="9"/>
    </row>
    <row r="6702" s="105" customFormat="1" spans="9:12">
      <c r="I6702" s="225"/>
      <c r="K6702" s="9"/>
      <c r="L6702" s="9"/>
    </row>
    <row r="6703" s="105" customFormat="1" spans="9:12">
      <c r="I6703" s="225"/>
      <c r="K6703" s="9"/>
      <c r="L6703" s="9"/>
    </row>
    <row r="6704" s="105" customFormat="1" spans="9:12">
      <c r="I6704" s="225"/>
      <c r="K6704" s="9"/>
      <c r="L6704" s="9"/>
    </row>
    <row r="6705" s="105" customFormat="1" spans="9:12">
      <c r="I6705" s="225"/>
      <c r="K6705" s="9"/>
      <c r="L6705" s="9"/>
    </row>
    <row r="6706" s="105" customFormat="1" spans="9:12">
      <c r="I6706" s="225"/>
      <c r="K6706" s="9"/>
      <c r="L6706" s="9"/>
    </row>
    <row r="6707" s="105" customFormat="1" spans="9:12">
      <c r="I6707" s="225"/>
      <c r="K6707" s="9"/>
      <c r="L6707" s="9"/>
    </row>
    <row r="6708" s="105" customFormat="1" spans="9:12">
      <c r="I6708" s="225"/>
      <c r="K6708" s="9"/>
      <c r="L6708" s="9"/>
    </row>
    <row r="6709" s="105" customFormat="1" spans="9:12">
      <c r="I6709" s="225"/>
      <c r="K6709" s="9"/>
      <c r="L6709" s="9"/>
    </row>
    <row r="6710" s="105" customFormat="1" spans="9:12">
      <c r="I6710" s="225"/>
      <c r="K6710" s="9"/>
      <c r="L6710" s="9"/>
    </row>
    <row r="6711" s="105" customFormat="1" spans="9:12">
      <c r="I6711" s="225"/>
      <c r="K6711" s="9"/>
      <c r="L6711" s="9"/>
    </row>
    <row r="6712" s="105" customFormat="1" spans="9:12">
      <c r="I6712" s="225"/>
      <c r="K6712" s="9"/>
      <c r="L6712" s="9"/>
    </row>
    <row r="6713" s="105" customFormat="1" spans="9:12">
      <c r="I6713" s="225"/>
      <c r="K6713" s="9"/>
      <c r="L6713" s="9"/>
    </row>
    <row r="6714" s="105" customFormat="1" spans="9:12">
      <c r="I6714" s="225"/>
      <c r="K6714" s="9"/>
      <c r="L6714" s="9"/>
    </row>
    <row r="6715" s="105" customFormat="1" spans="9:12">
      <c r="I6715" s="225"/>
      <c r="K6715" s="9"/>
      <c r="L6715" s="9"/>
    </row>
    <row r="6716" s="105" customFormat="1" spans="9:12">
      <c r="I6716" s="225"/>
      <c r="K6716" s="9"/>
      <c r="L6716" s="9"/>
    </row>
    <row r="6717" s="105" customFormat="1" spans="9:12">
      <c r="I6717" s="225"/>
      <c r="K6717" s="9"/>
      <c r="L6717" s="9"/>
    </row>
    <row r="6718" s="105" customFormat="1" spans="9:12">
      <c r="I6718" s="225"/>
      <c r="K6718" s="9"/>
      <c r="L6718" s="9"/>
    </row>
    <row r="6719" s="105" customFormat="1" spans="9:12">
      <c r="I6719" s="225"/>
      <c r="K6719" s="9"/>
      <c r="L6719" s="9"/>
    </row>
    <row r="6720" s="105" customFormat="1" spans="9:12">
      <c r="I6720" s="225"/>
      <c r="K6720" s="9"/>
      <c r="L6720" s="9"/>
    </row>
    <row r="6721" s="105" customFormat="1" spans="9:12">
      <c r="I6721" s="225"/>
      <c r="K6721" s="9"/>
      <c r="L6721" s="9"/>
    </row>
    <row r="6722" s="105" customFormat="1" spans="9:12">
      <c r="I6722" s="225"/>
      <c r="K6722" s="9"/>
      <c r="L6722" s="9"/>
    </row>
    <row r="6723" s="105" customFormat="1" spans="9:12">
      <c r="I6723" s="225"/>
      <c r="K6723" s="9"/>
      <c r="L6723" s="9"/>
    </row>
    <row r="6724" s="105" customFormat="1" spans="9:12">
      <c r="I6724" s="225"/>
      <c r="K6724" s="9"/>
      <c r="L6724" s="9"/>
    </row>
    <row r="6725" s="105" customFormat="1" spans="9:12">
      <c r="I6725" s="225"/>
      <c r="K6725" s="9"/>
      <c r="L6725" s="9"/>
    </row>
    <row r="6726" s="105" customFormat="1" spans="9:12">
      <c r="I6726" s="225"/>
      <c r="K6726" s="9"/>
      <c r="L6726" s="9"/>
    </row>
    <row r="6727" s="105" customFormat="1" spans="9:12">
      <c r="I6727" s="225"/>
      <c r="K6727" s="9"/>
      <c r="L6727" s="9"/>
    </row>
    <row r="6728" s="105" customFormat="1" spans="9:12">
      <c r="I6728" s="225"/>
      <c r="K6728" s="9"/>
      <c r="L6728" s="9"/>
    </row>
    <row r="6729" s="105" customFormat="1" spans="9:12">
      <c r="I6729" s="225"/>
      <c r="K6729" s="9"/>
      <c r="L6729" s="9"/>
    </row>
    <row r="6730" s="105" customFormat="1" spans="9:12">
      <c r="I6730" s="225"/>
      <c r="K6730" s="9"/>
      <c r="L6730" s="9"/>
    </row>
    <row r="6731" s="105" customFormat="1" spans="9:12">
      <c r="I6731" s="225"/>
      <c r="K6731" s="9"/>
      <c r="L6731" s="9"/>
    </row>
    <row r="6732" s="105" customFormat="1" spans="9:12">
      <c r="I6732" s="225"/>
      <c r="K6732" s="9"/>
      <c r="L6732" s="9"/>
    </row>
    <row r="6733" s="105" customFormat="1" spans="9:12">
      <c r="I6733" s="225"/>
      <c r="K6733" s="9"/>
      <c r="L6733" s="9"/>
    </row>
    <row r="6734" s="105" customFormat="1" spans="9:12">
      <c r="I6734" s="225"/>
      <c r="K6734" s="9"/>
      <c r="L6734" s="9"/>
    </row>
    <row r="6735" s="105" customFormat="1" spans="9:12">
      <c r="I6735" s="225"/>
      <c r="K6735" s="9"/>
      <c r="L6735" s="9"/>
    </row>
    <row r="6736" s="105" customFormat="1" spans="9:12">
      <c r="I6736" s="225"/>
      <c r="K6736" s="9"/>
      <c r="L6736" s="9"/>
    </row>
    <row r="6737" s="105" customFormat="1" spans="9:12">
      <c r="I6737" s="225"/>
      <c r="K6737" s="9"/>
      <c r="L6737" s="9"/>
    </row>
    <row r="6738" s="105" customFormat="1" spans="9:12">
      <c r="I6738" s="225"/>
      <c r="K6738" s="9"/>
      <c r="L6738" s="9"/>
    </row>
    <row r="6739" s="105" customFormat="1" spans="9:12">
      <c r="I6739" s="225"/>
      <c r="K6739" s="9"/>
      <c r="L6739" s="9"/>
    </row>
    <row r="6740" s="105" customFormat="1" spans="9:12">
      <c r="I6740" s="225"/>
      <c r="K6740" s="9"/>
      <c r="L6740" s="9"/>
    </row>
    <row r="6741" s="105" customFormat="1" spans="9:12">
      <c r="I6741" s="225"/>
      <c r="K6741" s="9"/>
      <c r="L6741" s="9"/>
    </row>
    <row r="6742" s="105" customFormat="1" spans="9:12">
      <c r="I6742" s="225"/>
      <c r="K6742" s="9"/>
      <c r="L6742" s="9"/>
    </row>
    <row r="6743" s="105" customFormat="1" spans="9:12">
      <c r="I6743" s="225"/>
      <c r="K6743" s="9"/>
      <c r="L6743" s="9"/>
    </row>
    <row r="6744" s="105" customFormat="1" spans="9:12">
      <c r="I6744" s="225"/>
      <c r="K6744" s="9"/>
      <c r="L6744" s="9"/>
    </row>
    <row r="6745" s="105" customFormat="1" spans="9:12">
      <c r="I6745" s="225"/>
      <c r="K6745" s="9"/>
      <c r="L6745" s="9"/>
    </row>
    <row r="6746" s="105" customFormat="1" spans="9:12">
      <c r="I6746" s="225"/>
      <c r="K6746" s="9"/>
      <c r="L6746" s="9"/>
    </row>
    <row r="6747" s="105" customFormat="1" spans="9:12">
      <c r="I6747" s="225"/>
      <c r="K6747" s="9"/>
      <c r="L6747" s="9"/>
    </row>
    <row r="6748" s="105" customFormat="1" spans="9:12">
      <c r="I6748" s="225"/>
      <c r="K6748" s="9"/>
      <c r="L6748" s="9"/>
    </row>
    <row r="6749" s="105" customFormat="1" spans="9:12">
      <c r="I6749" s="225"/>
      <c r="K6749" s="9"/>
      <c r="L6749" s="9"/>
    </row>
    <row r="6750" s="105" customFormat="1" spans="9:12">
      <c r="I6750" s="225"/>
      <c r="K6750" s="9"/>
      <c r="L6750" s="9"/>
    </row>
    <row r="6751" s="105" customFormat="1" spans="9:12">
      <c r="I6751" s="225"/>
      <c r="K6751" s="9"/>
      <c r="L6751" s="9"/>
    </row>
    <row r="6752" s="105" customFormat="1" spans="9:12">
      <c r="I6752" s="225"/>
      <c r="K6752" s="9"/>
      <c r="L6752" s="9"/>
    </row>
    <row r="6753" s="105" customFormat="1" spans="9:12">
      <c r="I6753" s="225"/>
      <c r="K6753" s="9"/>
      <c r="L6753" s="9"/>
    </row>
    <row r="6754" s="105" customFormat="1" spans="9:12">
      <c r="I6754" s="225"/>
      <c r="K6754" s="9"/>
      <c r="L6754" s="9"/>
    </row>
    <row r="6755" s="105" customFormat="1" spans="9:12">
      <c r="I6755" s="225"/>
      <c r="K6755" s="9"/>
      <c r="L6755" s="9"/>
    </row>
    <row r="6756" s="105" customFormat="1" spans="9:12">
      <c r="I6756" s="225"/>
      <c r="K6756" s="9"/>
      <c r="L6756" s="9"/>
    </row>
    <row r="6757" s="105" customFormat="1" spans="9:12">
      <c r="I6757" s="225"/>
      <c r="K6757" s="9"/>
      <c r="L6757" s="9"/>
    </row>
    <row r="6758" s="105" customFormat="1" spans="9:12">
      <c r="I6758" s="225"/>
      <c r="K6758" s="9"/>
      <c r="L6758" s="9"/>
    </row>
    <row r="6759" s="105" customFormat="1" spans="9:12">
      <c r="I6759" s="225"/>
      <c r="K6759" s="9"/>
      <c r="L6759" s="9"/>
    </row>
    <row r="6760" s="105" customFormat="1" spans="9:12">
      <c r="I6760" s="225"/>
      <c r="K6760" s="9"/>
      <c r="L6760" s="9"/>
    </row>
    <row r="6761" s="105" customFormat="1" spans="9:12">
      <c r="I6761" s="225"/>
      <c r="K6761" s="9"/>
      <c r="L6761" s="9"/>
    </row>
    <row r="6762" s="105" customFormat="1" spans="9:12">
      <c r="I6762" s="225"/>
      <c r="K6762" s="9"/>
      <c r="L6762" s="9"/>
    </row>
    <row r="6763" s="105" customFormat="1" spans="9:12">
      <c r="I6763" s="225"/>
      <c r="K6763" s="9"/>
      <c r="L6763" s="9"/>
    </row>
    <row r="6764" s="105" customFormat="1" spans="9:12">
      <c r="I6764" s="225"/>
      <c r="K6764" s="9"/>
      <c r="L6764" s="9"/>
    </row>
    <row r="6765" s="105" customFormat="1" spans="9:12">
      <c r="I6765" s="225"/>
      <c r="K6765" s="9"/>
      <c r="L6765" s="9"/>
    </row>
    <row r="6766" s="105" customFormat="1" spans="9:12">
      <c r="I6766" s="225"/>
      <c r="K6766" s="9"/>
      <c r="L6766" s="9"/>
    </row>
    <row r="6767" s="105" customFormat="1" spans="9:12">
      <c r="I6767" s="225"/>
      <c r="K6767" s="9"/>
      <c r="L6767" s="9"/>
    </row>
    <row r="6768" s="105" customFormat="1" spans="9:12">
      <c r="I6768" s="225"/>
      <c r="K6768" s="9"/>
      <c r="L6768" s="9"/>
    </row>
    <row r="6769" s="105" customFormat="1" spans="9:12">
      <c r="I6769" s="225"/>
      <c r="K6769" s="9"/>
      <c r="L6769" s="9"/>
    </row>
    <row r="6770" s="105" customFormat="1" spans="9:12">
      <c r="I6770" s="225"/>
      <c r="K6770" s="9"/>
      <c r="L6770" s="9"/>
    </row>
    <row r="6771" s="105" customFormat="1" spans="9:12">
      <c r="I6771" s="225"/>
      <c r="K6771" s="9"/>
      <c r="L6771" s="9"/>
    </row>
    <row r="6772" s="105" customFormat="1" spans="9:12">
      <c r="I6772" s="225"/>
      <c r="K6772" s="9"/>
      <c r="L6772" s="9"/>
    </row>
    <row r="6773" s="105" customFormat="1" spans="9:12">
      <c r="I6773" s="225"/>
      <c r="K6773" s="9"/>
      <c r="L6773" s="9"/>
    </row>
    <row r="6774" s="105" customFormat="1" spans="9:12">
      <c r="I6774" s="225"/>
      <c r="K6774" s="9"/>
      <c r="L6774" s="9"/>
    </row>
    <row r="6775" s="105" customFormat="1" spans="9:12">
      <c r="I6775" s="225"/>
      <c r="K6775" s="9"/>
      <c r="L6775" s="9"/>
    </row>
    <row r="6776" s="105" customFormat="1" spans="9:12">
      <c r="I6776" s="225"/>
      <c r="K6776" s="9"/>
      <c r="L6776" s="9"/>
    </row>
    <row r="6777" s="105" customFormat="1" spans="9:12">
      <c r="I6777" s="225"/>
      <c r="K6777" s="9"/>
      <c r="L6777" s="9"/>
    </row>
    <row r="6778" s="105" customFormat="1" spans="9:12">
      <c r="I6778" s="225"/>
      <c r="K6778" s="9"/>
      <c r="L6778" s="9"/>
    </row>
    <row r="6779" s="105" customFormat="1" spans="9:12">
      <c r="I6779" s="225"/>
      <c r="K6779" s="9"/>
      <c r="L6779" s="9"/>
    </row>
    <row r="6780" s="105" customFormat="1" spans="9:12">
      <c r="I6780" s="225"/>
      <c r="K6780" s="9"/>
      <c r="L6780" s="9"/>
    </row>
    <row r="6781" s="105" customFormat="1" spans="9:12">
      <c r="I6781" s="225"/>
      <c r="K6781" s="9"/>
      <c r="L6781" s="9"/>
    </row>
    <row r="6782" s="105" customFormat="1" spans="9:12">
      <c r="I6782" s="225"/>
      <c r="K6782" s="9"/>
      <c r="L6782" s="9"/>
    </row>
    <row r="6783" s="105" customFormat="1" spans="9:12">
      <c r="I6783" s="225"/>
      <c r="K6783" s="9"/>
      <c r="L6783" s="9"/>
    </row>
    <row r="6784" s="105" customFormat="1" spans="9:12">
      <c r="I6784" s="225"/>
      <c r="K6784" s="9"/>
      <c r="L6784" s="9"/>
    </row>
    <row r="6785" s="105" customFormat="1" spans="9:12">
      <c r="I6785" s="225"/>
      <c r="K6785" s="9"/>
      <c r="L6785" s="9"/>
    </row>
    <row r="6786" s="105" customFormat="1" spans="9:12">
      <c r="I6786" s="225"/>
      <c r="K6786" s="9"/>
      <c r="L6786" s="9"/>
    </row>
    <row r="6787" s="105" customFormat="1" spans="9:12">
      <c r="I6787" s="225"/>
      <c r="K6787" s="9"/>
      <c r="L6787" s="9"/>
    </row>
    <row r="6788" s="105" customFormat="1" spans="9:12">
      <c r="I6788" s="225"/>
      <c r="K6788" s="9"/>
      <c r="L6788" s="9"/>
    </row>
    <row r="6789" s="105" customFormat="1" spans="9:12">
      <c r="I6789" s="225"/>
      <c r="K6789" s="9"/>
      <c r="L6789" s="9"/>
    </row>
    <row r="6790" s="105" customFormat="1" spans="9:12">
      <c r="I6790" s="225"/>
      <c r="K6790" s="9"/>
      <c r="L6790" s="9"/>
    </row>
    <row r="6791" s="105" customFormat="1" spans="9:12">
      <c r="I6791" s="225"/>
      <c r="K6791" s="9"/>
      <c r="L6791" s="9"/>
    </row>
    <row r="6792" s="105" customFormat="1" spans="9:12">
      <c r="I6792" s="225"/>
      <c r="K6792" s="9"/>
      <c r="L6792" s="9"/>
    </row>
    <row r="6793" s="105" customFormat="1" spans="9:12">
      <c r="I6793" s="225"/>
      <c r="K6793" s="9"/>
      <c r="L6793" s="9"/>
    </row>
    <row r="6794" s="105" customFormat="1" spans="9:12">
      <c r="I6794" s="225"/>
      <c r="K6794" s="9"/>
      <c r="L6794" s="9"/>
    </row>
    <row r="6795" s="105" customFormat="1" spans="9:12">
      <c r="I6795" s="225"/>
      <c r="K6795" s="9"/>
      <c r="L6795" s="9"/>
    </row>
    <row r="6796" s="105" customFormat="1" spans="9:12">
      <c r="I6796" s="225"/>
      <c r="K6796" s="9"/>
      <c r="L6796" s="9"/>
    </row>
    <row r="6797" s="105" customFormat="1" spans="9:12">
      <c r="I6797" s="225"/>
      <c r="K6797" s="9"/>
      <c r="L6797" s="9"/>
    </row>
    <row r="6798" s="105" customFormat="1" spans="9:12">
      <c r="I6798" s="225"/>
      <c r="K6798" s="9"/>
      <c r="L6798" s="9"/>
    </row>
    <row r="6799" s="105" customFormat="1" spans="9:12">
      <c r="I6799" s="225"/>
      <c r="K6799" s="9"/>
      <c r="L6799" s="9"/>
    </row>
    <row r="6800" s="105" customFormat="1" spans="9:12">
      <c r="I6800" s="225"/>
      <c r="K6800" s="9"/>
      <c r="L6800" s="9"/>
    </row>
    <row r="6801" s="105" customFormat="1" spans="9:12">
      <c r="I6801" s="225"/>
      <c r="K6801" s="9"/>
      <c r="L6801" s="9"/>
    </row>
    <row r="6802" s="105" customFormat="1" spans="9:12">
      <c r="I6802" s="225"/>
      <c r="K6802" s="9"/>
      <c r="L6802" s="9"/>
    </row>
    <row r="6803" s="105" customFormat="1" spans="9:12">
      <c r="I6803" s="225"/>
      <c r="K6803" s="9"/>
      <c r="L6803" s="9"/>
    </row>
    <row r="6804" s="105" customFormat="1" spans="9:12">
      <c r="I6804" s="225"/>
      <c r="K6804" s="9"/>
      <c r="L6804" s="9"/>
    </row>
    <row r="6805" s="105" customFormat="1" spans="9:12">
      <c r="I6805" s="225"/>
      <c r="K6805" s="9"/>
      <c r="L6805" s="9"/>
    </row>
    <row r="6806" s="105" customFormat="1" spans="9:12">
      <c r="I6806" s="225"/>
      <c r="K6806" s="9"/>
      <c r="L6806" s="9"/>
    </row>
    <row r="6807" s="105" customFormat="1" spans="9:12">
      <c r="I6807" s="225"/>
      <c r="K6807" s="9"/>
      <c r="L6807" s="9"/>
    </row>
    <row r="6808" s="105" customFormat="1" spans="9:12">
      <c r="I6808" s="225"/>
      <c r="K6808" s="9"/>
      <c r="L6808" s="9"/>
    </row>
    <row r="6809" s="105" customFormat="1" spans="9:12">
      <c r="I6809" s="225"/>
      <c r="K6809" s="9"/>
      <c r="L6809" s="9"/>
    </row>
    <row r="6810" s="105" customFormat="1" spans="9:12">
      <c r="I6810" s="225"/>
      <c r="K6810" s="9"/>
      <c r="L6810" s="9"/>
    </row>
    <row r="6811" s="105" customFormat="1" spans="9:12">
      <c r="I6811" s="225"/>
      <c r="K6811" s="9"/>
      <c r="L6811" s="9"/>
    </row>
    <row r="6812" s="105" customFormat="1" spans="9:12">
      <c r="I6812" s="225"/>
      <c r="K6812" s="9"/>
      <c r="L6812" s="9"/>
    </row>
    <row r="6813" s="105" customFormat="1" spans="9:12">
      <c r="I6813" s="225"/>
      <c r="K6813" s="9"/>
      <c r="L6813" s="9"/>
    </row>
    <row r="6814" s="105" customFormat="1" spans="9:12">
      <c r="I6814" s="225"/>
      <c r="K6814" s="9"/>
      <c r="L6814" s="9"/>
    </row>
    <row r="6815" s="105" customFormat="1" spans="9:12">
      <c r="I6815" s="225"/>
      <c r="K6815" s="9"/>
      <c r="L6815" s="9"/>
    </row>
    <row r="6816" s="105" customFormat="1" spans="9:12">
      <c r="I6816" s="225"/>
      <c r="K6816" s="9"/>
      <c r="L6816" s="9"/>
    </row>
    <row r="6817" s="105" customFormat="1" spans="9:12">
      <c r="I6817" s="225"/>
      <c r="K6817" s="9"/>
      <c r="L6817" s="9"/>
    </row>
    <row r="6818" s="105" customFormat="1" spans="9:12">
      <c r="I6818" s="225"/>
      <c r="K6818" s="9"/>
      <c r="L6818" s="9"/>
    </row>
    <row r="6819" s="105" customFormat="1" spans="9:12">
      <c r="I6819" s="225"/>
      <c r="K6819" s="9"/>
      <c r="L6819" s="9"/>
    </row>
    <row r="6820" s="105" customFormat="1" spans="9:12">
      <c r="I6820" s="225"/>
      <c r="K6820" s="9"/>
      <c r="L6820" s="9"/>
    </row>
    <row r="6821" s="105" customFormat="1" spans="9:12">
      <c r="I6821" s="225"/>
      <c r="K6821" s="9"/>
      <c r="L6821" s="9"/>
    </row>
    <row r="6822" s="105" customFormat="1" spans="9:12">
      <c r="I6822" s="225"/>
      <c r="K6822" s="9"/>
      <c r="L6822" s="9"/>
    </row>
    <row r="6823" s="105" customFormat="1" spans="9:12">
      <c r="I6823" s="225"/>
      <c r="K6823" s="9"/>
      <c r="L6823" s="9"/>
    </row>
    <row r="6824" s="105" customFormat="1" spans="9:12">
      <c r="I6824" s="225"/>
      <c r="K6824" s="9"/>
      <c r="L6824" s="9"/>
    </row>
    <row r="6825" s="105" customFormat="1" spans="9:12">
      <c r="I6825" s="225"/>
      <c r="K6825" s="9"/>
      <c r="L6825" s="9"/>
    </row>
    <row r="6826" s="105" customFormat="1" spans="9:12">
      <c r="I6826" s="225"/>
      <c r="K6826" s="9"/>
      <c r="L6826" s="9"/>
    </row>
    <row r="6827" s="105" customFormat="1" spans="9:12">
      <c r="I6827" s="225"/>
      <c r="K6827" s="9"/>
      <c r="L6827" s="9"/>
    </row>
    <row r="6828" s="105" customFormat="1" spans="9:12">
      <c r="I6828" s="225"/>
      <c r="K6828" s="9"/>
      <c r="L6828" s="9"/>
    </row>
    <row r="6829" s="105" customFormat="1" spans="9:12">
      <c r="I6829" s="225"/>
      <c r="K6829" s="9"/>
      <c r="L6829" s="9"/>
    </row>
    <row r="6830" s="105" customFormat="1" spans="9:12">
      <c r="I6830" s="225"/>
      <c r="K6830" s="9"/>
      <c r="L6830" s="9"/>
    </row>
    <row r="6831" s="105" customFormat="1" spans="9:12">
      <c r="I6831" s="225"/>
      <c r="K6831" s="9"/>
      <c r="L6831" s="9"/>
    </row>
    <row r="6832" s="105" customFormat="1" spans="9:12">
      <c r="I6832" s="225"/>
      <c r="K6832" s="9"/>
      <c r="L6832" s="9"/>
    </row>
    <row r="6833" s="105" customFormat="1" spans="9:12">
      <c r="I6833" s="225"/>
      <c r="K6833" s="9"/>
      <c r="L6833" s="9"/>
    </row>
    <row r="6834" s="105" customFormat="1" spans="9:12">
      <c r="I6834" s="225"/>
      <c r="K6834" s="9"/>
      <c r="L6834" s="9"/>
    </row>
    <row r="6835" s="105" customFormat="1" spans="9:12">
      <c r="I6835" s="225"/>
      <c r="K6835" s="9"/>
      <c r="L6835" s="9"/>
    </row>
    <row r="6836" s="105" customFormat="1" spans="9:12">
      <c r="I6836" s="225"/>
      <c r="K6836" s="9"/>
      <c r="L6836" s="9"/>
    </row>
    <row r="6837" s="105" customFormat="1" spans="9:12">
      <c r="I6837" s="225"/>
      <c r="K6837" s="9"/>
      <c r="L6837" s="9"/>
    </row>
    <row r="6838" s="105" customFormat="1" spans="9:12">
      <c r="I6838" s="225"/>
      <c r="K6838" s="9"/>
      <c r="L6838" s="9"/>
    </row>
    <row r="6839" s="105" customFormat="1" spans="9:12">
      <c r="I6839" s="225"/>
      <c r="K6839" s="9"/>
      <c r="L6839" s="9"/>
    </row>
    <row r="6840" s="105" customFormat="1" spans="9:12">
      <c r="I6840" s="225"/>
      <c r="K6840" s="9"/>
      <c r="L6840" s="9"/>
    </row>
    <row r="6841" s="105" customFormat="1" spans="9:12">
      <c r="I6841" s="225"/>
      <c r="K6841" s="9"/>
      <c r="L6841" s="9"/>
    </row>
    <row r="6842" s="105" customFormat="1" spans="9:12">
      <c r="I6842" s="225"/>
      <c r="K6842" s="9"/>
      <c r="L6842" s="9"/>
    </row>
    <row r="6843" s="105" customFormat="1" spans="9:12">
      <c r="I6843" s="225"/>
      <c r="K6843" s="9"/>
      <c r="L6843" s="9"/>
    </row>
    <row r="6844" s="105" customFormat="1" spans="9:12">
      <c r="I6844" s="225"/>
      <c r="K6844" s="9"/>
      <c r="L6844" s="9"/>
    </row>
    <row r="6845" s="105" customFormat="1" spans="9:12">
      <c r="I6845" s="225"/>
      <c r="K6845" s="9"/>
      <c r="L6845" s="9"/>
    </row>
    <row r="6846" s="105" customFormat="1" spans="9:12">
      <c r="I6846" s="225"/>
      <c r="K6846" s="9"/>
      <c r="L6846" s="9"/>
    </row>
    <row r="6847" s="105" customFormat="1" spans="9:12">
      <c r="I6847" s="225"/>
      <c r="K6847" s="9"/>
      <c r="L6847" s="9"/>
    </row>
    <row r="6848" s="105" customFormat="1" spans="9:12">
      <c r="I6848" s="225"/>
      <c r="K6848" s="9"/>
      <c r="L6848" s="9"/>
    </row>
    <row r="6849" s="105" customFormat="1" spans="9:12">
      <c r="I6849" s="225"/>
      <c r="K6849" s="9"/>
      <c r="L6849" s="9"/>
    </row>
    <row r="6850" s="105" customFormat="1" spans="9:12">
      <c r="I6850" s="225"/>
      <c r="K6850" s="9"/>
      <c r="L6850" s="9"/>
    </row>
    <row r="6851" s="105" customFormat="1" spans="9:12">
      <c r="I6851" s="225"/>
      <c r="K6851" s="9"/>
      <c r="L6851" s="9"/>
    </row>
    <row r="6852" s="105" customFormat="1" spans="9:12">
      <c r="I6852" s="225"/>
      <c r="K6852" s="9"/>
      <c r="L6852" s="9"/>
    </row>
    <row r="6853" s="105" customFormat="1" spans="9:12">
      <c r="I6853" s="225"/>
      <c r="K6853" s="9"/>
      <c r="L6853" s="9"/>
    </row>
    <row r="6854" s="105" customFormat="1" spans="9:12">
      <c r="I6854" s="225"/>
      <c r="K6854" s="9"/>
      <c r="L6854" s="9"/>
    </row>
    <row r="6855" s="105" customFormat="1" spans="9:12">
      <c r="I6855" s="225"/>
      <c r="K6855" s="9"/>
      <c r="L6855" s="9"/>
    </row>
    <row r="6856" s="105" customFormat="1" spans="9:12">
      <c r="I6856" s="225"/>
      <c r="K6856" s="9"/>
      <c r="L6856" s="9"/>
    </row>
    <row r="6857" s="105" customFormat="1" spans="9:12">
      <c r="I6857" s="225"/>
      <c r="K6857" s="9"/>
      <c r="L6857" s="9"/>
    </row>
    <row r="6858" s="105" customFormat="1" spans="9:12">
      <c r="I6858" s="225"/>
      <c r="K6858" s="9"/>
      <c r="L6858" s="9"/>
    </row>
    <row r="6859" s="105" customFormat="1" spans="9:12">
      <c r="I6859" s="225"/>
      <c r="K6859" s="9"/>
      <c r="L6859" s="9"/>
    </row>
    <row r="6860" s="105" customFormat="1" spans="9:12">
      <c r="I6860" s="225"/>
      <c r="K6860" s="9"/>
      <c r="L6860" s="9"/>
    </row>
    <row r="6861" s="105" customFormat="1" spans="9:12">
      <c r="I6861" s="225"/>
      <c r="K6861" s="9"/>
      <c r="L6861" s="9"/>
    </row>
    <row r="6862" s="105" customFormat="1" spans="9:12">
      <c r="I6862" s="225"/>
      <c r="K6862" s="9"/>
      <c r="L6862" s="9"/>
    </row>
    <row r="6863" s="105" customFormat="1" spans="9:12">
      <c r="I6863" s="225"/>
      <c r="K6863" s="9"/>
      <c r="L6863" s="9"/>
    </row>
    <row r="6864" s="105" customFormat="1" spans="9:12">
      <c r="I6864" s="225"/>
      <c r="K6864" s="9"/>
      <c r="L6864" s="9"/>
    </row>
    <row r="6865" s="105" customFormat="1" spans="9:12">
      <c r="I6865" s="225"/>
      <c r="K6865" s="9"/>
      <c r="L6865" s="9"/>
    </row>
    <row r="6866" s="105" customFormat="1" spans="9:12">
      <c r="I6866" s="225"/>
      <c r="K6866" s="9"/>
      <c r="L6866" s="9"/>
    </row>
    <row r="6867" s="105" customFormat="1" spans="9:12">
      <c r="I6867" s="225"/>
      <c r="K6867" s="9"/>
      <c r="L6867" s="9"/>
    </row>
    <row r="6868" s="105" customFormat="1" spans="9:12">
      <c r="I6868" s="225"/>
      <c r="K6868" s="9"/>
      <c r="L6868" s="9"/>
    </row>
    <row r="6869" s="105" customFormat="1" spans="9:12">
      <c r="I6869" s="225"/>
      <c r="K6869" s="9"/>
      <c r="L6869" s="9"/>
    </row>
    <row r="6870" s="105" customFormat="1" spans="9:12">
      <c r="I6870" s="225"/>
      <c r="K6870" s="9"/>
      <c r="L6870" s="9"/>
    </row>
    <row r="6871" s="105" customFormat="1" spans="9:12">
      <c r="I6871" s="225"/>
      <c r="K6871" s="9"/>
      <c r="L6871" s="9"/>
    </row>
    <row r="6872" s="105" customFormat="1" spans="9:12">
      <c r="I6872" s="225"/>
      <c r="K6872" s="9"/>
      <c r="L6872" s="9"/>
    </row>
    <row r="6873" s="105" customFormat="1" spans="9:12">
      <c r="I6873" s="225"/>
      <c r="K6873" s="9"/>
      <c r="L6873" s="9"/>
    </row>
    <row r="6874" s="105" customFormat="1" spans="9:12">
      <c r="I6874" s="225"/>
      <c r="K6874" s="9"/>
      <c r="L6874" s="9"/>
    </row>
    <row r="6875" s="105" customFormat="1" spans="9:12">
      <c r="I6875" s="225"/>
      <c r="K6875" s="9"/>
      <c r="L6875" s="9"/>
    </row>
    <row r="6876" s="105" customFormat="1" spans="9:12">
      <c r="I6876" s="225"/>
      <c r="K6876" s="9"/>
      <c r="L6876" s="9"/>
    </row>
    <row r="6877" s="105" customFormat="1" spans="9:12">
      <c r="I6877" s="225"/>
      <c r="K6877" s="9"/>
      <c r="L6877" s="9"/>
    </row>
    <row r="6878" s="105" customFormat="1" spans="9:12">
      <c r="I6878" s="225"/>
      <c r="K6878" s="9"/>
      <c r="L6878" s="9"/>
    </row>
    <row r="6879" s="105" customFormat="1" spans="9:12">
      <c r="I6879" s="225"/>
      <c r="K6879" s="9"/>
      <c r="L6879" s="9"/>
    </row>
    <row r="6880" s="105" customFormat="1" spans="9:12">
      <c r="I6880" s="225"/>
      <c r="K6880" s="9"/>
      <c r="L6880" s="9"/>
    </row>
    <row r="6881" s="105" customFormat="1" spans="9:12">
      <c r="I6881" s="225"/>
      <c r="K6881" s="9"/>
      <c r="L6881" s="9"/>
    </row>
    <row r="6882" s="105" customFormat="1" spans="9:12">
      <c r="I6882" s="225"/>
      <c r="K6882" s="9"/>
      <c r="L6882" s="9"/>
    </row>
    <row r="6883" s="105" customFormat="1" spans="9:12">
      <c r="I6883" s="225"/>
      <c r="K6883" s="9"/>
      <c r="L6883" s="9"/>
    </row>
    <row r="6884" s="105" customFormat="1" spans="9:12">
      <c r="I6884" s="225"/>
      <c r="K6884" s="9"/>
      <c r="L6884" s="9"/>
    </row>
    <row r="6885" s="105" customFormat="1" spans="9:12">
      <c r="I6885" s="225"/>
      <c r="K6885" s="9"/>
      <c r="L6885" s="9"/>
    </row>
    <row r="6886" s="105" customFormat="1" spans="9:12">
      <c r="I6886" s="225"/>
      <c r="K6886" s="9"/>
      <c r="L6886" s="9"/>
    </row>
    <row r="6887" s="105" customFormat="1" spans="9:12">
      <c r="I6887" s="225"/>
      <c r="K6887" s="9"/>
      <c r="L6887" s="9"/>
    </row>
    <row r="6888" s="105" customFormat="1" spans="9:12">
      <c r="I6888" s="225"/>
      <c r="K6888" s="9"/>
      <c r="L6888" s="9"/>
    </row>
    <row r="6889" s="105" customFormat="1" spans="9:12">
      <c r="I6889" s="225"/>
      <c r="K6889" s="9"/>
      <c r="L6889" s="9"/>
    </row>
    <row r="6890" s="105" customFormat="1" spans="9:12">
      <c r="I6890" s="225"/>
      <c r="K6890" s="9"/>
      <c r="L6890" s="9"/>
    </row>
    <row r="6891" s="105" customFormat="1" spans="9:12">
      <c r="I6891" s="225"/>
      <c r="K6891" s="9"/>
      <c r="L6891" s="9"/>
    </row>
    <row r="6892" s="105" customFormat="1" spans="9:12">
      <c r="I6892" s="225"/>
      <c r="K6892" s="9"/>
      <c r="L6892" s="9"/>
    </row>
    <row r="6893" s="105" customFormat="1" spans="9:12">
      <c r="I6893" s="225"/>
      <c r="K6893" s="9"/>
      <c r="L6893" s="9"/>
    </row>
    <row r="6894" s="105" customFormat="1" spans="9:12">
      <c r="I6894" s="225"/>
      <c r="K6894" s="9"/>
      <c r="L6894" s="9"/>
    </row>
    <row r="6895" s="105" customFormat="1" spans="9:12">
      <c r="I6895" s="225"/>
      <c r="K6895" s="9"/>
      <c r="L6895" s="9"/>
    </row>
    <row r="6896" s="105" customFormat="1" spans="9:12">
      <c r="I6896" s="225"/>
      <c r="K6896" s="9"/>
      <c r="L6896" s="9"/>
    </row>
    <row r="6897" s="105" customFormat="1" spans="9:12">
      <c r="I6897" s="225"/>
      <c r="K6897" s="9"/>
      <c r="L6897" s="9"/>
    </row>
    <row r="6898" s="105" customFormat="1" spans="9:12">
      <c r="I6898" s="225"/>
      <c r="K6898" s="9"/>
      <c r="L6898" s="9"/>
    </row>
    <row r="6899" s="105" customFormat="1" spans="9:12">
      <c r="I6899" s="225"/>
      <c r="K6899" s="9"/>
      <c r="L6899" s="9"/>
    </row>
    <row r="6900" s="105" customFormat="1" spans="9:12">
      <c r="I6900" s="225"/>
      <c r="K6900" s="9"/>
      <c r="L6900" s="9"/>
    </row>
    <row r="6901" s="105" customFormat="1" spans="9:12">
      <c r="I6901" s="225"/>
      <c r="K6901" s="9"/>
      <c r="L6901" s="9"/>
    </row>
    <row r="6902" s="105" customFormat="1" spans="9:12">
      <c r="I6902" s="225"/>
      <c r="K6902" s="9"/>
      <c r="L6902" s="9"/>
    </row>
    <row r="6903" s="105" customFormat="1" spans="9:12">
      <c r="I6903" s="225"/>
      <c r="K6903" s="9"/>
      <c r="L6903" s="9"/>
    </row>
    <row r="6904" s="105" customFormat="1" spans="9:12">
      <c r="I6904" s="225"/>
      <c r="K6904" s="9"/>
      <c r="L6904" s="9"/>
    </row>
    <row r="6905" s="105" customFormat="1" spans="9:12">
      <c r="I6905" s="225"/>
      <c r="K6905" s="9"/>
      <c r="L6905" s="9"/>
    </row>
    <row r="6906" s="105" customFormat="1" spans="9:12">
      <c r="I6906" s="225"/>
      <c r="K6906" s="9"/>
      <c r="L6906" s="9"/>
    </row>
    <row r="6907" s="105" customFormat="1" spans="9:12">
      <c r="I6907" s="225"/>
      <c r="K6907" s="9"/>
      <c r="L6907" s="9"/>
    </row>
    <row r="6908" s="105" customFormat="1" spans="9:12">
      <c r="I6908" s="225"/>
      <c r="K6908" s="9"/>
      <c r="L6908" s="9"/>
    </row>
    <row r="6909" s="105" customFormat="1" spans="9:12">
      <c r="I6909" s="225"/>
      <c r="K6909" s="9"/>
      <c r="L6909" s="9"/>
    </row>
    <row r="6910" s="105" customFormat="1" spans="9:12">
      <c r="I6910" s="225"/>
      <c r="K6910" s="9"/>
      <c r="L6910" s="9"/>
    </row>
    <row r="6911" s="105" customFormat="1" spans="9:12">
      <c r="I6911" s="225"/>
      <c r="K6911" s="9"/>
      <c r="L6911" s="9"/>
    </row>
    <row r="6912" s="105" customFormat="1" spans="9:12">
      <c r="I6912" s="225"/>
      <c r="K6912" s="9"/>
      <c r="L6912" s="9"/>
    </row>
    <row r="6913" s="105" customFormat="1" spans="9:12">
      <c r="I6913" s="225"/>
      <c r="K6913" s="9"/>
      <c r="L6913" s="9"/>
    </row>
    <row r="6914" s="105" customFormat="1" spans="9:12">
      <c r="I6914" s="225"/>
      <c r="K6914" s="9"/>
      <c r="L6914" s="9"/>
    </row>
    <row r="6915" s="105" customFormat="1" spans="9:12">
      <c r="I6915" s="225"/>
      <c r="K6915" s="9"/>
      <c r="L6915" s="9"/>
    </row>
    <row r="6916" s="105" customFormat="1" spans="9:12">
      <c r="I6916" s="225"/>
      <c r="K6916" s="9"/>
      <c r="L6916" s="9"/>
    </row>
    <row r="6917" s="105" customFormat="1" spans="9:12">
      <c r="I6917" s="225"/>
      <c r="K6917" s="9"/>
      <c r="L6917" s="9"/>
    </row>
    <row r="6918" s="105" customFormat="1" spans="9:12">
      <c r="I6918" s="225"/>
      <c r="K6918" s="9"/>
      <c r="L6918" s="9"/>
    </row>
    <row r="6919" s="105" customFormat="1" spans="9:12">
      <c r="I6919" s="225"/>
      <c r="K6919" s="9"/>
      <c r="L6919" s="9"/>
    </row>
    <row r="6920" s="105" customFormat="1" spans="9:12">
      <c r="I6920" s="225"/>
      <c r="K6920" s="9"/>
      <c r="L6920" s="9"/>
    </row>
    <row r="6921" s="105" customFormat="1" spans="9:12">
      <c r="I6921" s="225"/>
      <c r="K6921" s="9"/>
      <c r="L6921" s="9"/>
    </row>
    <row r="6922" s="105" customFormat="1" spans="9:12">
      <c r="I6922" s="225"/>
      <c r="K6922" s="9"/>
      <c r="L6922" s="9"/>
    </row>
    <row r="6923" s="105" customFormat="1" spans="9:12">
      <c r="I6923" s="225"/>
      <c r="K6923" s="9"/>
      <c r="L6923" s="9"/>
    </row>
    <row r="6924" s="105" customFormat="1" spans="9:12">
      <c r="I6924" s="225"/>
      <c r="K6924" s="9"/>
      <c r="L6924" s="9"/>
    </row>
    <row r="6925" s="105" customFormat="1" spans="9:12">
      <c r="I6925" s="225"/>
      <c r="K6925" s="9"/>
      <c r="L6925" s="9"/>
    </row>
    <row r="6926" s="105" customFormat="1" spans="9:12">
      <c r="I6926" s="225"/>
      <c r="K6926" s="9"/>
      <c r="L6926" s="9"/>
    </row>
    <row r="6927" s="105" customFormat="1" spans="9:12">
      <c r="I6927" s="225"/>
      <c r="K6927" s="9"/>
      <c r="L6927" s="9"/>
    </row>
    <row r="6928" s="105" customFormat="1" spans="9:12">
      <c r="I6928" s="225"/>
      <c r="K6928" s="9"/>
      <c r="L6928" s="9"/>
    </row>
    <row r="6929" s="105" customFormat="1" spans="9:12">
      <c r="I6929" s="225"/>
      <c r="K6929" s="9"/>
      <c r="L6929" s="9"/>
    </row>
    <row r="6930" s="105" customFormat="1" spans="9:12">
      <c r="I6930" s="225"/>
      <c r="K6930" s="9"/>
      <c r="L6930" s="9"/>
    </row>
    <row r="6931" s="105" customFormat="1" spans="9:12">
      <c r="I6931" s="225"/>
      <c r="K6931" s="9"/>
      <c r="L6931" s="9"/>
    </row>
    <row r="6932" s="105" customFormat="1" spans="9:12">
      <c r="I6932" s="225"/>
      <c r="K6932" s="9"/>
      <c r="L6932" s="9"/>
    </row>
    <row r="6933" s="105" customFormat="1" spans="9:12">
      <c r="I6933" s="225"/>
      <c r="K6933" s="9"/>
      <c r="L6933" s="9"/>
    </row>
    <row r="6934" s="105" customFormat="1" spans="9:12">
      <c r="I6934" s="225"/>
      <c r="K6934" s="9"/>
      <c r="L6934" s="9"/>
    </row>
    <row r="6935" s="105" customFormat="1" spans="9:12">
      <c r="I6935" s="225"/>
      <c r="K6935" s="9"/>
      <c r="L6935" s="9"/>
    </row>
    <row r="6936" s="105" customFormat="1" spans="9:12">
      <c r="I6936" s="225"/>
      <c r="K6936" s="9"/>
      <c r="L6936" s="9"/>
    </row>
    <row r="6937" s="105" customFormat="1" spans="9:12">
      <c r="I6937" s="225"/>
      <c r="K6937" s="9"/>
      <c r="L6937" s="9"/>
    </row>
    <row r="6938" s="105" customFormat="1" spans="9:12">
      <c r="I6938" s="225"/>
      <c r="K6938" s="9"/>
      <c r="L6938" s="9"/>
    </row>
    <row r="6939" s="105" customFormat="1" spans="9:12">
      <c r="I6939" s="225"/>
      <c r="K6939" s="9"/>
      <c r="L6939" s="9"/>
    </row>
    <row r="6940" s="105" customFormat="1" spans="9:12">
      <c r="I6940" s="225"/>
      <c r="K6940" s="9"/>
      <c r="L6940" s="9"/>
    </row>
    <row r="6941" s="105" customFormat="1" spans="9:12">
      <c r="I6941" s="225"/>
      <c r="K6941" s="9"/>
      <c r="L6941" s="9"/>
    </row>
    <row r="6942" s="105" customFormat="1" spans="9:12">
      <c r="I6942" s="225"/>
      <c r="K6942" s="9"/>
      <c r="L6942" s="9"/>
    </row>
    <row r="6943" s="105" customFormat="1" spans="9:12">
      <c r="I6943" s="225"/>
      <c r="K6943" s="9"/>
      <c r="L6943" s="9"/>
    </row>
    <row r="6944" s="105" customFormat="1" spans="9:12">
      <c r="I6944" s="225"/>
      <c r="K6944" s="9"/>
      <c r="L6944" s="9"/>
    </row>
    <row r="6945" s="105" customFormat="1" spans="9:12">
      <c r="I6945" s="225"/>
      <c r="K6945" s="9"/>
      <c r="L6945" s="9"/>
    </row>
    <row r="6946" s="105" customFormat="1" spans="9:12">
      <c r="I6946" s="225"/>
      <c r="K6946" s="9"/>
      <c r="L6946" s="9"/>
    </row>
    <row r="6947" s="105" customFormat="1" spans="9:12">
      <c r="I6947" s="225"/>
      <c r="K6947" s="9"/>
      <c r="L6947" s="9"/>
    </row>
    <row r="6948" s="105" customFormat="1" spans="9:12">
      <c r="I6948" s="225"/>
      <c r="K6948" s="9"/>
      <c r="L6948" s="9"/>
    </row>
    <row r="6949" s="105" customFormat="1" spans="9:12">
      <c r="I6949" s="225"/>
      <c r="K6949" s="9"/>
      <c r="L6949" s="9"/>
    </row>
    <row r="6950" s="105" customFormat="1" spans="9:12">
      <c r="I6950" s="225"/>
      <c r="K6950" s="9"/>
      <c r="L6950" s="9"/>
    </row>
    <row r="6951" s="105" customFormat="1" spans="9:12">
      <c r="I6951" s="225"/>
      <c r="K6951" s="9"/>
      <c r="L6951" s="9"/>
    </row>
    <row r="6952" s="105" customFormat="1" spans="9:12">
      <c r="I6952" s="225"/>
      <c r="K6952" s="9"/>
      <c r="L6952" s="9"/>
    </row>
    <row r="6953" s="105" customFormat="1" spans="9:12">
      <c r="I6953" s="225"/>
      <c r="K6953" s="9"/>
      <c r="L6953" s="9"/>
    </row>
    <row r="6954" s="105" customFormat="1" spans="9:12">
      <c r="I6954" s="225"/>
      <c r="K6954" s="9"/>
      <c r="L6954" s="9"/>
    </row>
    <row r="6955" s="105" customFormat="1" spans="9:12">
      <c r="I6955" s="225"/>
      <c r="K6955" s="9"/>
      <c r="L6955" s="9"/>
    </row>
    <row r="6956" s="105" customFormat="1" spans="9:12">
      <c r="I6956" s="225"/>
      <c r="K6956" s="9"/>
      <c r="L6956" s="9"/>
    </row>
    <row r="6957" s="105" customFormat="1" spans="9:12">
      <c r="I6957" s="225"/>
      <c r="K6957" s="9"/>
      <c r="L6957" s="9"/>
    </row>
    <row r="6958" s="105" customFormat="1" spans="9:12">
      <c r="I6958" s="225"/>
      <c r="K6958" s="9"/>
      <c r="L6958" s="9"/>
    </row>
    <row r="6959" s="105" customFormat="1" spans="9:12">
      <c r="I6959" s="225"/>
      <c r="K6959" s="9"/>
      <c r="L6959" s="9"/>
    </row>
    <row r="6960" s="105" customFormat="1" spans="9:12">
      <c r="I6960" s="225"/>
      <c r="K6960" s="9"/>
      <c r="L6960" s="9"/>
    </row>
    <row r="6961" s="105" customFormat="1" spans="9:12">
      <c r="I6961" s="225"/>
      <c r="K6961" s="9"/>
      <c r="L6961" s="9"/>
    </row>
    <row r="6962" s="105" customFormat="1" spans="9:12">
      <c r="I6962" s="225"/>
      <c r="K6962" s="9"/>
      <c r="L6962" s="9"/>
    </row>
    <row r="6963" s="105" customFormat="1" spans="9:12">
      <c r="I6963" s="225"/>
      <c r="K6963" s="9"/>
      <c r="L6963" s="9"/>
    </row>
    <row r="6964" s="105" customFormat="1" spans="9:12">
      <c r="I6964" s="225"/>
      <c r="K6964" s="9"/>
      <c r="L6964" s="9"/>
    </row>
    <row r="6965" s="105" customFormat="1" spans="9:12">
      <c r="I6965" s="225"/>
      <c r="K6965" s="9"/>
      <c r="L6965" s="9"/>
    </row>
    <row r="6966" s="105" customFormat="1" spans="9:12">
      <c r="I6966" s="225"/>
      <c r="K6966" s="9"/>
      <c r="L6966" s="9"/>
    </row>
    <row r="6967" s="105" customFormat="1" spans="9:12">
      <c r="I6967" s="225"/>
      <c r="K6967" s="9"/>
      <c r="L6967" s="9"/>
    </row>
    <row r="6968" s="105" customFormat="1" spans="9:12">
      <c r="I6968" s="225"/>
      <c r="K6968" s="9"/>
      <c r="L6968" s="9"/>
    </row>
    <row r="6969" s="105" customFormat="1" spans="9:12">
      <c r="I6969" s="225"/>
      <c r="K6969" s="9"/>
      <c r="L6969" s="9"/>
    </row>
    <row r="6970" s="105" customFormat="1" spans="9:12">
      <c r="I6970" s="225"/>
      <c r="K6970" s="9"/>
      <c r="L6970" s="9"/>
    </row>
    <row r="6971" s="105" customFormat="1" spans="9:12">
      <c r="I6971" s="225"/>
      <c r="K6971" s="9"/>
      <c r="L6971" s="9"/>
    </row>
    <row r="6972" s="105" customFormat="1" spans="9:12">
      <c r="I6972" s="225"/>
      <c r="K6972" s="9"/>
      <c r="L6972" s="9"/>
    </row>
    <row r="6973" s="105" customFormat="1" spans="9:12">
      <c r="I6973" s="225"/>
      <c r="K6973" s="9"/>
      <c r="L6973" s="9"/>
    </row>
    <row r="6974" s="105" customFormat="1" spans="9:12">
      <c r="I6974" s="225"/>
      <c r="K6974" s="9"/>
      <c r="L6974" s="9"/>
    </row>
    <row r="6975" s="105" customFormat="1" spans="9:12">
      <c r="I6975" s="225"/>
      <c r="K6975" s="9"/>
      <c r="L6975" s="9"/>
    </row>
    <row r="6976" s="105" customFormat="1" spans="9:12">
      <c r="I6976" s="225"/>
      <c r="K6976" s="9"/>
      <c r="L6976" s="9"/>
    </row>
    <row r="6977" s="105" customFormat="1" spans="9:12">
      <c r="I6977" s="225"/>
      <c r="K6977" s="9"/>
      <c r="L6977" s="9"/>
    </row>
    <row r="6978" s="105" customFormat="1" spans="9:12">
      <c r="I6978" s="225"/>
      <c r="K6978" s="9"/>
      <c r="L6978" s="9"/>
    </row>
    <row r="6979" s="105" customFormat="1" spans="9:12">
      <c r="I6979" s="225"/>
      <c r="K6979" s="9"/>
      <c r="L6979" s="9"/>
    </row>
    <row r="6980" s="105" customFormat="1" spans="9:12">
      <c r="I6980" s="225"/>
      <c r="K6980" s="9"/>
      <c r="L6980" s="9"/>
    </row>
    <row r="6981" s="105" customFormat="1" spans="9:12">
      <c r="I6981" s="225"/>
      <c r="K6981" s="9"/>
      <c r="L6981" s="9"/>
    </row>
    <row r="6982" s="105" customFormat="1" spans="9:12">
      <c r="I6982" s="225"/>
      <c r="K6982" s="9"/>
      <c r="L6982" s="9"/>
    </row>
    <row r="6983" s="105" customFormat="1" spans="9:12">
      <c r="I6983" s="225"/>
      <c r="K6983" s="9"/>
      <c r="L6983" s="9"/>
    </row>
    <row r="6984" s="105" customFormat="1" spans="9:12">
      <c r="I6984" s="225"/>
      <c r="K6984" s="9"/>
      <c r="L6984" s="9"/>
    </row>
    <row r="6985" s="105" customFormat="1" spans="9:12">
      <c r="I6985" s="225"/>
      <c r="K6985" s="9"/>
      <c r="L6985" s="9"/>
    </row>
    <row r="6986" s="105" customFormat="1" spans="9:12">
      <c r="I6986" s="225"/>
      <c r="K6986" s="9"/>
      <c r="L6986" s="9"/>
    </row>
    <row r="6987" s="105" customFormat="1" spans="9:12">
      <c r="I6987" s="225"/>
      <c r="K6987" s="9"/>
      <c r="L6987" s="9"/>
    </row>
    <row r="6988" s="105" customFormat="1" spans="9:12">
      <c r="I6988" s="225"/>
      <c r="K6988" s="9"/>
      <c r="L6988" s="9"/>
    </row>
    <row r="6989" s="105" customFormat="1" spans="9:12">
      <c r="I6989" s="225"/>
      <c r="K6989" s="9"/>
      <c r="L6989" s="9"/>
    </row>
    <row r="6990" s="105" customFormat="1" spans="9:12">
      <c r="I6990" s="225"/>
      <c r="K6990" s="9"/>
      <c r="L6990" s="9"/>
    </row>
    <row r="6991" s="105" customFormat="1" spans="9:12">
      <c r="I6991" s="225"/>
      <c r="K6991" s="9"/>
      <c r="L6991" s="9"/>
    </row>
    <row r="6992" s="105" customFormat="1" spans="9:12">
      <c r="I6992" s="225"/>
      <c r="K6992" s="9"/>
      <c r="L6992" s="9"/>
    </row>
    <row r="6993" s="105" customFormat="1" spans="9:12">
      <c r="I6993" s="225"/>
      <c r="K6993" s="9"/>
      <c r="L6993" s="9"/>
    </row>
    <row r="6994" s="105" customFormat="1" spans="9:12">
      <c r="I6994" s="225"/>
      <c r="K6994" s="9"/>
      <c r="L6994" s="9"/>
    </row>
    <row r="6995" s="105" customFormat="1" spans="9:12">
      <c r="I6995" s="225"/>
      <c r="K6995" s="9"/>
      <c r="L6995" s="9"/>
    </row>
    <row r="6996" s="105" customFormat="1" spans="9:12">
      <c r="I6996" s="225"/>
      <c r="K6996" s="9"/>
      <c r="L6996" s="9"/>
    </row>
    <row r="6997" s="105" customFormat="1" spans="9:12">
      <c r="I6997" s="225"/>
      <c r="K6997" s="9"/>
      <c r="L6997" s="9"/>
    </row>
    <row r="6998" s="105" customFormat="1" spans="9:12">
      <c r="I6998" s="225"/>
      <c r="K6998" s="9"/>
      <c r="L6998" s="9"/>
    </row>
    <row r="6999" s="105" customFormat="1" spans="9:12">
      <c r="I6999" s="225"/>
      <c r="K6999" s="9"/>
      <c r="L6999" s="9"/>
    </row>
    <row r="7000" s="105" customFormat="1" spans="9:12">
      <c r="I7000" s="225"/>
      <c r="K7000" s="9"/>
      <c r="L7000" s="9"/>
    </row>
    <row r="7001" s="105" customFormat="1" spans="9:12">
      <c r="I7001" s="225"/>
      <c r="K7001" s="9"/>
      <c r="L7001" s="9"/>
    </row>
    <row r="7002" s="105" customFormat="1" spans="9:12">
      <c r="I7002" s="225"/>
      <c r="K7002" s="9"/>
      <c r="L7002" s="9"/>
    </row>
    <row r="7003" s="105" customFormat="1" spans="9:12">
      <c r="I7003" s="225"/>
      <c r="K7003" s="9"/>
      <c r="L7003" s="9"/>
    </row>
    <row r="7004" s="105" customFormat="1" spans="9:12">
      <c r="I7004" s="225"/>
      <c r="K7004" s="9"/>
      <c r="L7004" s="9"/>
    </row>
    <row r="7005" s="105" customFormat="1" spans="9:12">
      <c r="I7005" s="225"/>
      <c r="K7005" s="9"/>
      <c r="L7005" s="9"/>
    </row>
    <row r="7006" s="105" customFormat="1" spans="9:12">
      <c r="I7006" s="225"/>
      <c r="K7006" s="9"/>
      <c r="L7006" s="9"/>
    </row>
    <row r="7007" s="105" customFormat="1" spans="9:12">
      <c r="I7007" s="225"/>
      <c r="K7007" s="9"/>
      <c r="L7007" s="9"/>
    </row>
    <row r="7008" s="105" customFormat="1" spans="9:12">
      <c r="I7008" s="225"/>
      <c r="K7008" s="9"/>
      <c r="L7008" s="9"/>
    </row>
    <row r="7009" s="105" customFormat="1" spans="9:12">
      <c r="I7009" s="225"/>
      <c r="K7009" s="9"/>
      <c r="L7009" s="9"/>
    </row>
    <row r="7010" s="105" customFormat="1" spans="9:12">
      <c r="I7010" s="225"/>
      <c r="K7010" s="9"/>
      <c r="L7010" s="9"/>
    </row>
    <row r="7011" s="105" customFormat="1" spans="9:12">
      <c r="I7011" s="225"/>
      <c r="K7011" s="9"/>
      <c r="L7011" s="9"/>
    </row>
    <row r="7012" s="105" customFormat="1" spans="9:12">
      <c r="I7012" s="225"/>
      <c r="K7012" s="9"/>
      <c r="L7012" s="9"/>
    </row>
    <row r="7013" s="105" customFormat="1" spans="9:12">
      <c r="I7013" s="225"/>
      <c r="K7013" s="9"/>
      <c r="L7013" s="9"/>
    </row>
    <row r="7014" s="105" customFormat="1" spans="9:12">
      <c r="I7014" s="225"/>
      <c r="K7014" s="9"/>
      <c r="L7014" s="9"/>
    </row>
    <row r="7015" s="105" customFormat="1" spans="9:12">
      <c r="I7015" s="225"/>
      <c r="K7015" s="9"/>
      <c r="L7015" s="9"/>
    </row>
    <row r="7016" s="105" customFormat="1" spans="9:12">
      <c r="I7016" s="225"/>
      <c r="K7016" s="9"/>
      <c r="L7016" s="9"/>
    </row>
    <row r="7017" s="105" customFormat="1" spans="9:12">
      <c r="I7017" s="225"/>
      <c r="K7017" s="9"/>
      <c r="L7017" s="9"/>
    </row>
    <row r="7018" s="105" customFormat="1" spans="9:12">
      <c r="I7018" s="225"/>
      <c r="K7018" s="9"/>
      <c r="L7018" s="9"/>
    </row>
    <row r="7019" s="105" customFormat="1" spans="9:12">
      <c r="I7019" s="225"/>
      <c r="K7019" s="9"/>
      <c r="L7019" s="9"/>
    </row>
    <row r="7020" s="105" customFormat="1" spans="9:12">
      <c r="I7020" s="225"/>
      <c r="K7020" s="9"/>
      <c r="L7020" s="9"/>
    </row>
    <row r="7021" s="105" customFormat="1" spans="9:12">
      <c r="I7021" s="225"/>
      <c r="K7021" s="9"/>
      <c r="L7021" s="9"/>
    </row>
    <row r="7022" s="105" customFormat="1" spans="9:12">
      <c r="I7022" s="225"/>
      <c r="K7022" s="9"/>
      <c r="L7022" s="9"/>
    </row>
    <row r="7023" s="105" customFormat="1" spans="9:12">
      <c r="I7023" s="225"/>
      <c r="K7023" s="9"/>
      <c r="L7023" s="9"/>
    </row>
    <row r="7024" s="105" customFormat="1" spans="9:12">
      <c r="I7024" s="225"/>
      <c r="K7024" s="9"/>
      <c r="L7024" s="9"/>
    </row>
    <row r="7025" s="105" customFormat="1" spans="9:12">
      <c r="I7025" s="225"/>
      <c r="K7025" s="9"/>
      <c r="L7025" s="9"/>
    </row>
    <row r="7026" s="105" customFormat="1" spans="9:12">
      <c r="I7026" s="225"/>
      <c r="K7026" s="9"/>
      <c r="L7026" s="9"/>
    </row>
    <row r="7027" s="105" customFormat="1" spans="9:12">
      <c r="I7027" s="225"/>
      <c r="K7027" s="9"/>
      <c r="L7027" s="9"/>
    </row>
    <row r="7028" s="105" customFormat="1" spans="9:12">
      <c r="I7028" s="225"/>
      <c r="K7028" s="9"/>
      <c r="L7028" s="9"/>
    </row>
    <row r="7029" s="105" customFormat="1" spans="9:12">
      <c r="I7029" s="225"/>
      <c r="K7029" s="9"/>
      <c r="L7029" s="9"/>
    </row>
    <row r="7030" s="105" customFormat="1" spans="9:12">
      <c r="I7030" s="225"/>
      <c r="K7030" s="9"/>
      <c r="L7030" s="9"/>
    </row>
    <row r="7031" s="105" customFormat="1" spans="9:12">
      <c r="I7031" s="225"/>
      <c r="K7031" s="9"/>
      <c r="L7031" s="9"/>
    </row>
    <row r="7032" s="105" customFormat="1" spans="9:12">
      <c r="I7032" s="225"/>
      <c r="K7032" s="9"/>
      <c r="L7032" s="9"/>
    </row>
    <row r="7033" s="105" customFormat="1" spans="9:12">
      <c r="I7033" s="225"/>
      <c r="K7033" s="9"/>
      <c r="L7033" s="9"/>
    </row>
    <row r="7034" s="105" customFormat="1" spans="9:12">
      <c r="I7034" s="225"/>
      <c r="K7034" s="9"/>
      <c r="L7034" s="9"/>
    </row>
    <row r="7035" s="105" customFormat="1" spans="9:12">
      <c r="I7035" s="225"/>
      <c r="K7035" s="9"/>
      <c r="L7035" s="9"/>
    </row>
    <row r="7036" s="105" customFormat="1" spans="9:12">
      <c r="I7036" s="225"/>
      <c r="K7036" s="9"/>
      <c r="L7036" s="9"/>
    </row>
    <row r="7037" s="105" customFormat="1" spans="9:12">
      <c r="I7037" s="225"/>
      <c r="K7037" s="9"/>
      <c r="L7037" s="9"/>
    </row>
    <row r="7038" s="105" customFormat="1" spans="9:12">
      <c r="I7038" s="225"/>
      <c r="K7038" s="9"/>
      <c r="L7038" s="9"/>
    </row>
    <row r="7039" s="105" customFormat="1" spans="9:12">
      <c r="I7039" s="225"/>
      <c r="K7039" s="9"/>
      <c r="L7039" s="9"/>
    </row>
    <row r="7040" s="105" customFormat="1" spans="9:12">
      <c r="I7040" s="225"/>
      <c r="K7040" s="9"/>
      <c r="L7040" s="9"/>
    </row>
    <row r="7041" s="105" customFormat="1" spans="9:12">
      <c r="I7041" s="225"/>
      <c r="K7041" s="9"/>
      <c r="L7041" s="9"/>
    </row>
    <row r="7042" s="105" customFormat="1" spans="9:12">
      <c r="I7042" s="225"/>
      <c r="K7042" s="9"/>
      <c r="L7042" s="9"/>
    </row>
    <row r="7043" s="105" customFormat="1" spans="9:12">
      <c r="I7043" s="225"/>
      <c r="K7043" s="9"/>
      <c r="L7043" s="9"/>
    </row>
    <row r="7044" s="105" customFormat="1" spans="9:12">
      <c r="I7044" s="225"/>
      <c r="K7044" s="9"/>
      <c r="L7044" s="9"/>
    </row>
    <row r="7045" s="105" customFormat="1" spans="9:12">
      <c r="I7045" s="225"/>
      <c r="K7045" s="9"/>
      <c r="L7045" s="9"/>
    </row>
    <row r="7046" s="105" customFormat="1" spans="9:12">
      <c r="I7046" s="225"/>
      <c r="K7046" s="9"/>
      <c r="L7046" s="9"/>
    </row>
    <row r="7047" s="105" customFormat="1" spans="9:12">
      <c r="I7047" s="225"/>
      <c r="K7047" s="9"/>
      <c r="L7047" s="9"/>
    </row>
    <row r="7048" s="105" customFormat="1" spans="9:12">
      <c r="I7048" s="225"/>
      <c r="K7048" s="9"/>
      <c r="L7048" s="9"/>
    </row>
    <row r="7049" s="105" customFormat="1" spans="9:12">
      <c r="I7049" s="225"/>
      <c r="K7049" s="9"/>
      <c r="L7049" s="9"/>
    </row>
    <row r="7050" s="105" customFormat="1" spans="9:12">
      <c r="I7050" s="225"/>
      <c r="K7050" s="9"/>
      <c r="L7050" s="9"/>
    </row>
    <row r="7051" s="105" customFormat="1" spans="9:12">
      <c r="I7051" s="225"/>
      <c r="K7051" s="9"/>
      <c r="L7051" s="9"/>
    </row>
    <row r="7052" s="105" customFormat="1" spans="9:12">
      <c r="I7052" s="225"/>
      <c r="K7052" s="9"/>
      <c r="L7052" s="9"/>
    </row>
    <row r="7053" s="105" customFormat="1" spans="9:12">
      <c r="I7053" s="225"/>
      <c r="K7053" s="9"/>
      <c r="L7053" s="9"/>
    </row>
    <row r="7054" s="105" customFormat="1" spans="9:12">
      <c r="I7054" s="225"/>
      <c r="K7054" s="9"/>
      <c r="L7054" s="9"/>
    </row>
    <row r="7055" s="105" customFormat="1" spans="9:12">
      <c r="I7055" s="225"/>
      <c r="K7055" s="9"/>
      <c r="L7055" s="9"/>
    </row>
    <row r="7056" s="105" customFormat="1" spans="9:12">
      <c r="I7056" s="225"/>
      <c r="K7056" s="9"/>
      <c r="L7056" s="9"/>
    </row>
    <row r="7057" s="105" customFormat="1" spans="9:12">
      <c r="I7057" s="225"/>
      <c r="K7057" s="9"/>
      <c r="L7057" s="9"/>
    </row>
    <row r="7058" s="105" customFormat="1" spans="9:12">
      <c r="I7058" s="225"/>
      <c r="K7058" s="9"/>
      <c r="L7058" s="9"/>
    </row>
    <row r="7059" s="105" customFormat="1" spans="9:12">
      <c r="I7059" s="225"/>
      <c r="K7059" s="9"/>
      <c r="L7059" s="9"/>
    </row>
    <row r="7060" s="105" customFormat="1" spans="9:12">
      <c r="I7060" s="225"/>
      <c r="K7060" s="9"/>
      <c r="L7060" s="9"/>
    </row>
    <row r="7061" s="105" customFormat="1" spans="9:12">
      <c r="I7061" s="225"/>
      <c r="K7061" s="9"/>
      <c r="L7061" s="9"/>
    </row>
    <row r="7062" s="105" customFormat="1" spans="9:12">
      <c r="I7062" s="225"/>
      <c r="K7062" s="9"/>
      <c r="L7062" s="9"/>
    </row>
    <row r="7063" s="105" customFormat="1" spans="9:12">
      <c r="I7063" s="225"/>
      <c r="K7063" s="9"/>
      <c r="L7063" s="9"/>
    </row>
    <row r="7064" s="105" customFormat="1" spans="9:12">
      <c r="I7064" s="225"/>
      <c r="K7064" s="9"/>
      <c r="L7064" s="9"/>
    </row>
    <row r="7065" s="105" customFormat="1" spans="9:12">
      <c r="I7065" s="225"/>
      <c r="K7065" s="9"/>
      <c r="L7065" s="9"/>
    </row>
    <row r="7066" s="105" customFormat="1" spans="9:12">
      <c r="I7066" s="225"/>
      <c r="K7066" s="9"/>
      <c r="L7066" s="9"/>
    </row>
    <row r="7067" s="105" customFormat="1" spans="9:12">
      <c r="I7067" s="225"/>
      <c r="K7067" s="9"/>
      <c r="L7067" s="9"/>
    </row>
    <row r="7068" s="105" customFormat="1" spans="9:12">
      <c r="I7068" s="225"/>
      <c r="K7068" s="9"/>
      <c r="L7068" s="9"/>
    </row>
    <row r="7069" s="105" customFormat="1" spans="9:12">
      <c r="I7069" s="225"/>
      <c r="K7069" s="9"/>
      <c r="L7069" s="9"/>
    </row>
    <row r="7070" s="105" customFormat="1" spans="9:12">
      <c r="I7070" s="225"/>
      <c r="K7070" s="9"/>
      <c r="L7070" s="9"/>
    </row>
    <row r="7071" s="105" customFormat="1" spans="9:12">
      <c r="I7071" s="225"/>
      <c r="K7071" s="9"/>
      <c r="L7071" s="9"/>
    </row>
    <row r="7072" s="105" customFormat="1" spans="9:12">
      <c r="I7072" s="225"/>
      <c r="K7072" s="9"/>
      <c r="L7072" s="9"/>
    </row>
    <row r="7073" s="105" customFormat="1" spans="9:12">
      <c r="I7073" s="225"/>
      <c r="K7073" s="9"/>
      <c r="L7073" s="9"/>
    </row>
    <row r="7074" s="105" customFormat="1" spans="9:12">
      <c r="I7074" s="225"/>
      <c r="K7074" s="9"/>
      <c r="L7074" s="9"/>
    </row>
    <row r="7075" s="105" customFormat="1" spans="9:12">
      <c r="I7075" s="225"/>
      <c r="K7075" s="9"/>
      <c r="L7075" s="9"/>
    </row>
    <row r="7076" s="105" customFormat="1" spans="9:12">
      <c r="I7076" s="225"/>
      <c r="K7076" s="9"/>
      <c r="L7076" s="9"/>
    </row>
    <row r="7077" s="105" customFormat="1" spans="9:12">
      <c r="I7077" s="225"/>
      <c r="K7077" s="9"/>
      <c r="L7077" s="9"/>
    </row>
    <row r="7078" s="105" customFormat="1" spans="9:12">
      <c r="I7078" s="225"/>
      <c r="K7078" s="9"/>
      <c r="L7078" s="9"/>
    </row>
    <row r="7079" s="105" customFormat="1" spans="9:12">
      <c r="I7079" s="225"/>
      <c r="K7079" s="9"/>
      <c r="L7079" s="9"/>
    </row>
    <row r="7080" s="105" customFormat="1" spans="9:12">
      <c r="I7080" s="225"/>
      <c r="K7080" s="9"/>
      <c r="L7080" s="9"/>
    </row>
    <row r="7081" s="105" customFormat="1" spans="9:12">
      <c r="I7081" s="225"/>
      <c r="K7081" s="9"/>
      <c r="L7081" s="9"/>
    </row>
    <row r="7082" s="105" customFormat="1" spans="9:12">
      <c r="I7082" s="225"/>
      <c r="K7082" s="9"/>
      <c r="L7082" s="9"/>
    </row>
    <row r="7083" s="105" customFormat="1" spans="9:12">
      <c r="I7083" s="225"/>
      <c r="K7083" s="9"/>
      <c r="L7083" s="9"/>
    </row>
    <row r="7084" s="105" customFormat="1" spans="9:12">
      <c r="I7084" s="225"/>
      <c r="K7084" s="9"/>
      <c r="L7084" s="9"/>
    </row>
    <row r="7085" s="105" customFormat="1" spans="9:12">
      <c r="I7085" s="225"/>
      <c r="K7085" s="9"/>
      <c r="L7085" s="9"/>
    </row>
    <row r="7086" s="105" customFormat="1" spans="9:12">
      <c r="I7086" s="225"/>
      <c r="K7086" s="9"/>
      <c r="L7086" s="9"/>
    </row>
    <row r="7087" s="105" customFormat="1" spans="9:12">
      <c r="I7087" s="225"/>
      <c r="K7087" s="9"/>
      <c r="L7087" s="9"/>
    </row>
    <row r="7088" s="105" customFormat="1" spans="9:12">
      <c r="I7088" s="225"/>
      <c r="K7088" s="9"/>
      <c r="L7088" s="9"/>
    </row>
    <row r="7089" s="105" customFormat="1" spans="9:12">
      <c r="I7089" s="225"/>
      <c r="K7089" s="9"/>
      <c r="L7089" s="9"/>
    </row>
    <row r="7090" s="105" customFormat="1" spans="9:12">
      <c r="I7090" s="225"/>
      <c r="K7090" s="9"/>
      <c r="L7090" s="9"/>
    </row>
    <row r="7091" s="105" customFormat="1" spans="9:12">
      <c r="I7091" s="225"/>
      <c r="K7091" s="9"/>
      <c r="L7091" s="9"/>
    </row>
    <row r="7092" s="105" customFormat="1" spans="9:12">
      <c r="I7092" s="225"/>
      <c r="K7092" s="9"/>
      <c r="L7092" s="9"/>
    </row>
    <row r="7093" s="105" customFormat="1" spans="9:12">
      <c r="I7093" s="225"/>
      <c r="K7093" s="9"/>
      <c r="L7093" s="9"/>
    </row>
    <row r="7094" s="105" customFormat="1" spans="9:12">
      <c r="I7094" s="225"/>
      <c r="K7094" s="9"/>
      <c r="L7094" s="9"/>
    </row>
    <row r="7095" s="105" customFormat="1" spans="9:12">
      <c r="I7095" s="225"/>
      <c r="K7095" s="9"/>
      <c r="L7095" s="9"/>
    </row>
    <row r="7096" s="105" customFormat="1" spans="9:12">
      <c r="I7096" s="225"/>
      <c r="K7096" s="9"/>
      <c r="L7096" s="9"/>
    </row>
    <row r="7097" s="105" customFormat="1" spans="9:12">
      <c r="I7097" s="225"/>
      <c r="K7097" s="9"/>
      <c r="L7097" s="9"/>
    </row>
    <row r="7098" s="105" customFormat="1" spans="9:12">
      <c r="I7098" s="225"/>
      <c r="K7098" s="9"/>
      <c r="L7098" s="9"/>
    </row>
    <row r="7099" s="105" customFormat="1" spans="9:12">
      <c r="I7099" s="225"/>
      <c r="K7099" s="9"/>
      <c r="L7099" s="9"/>
    </row>
    <row r="7100" s="105" customFormat="1" spans="9:12">
      <c r="I7100" s="225"/>
      <c r="K7100" s="9"/>
      <c r="L7100" s="9"/>
    </row>
    <row r="7101" s="105" customFormat="1" spans="9:12">
      <c r="I7101" s="225"/>
      <c r="K7101" s="9"/>
      <c r="L7101" s="9"/>
    </row>
    <row r="7102" s="105" customFormat="1" spans="9:12">
      <c r="I7102" s="225"/>
      <c r="K7102" s="9"/>
      <c r="L7102" s="9"/>
    </row>
    <row r="7103" s="105" customFormat="1" spans="9:12">
      <c r="I7103" s="225"/>
      <c r="K7103" s="9"/>
      <c r="L7103" s="9"/>
    </row>
    <row r="7104" s="105" customFormat="1" spans="9:12">
      <c r="I7104" s="225"/>
      <c r="K7104" s="9"/>
      <c r="L7104" s="9"/>
    </row>
    <row r="7105" s="105" customFormat="1" spans="9:12">
      <c r="I7105" s="225"/>
      <c r="K7105" s="9"/>
      <c r="L7105" s="9"/>
    </row>
    <row r="7106" s="105" customFormat="1" spans="9:12">
      <c r="I7106" s="225"/>
      <c r="K7106" s="9"/>
      <c r="L7106" s="9"/>
    </row>
    <row r="7107" s="105" customFormat="1" spans="9:12">
      <c r="I7107" s="225"/>
      <c r="K7107" s="9"/>
      <c r="L7107" s="9"/>
    </row>
    <row r="7108" s="105" customFormat="1" spans="9:12">
      <c r="I7108" s="225"/>
      <c r="K7108" s="9"/>
      <c r="L7108" s="9"/>
    </row>
    <row r="7109" s="105" customFormat="1" spans="9:12">
      <c r="I7109" s="225"/>
      <c r="K7109" s="9"/>
      <c r="L7109" s="9"/>
    </row>
    <row r="7110" s="105" customFormat="1" spans="9:12">
      <c r="I7110" s="225"/>
      <c r="K7110" s="9"/>
      <c r="L7110" s="9"/>
    </row>
    <row r="7111" s="105" customFormat="1" spans="9:12">
      <c r="I7111" s="225"/>
      <c r="K7111" s="9"/>
      <c r="L7111" s="9"/>
    </row>
    <row r="7112" s="105" customFormat="1" spans="9:12">
      <c r="I7112" s="225"/>
      <c r="K7112" s="9"/>
      <c r="L7112" s="9"/>
    </row>
    <row r="7113" s="105" customFormat="1" spans="9:12">
      <c r="I7113" s="225"/>
      <c r="K7113" s="9"/>
      <c r="L7113" s="9"/>
    </row>
    <row r="7114" s="105" customFormat="1" spans="9:12">
      <c r="I7114" s="225"/>
      <c r="K7114" s="9"/>
      <c r="L7114" s="9"/>
    </row>
    <row r="7115" s="105" customFormat="1" spans="9:12">
      <c r="I7115" s="225"/>
      <c r="K7115" s="9"/>
      <c r="L7115" s="9"/>
    </row>
    <row r="7116" s="105" customFormat="1" spans="9:12">
      <c r="I7116" s="225"/>
      <c r="K7116" s="9"/>
      <c r="L7116" s="9"/>
    </row>
    <row r="7117" s="105" customFormat="1" spans="9:12">
      <c r="I7117" s="225"/>
      <c r="K7117" s="9"/>
      <c r="L7117" s="9"/>
    </row>
    <row r="7118" s="105" customFormat="1" spans="9:12">
      <c r="I7118" s="225"/>
      <c r="K7118" s="9"/>
      <c r="L7118" s="9"/>
    </row>
    <row r="7119" s="105" customFormat="1" spans="9:12">
      <c r="I7119" s="225"/>
      <c r="K7119" s="9"/>
      <c r="L7119" s="9"/>
    </row>
    <row r="7120" s="105" customFormat="1" spans="9:12">
      <c r="I7120" s="225"/>
      <c r="K7120" s="9"/>
      <c r="L7120" s="9"/>
    </row>
    <row r="7121" s="105" customFormat="1" spans="9:12">
      <c r="I7121" s="225"/>
      <c r="K7121" s="9"/>
      <c r="L7121" s="9"/>
    </row>
    <row r="7122" s="105" customFormat="1" spans="9:12">
      <c r="I7122" s="225"/>
      <c r="K7122" s="9"/>
      <c r="L7122" s="9"/>
    </row>
    <row r="7123" s="105" customFormat="1" spans="9:12">
      <c r="I7123" s="225"/>
      <c r="K7123" s="9"/>
      <c r="L7123" s="9"/>
    </row>
    <row r="7124" s="105" customFormat="1" spans="9:12">
      <c r="I7124" s="225"/>
      <c r="K7124" s="9"/>
      <c r="L7124" s="9"/>
    </row>
    <row r="7125" s="105" customFormat="1" spans="9:12">
      <c r="I7125" s="225"/>
      <c r="K7125" s="9"/>
      <c r="L7125" s="9"/>
    </row>
    <row r="7126" s="105" customFormat="1" spans="9:12">
      <c r="I7126" s="225"/>
      <c r="K7126" s="9"/>
      <c r="L7126" s="9"/>
    </row>
    <row r="7127" s="105" customFormat="1" spans="9:12">
      <c r="I7127" s="225"/>
      <c r="K7127" s="9"/>
      <c r="L7127" s="9"/>
    </row>
    <row r="7128" s="105" customFormat="1" spans="9:12">
      <c r="I7128" s="225"/>
      <c r="K7128" s="9"/>
      <c r="L7128" s="9"/>
    </row>
    <row r="7129" s="105" customFormat="1" spans="9:12">
      <c r="I7129" s="225"/>
      <c r="K7129" s="9"/>
      <c r="L7129" s="9"/>
    </row>
    <row r="7130" s="105" customFormat="1" spans="9:12">
      <c r="I7130" s="225"/>
      <c r="K7130" s="9"/>
      <c r="L7130" s="9"/>
    </row>
    <row r="7131" s="105" customFormat="1" spans="9:12">
      <c r="I7131" s="225"/>
      <c r="K7131" s="9"/>
      <c r="L7131" s="9"/>
    </row>
    <row r="7132" s="105" customFormat="1" spans="9:12">
      <c r="I7132" s="225"/>
      <c r="K7132" s="9"/>
      <c r="L7132" s="9"/>
    </row>
    <row r="7133" s="105" customFormat="1" spans="9:12">
      <c r="I7133" s="225"/>
      <c r="K7133" s="9"/>
      <c r="L7133" s="9"/>
    </row>
    <row r="7134" s="105" customFormat="1" spans="9:12">
      <c r="I7134" s="225"/>
      <c r="K7134" s="9"/>
      <c r="L7134" s="9"/>
    </row>
    <row r="7135" s="105" customFormat="1" spans="9:12">
      <c r="I7135" s="225"/>
      <c r="K7135" s="9"/>
      <c r="L7135" s="9"/>
    </row>
    <row r="7136" s="105" customFormat="1" spans="9:12">
      <c r="I7136" s="225"/>
      <c r="K7136" s="9"/>
      <c r="L7136" s="9"/>
    </row>
    <row r="7137" s="105" customFormat="1" spans="9:12">
      <c r="I7137" s="225"/>
      <c r="K7137" s="9"/>
      <c r="L7137" s="9"/>
    </row>
    <row r="7138" s="105" customFormat="1" spans="9:12">
      <c r="I7138" s="225"/>
      <c r="K7138" s="9"/>
      <c r="L7138" s="9"/>
    </row>
    <row r="7139" s="105" customFormat="1" spans="9:12">
      <c r="I7139" s="225"/>
      <c r="K7139" s="9"/>
      <c r="L7139" s="9"/>
    </row>
    <row r="7140" s="105" customFormat="1" spans="9:12">
      <c r="I7140" s="225"/>
      <c r="K7140" s="9"/>
      <c r="L7140" s="9"/>
    </row>
    <row r="7141" s="105" customFormat="1" spans="9:12">
      <c r="I7141" s="225"/>
      <c r="K7141" s="9"/>
      <c r="L7141" s="9"/>
    </row>
    <row r="7142" s="105" customFormat="1" spans="9:12">
      <c r="I7142" s="225"/>
      <c r="K7142" s="9"/>
      <c r="L7142" s="9"/>
    </row>
    <row r="7143" s="105" customFormat="1" spans="9:12">
      <c r="I7143" s="225"/>
      <c r="K7143" s="9"/>
      <c r="L7143" s="9"/>
    </row>
    <row r="7144" s="105" customFormat="1" spans="9:12">
      <c r="I7144" s="225"/>
      <c r="K7144" s="9"/>
      <c r="L7144" s="9"/>
    </row>
    <row r="7145" s="105" customFormat="1" spans="9:12">
      <c r="I7145" s="225"/>
      <c r="K7145" s="9"/>
      <c r="L7145" s="9"/>
    </row>
    <row r="7146" s="105" customFormat="1" spans="9:12">
      <c r="I7146" s="225"/>
      <c r="K7146" s="9"/>
      <c r="L7146" s="9"/>
    </row>
    <row r="7147" s="105" customFormat="1" spans="9:12">
      <c r="I7147" s="225"/>
      <c r="K7147" s="9"/>
      <c r="L7147" s="9"/>
    </row>
    <row r="7148" s="105" customFormat="1" spans="9:12">
      <c r="I7148" s="225"/>
      <c r="K7148" s="9"/>
      <c r="L7148" s="9"/>
    </row>
    <row r="7149" s="105" customFormat="1" spans="9:12">
      <c r="I7149" s="225"/>
      <c r="K7149" s="9"/>
      <c r="L7149" s="9"/>
    </row>
    <row r="7150" s="105" customFormat="1" spans="9:12">
      <c r="I7150" s="225"/>
      <c r="K7150" s="9"/>
      <c r="L7150" s="9"/>
    </row>
    <row r="7151" s="105" customFormat="1" spans="9:12">
      <c r="I7151" s="225"/>
      <c r="K7151" s="9"/>
      <c r="L7151" s="9"/>
    </row>
    <row r="7152" s="105" customFormat="1" spans="9:12">
      <c r="I7152" s="225"/>
      <c r="K7152" s="9"/>
      <c r="L7152" s="9"/>
    </row>
    <row r="7153" s="105" customFormat="1" spans="9:12">
      <c r="I7153" s="225"/>
      <c r="K7153" s="9"/>
      <c r="L7153" s="9"/>
    </row>
    <row r="7154" s="105" customFormat="1" spans="9:12">
      <c r="I7154" s="225"/>
      <c r="K7154" s="9"/>
      <c r="L7154" s="9"/>
    </row>
    <row r="7155" s="105" customFormat="1" spans="9:12">
      <c r="I7155" s="225"/>
      <c r="K7155" s="9"/>
      <c r="L7155" s="9"/>
    </row>
    <row r="7156" s="105" customFormat="1" spans="9:12">
      <c r="I7156" s="225"/>
      <c r="K7156" s="9"/>
      <c r="L7156" s="9"/>
    </row>
    <row r="7157" s="105" customFormat="1" spans="9:12">
      <c r="I7157" s="225"/>
      <c r="K7157" s="9"/>
      <c r="L7157" s="9"/>
    </row>
    <row r="7158" s="105" customFormat="1" spans="9:12">
      <c r="I7158" s="225"/>
      <c r="K7158" s="9"/>
      <c r="L7158" s="9"/>
    </row>
    <row r="7159" s="105" customFormat="1" spans="9:12">
      <c r="I7159" s="225"/>
      <c r="K7159" s="9"/>
      <c r="L7159" s="9"/>
    </row>
    <row r="7160" s="105" customFormat="1" spans="9:12">
      <c r="I7160" s="225"/>
      <c r="K7160" s="9"/>
      <c r="L7160" s="9"/>
    </row>
    <row r="7161" s="105" customFormat="1" spans="9:12">
      <c r="I7161" s="225"/>
      <c r="K7161" s="9"/>
      <c r="L7161" s="9"/>
    </row>
    <row r="7162" s="105" customFormat="1" spans="9:12">
      <c r="I7162" s="225"/>
      <c r="K7162" s="9"/>
      <c r="L7162" s="9"/>
    </row>
    <row r="7163" s="105" customFormat="1" spans="9:12">
      <c r="I7163" s="225"/>
      <c r="K7163" s="9"/>
      <c r="L7163" s="9"/>
    </row>
    <row r="7164" s="105" customFormat="1" spans="9:12">
      <c r="I7164" s="225"/>
      <c r="K7164" s="9"/>
      <c r="L7164" s="9"/>
    </row>
    <row r="7165" s="105" customFormat="1" spans="9:12">
      <c r="I7165" s="225"/>
      <c r="K7165" s="9"/>
      <c r="L7165" s="9"/>
    </row>
    <row r="7166" s="105" customFormat="1" spans="9:12">
      <c r="I7166" s="225"/>
      <c r="K7166" s="9"/>
      <c r="L7166" s="9"/>
    </row>
    <row r="7167" s="105" customFormat="1" spans="9:12">
      <c r="I7167" s="225"/>
      <c r="K7167" s="9"/>
      <c r="L7167" s="9"/>
    </row>
    <row r="7168" s="105" customFormat="1" spans="9:12">
      <c r="I7168" s="225"/>
      <c r="K7168" s="9"/>
      <c r="L7168" s="9"/>
    </row>
    <row r="7169" s="105" customFormat="1" spans="9:12">
      <c r="I7169" s="225"/>
      <c r="K7169" s="9"/>
      <c r="L7169" s="9"/>
    </row>
    <row r="7170" s="105" customFormat="1" spans="9:12">
      <c r="I7170" s="225"/>
      <c r="K7170" s="9"/>
      <c r="L7170" s="9"/>
    </row>
    <row r="7171" s="105" customFormat="1" spans="9:12">
      <c r="I7171" s="225"/>
      <c r="K7171" s="9"/>
      <c r="L7171" s="9"/>
    </row>
    <row r="7172" s="105" customFormat="1" spans="9:12">
      <c r="I7172" s="225"/>
      <c r="K7172" s="9"/>
      <c r="L7172" s="9"/>
    </row>
    <row r="7173" s="105" customFormat="1" spans="9:12">
      <c r="I7173" s="225"/>
      <c r="K7173" s="9"/>
      <c r="L7173" s="9"/>
    </row>
    <row r="7174" s="105" customFormat="1" spans="9:12">
      <c r="I7174" s="225"/>
      <c r="K7174" s="9"/>
      <c r="L7174" s="9"/>
    </row>
    <row r="7175" s="105" customFormat="1" spans="9:12">
      <c r="I7175" s="225"/>
      <c r="K7175" s="9"/>
      <c r="L7175" s="9"/>
    </row>
    <row r="7176" s="105" customFormat="1" spans="9:12">
      <c r="I7176" s="225"/>
      <c r="K7176" s="9"/>
      <c r="L7176" s="9"/>
    </row>
    <row r="7177" s="105" customFormat="1" spans="9:12">
      <c r="I7177" s="225"/>
      <c r="K7177" s="9"/>
      <c r="L7177" s="9"/>
    </row>
    <row r="7178" s="105" customFormat="1" spans="9:12">
      <c r="I7178" s="225"/>
      <c r="K7178" s="9"/>
      <c r="L7178" s="9"/>
    </row>
    <row r="7179" s="105" customFormat="1" spans="9:12">
      <c r="I7179" s="225"/>
      <c r="K7179" s="9"/>
      <c r="L7179" s="9"/>
    </row>
    <row r="7180" s="105" customFormat="1" spans="9:12">
      <c r="I7180" s="225"/>
      <c r="K7180" s="9"/>
      <c r="L7180" s="9"/>
    </row>
    <row r="7181" s="105" customFormat="1" spans="9:12">
      <c r="I7181" s="225"/>
      <c r="K7181" s="9"/>
      <c r="L7181" s="9"/>
    </row>
    <row r="7182" s="105" customFormat="1" spans="9:12">
      <c r="I7182" s="225"/>
      <c r="K7182" s="9"/>
      <c r="L7182" s="9"/>
    </row>
    <row r="7183" s="105" customFormat="1" spans="9:12">
      <c r="I7183" s="225"/>
      <c r="K7183" s="9"/>
      <c r="L7183" s="9"/>
    </row>
    <row r="7184" s="105" customFormat="1" spans="9:12">
      <c r="I7184" s="225"/>
      <c r="K7184" s="9"/>
      <c r="L7184" s="9"/>
    </row>
    <row r="7185" s="105" customFormat="1" spans="9:12">
      <c r="I7185" s="225"/>
      <c r="K7185" s="9"/>
      <c r="L7185" s="9"/>
    </row>
    <row r="7186" s="105" customFormat="1" spans="9:12">
      <c r="I7186" s="225"/>
      <c r="K7186" s="9"/>
      <c r="L7186" s="9"/>
    </row>
    <row r="7187" s="105" customFormat="1" spans="9:12">
      <c r="I7187" s="225"/>
      <c r="K7187" s="9"/>
      <c r="L7187" s="9"/>
    </row>
    <row r="7188" s="105" customFormat="1" spans="9:12">
      <c r="I7188" s="225"/>
      <c r="K7188" s="9"/>
      <c r="L7188" s="9"/>
    </row>
    <row r="7189" s="105" customFormat="1" spans="9:12">
      <c r="I7189" s="225"/>
      <c r="K7189" s="9"/>
      <c r="L7189" s="9"/>
    </row>
    <row r="7190" s="105" customFormat="1" spans="9:12">
      <c r="I7190" s="225"/>
      <c r="K7190" s="9"/>
      <c r="L7190" s="9"/>
    </row>
    <row r="7191" s="105" customFormat="1" spans="9:12">
      <c r="I7191" s="225"/>
      <c r="K7191" s="9"/>
      <c r="L7191" s="9"/>
    </row>
    <row r="7192" s="105" customFormat="1" spans="9:12">
      <c r="I7192" s="225"/>
      <c r="K7192" s="9"/>
      <c r="L7192" s="9"/>
    </row>
    <row r="7193" s="105" customFormat="1" spans="9:12">
      <c r="I7193" s="225"/>
      <c r="K7193" s="9"/>
      <c r="L7193" s="9"/>
    </row>
    <row r="7194" s="105" customFormat="1" spans="9:12">
      <c r="I7194" s="225"/>
      <c r="K7194" s="9"/>
      <c r="L7194" s="9"/>
    </row>
    <row r="7195" s="105" customFormat="1" spans="9:12">
      <c r="I7195" s="225"/>
      <c r="K7195" s="9"/>
      <c r="L7195" s="9"/>
    </row>
    <row r="7196" s="105" customFormat="1" spans="9:12">
      <c r="I7196" s="225"/>
      <c r="K7196" s="9"/>
      <c r="L7196" s="9"/>
    </row>
    <row r="7197" s="105" customFormat="1" spans="9:12">
      <c r="I7197" s="225"/>
      <c r="K7197" s="9"/>
      <c r="L7197" s="9"/>
    </row>
    <row r="7198" s="105" customFormat="1" spans="9:12">
      <c r="I7198" s="225"/>
      <c r="K7198" s="9"/>
      <c r="L7198" s="9"/>
    </row>
    <row r="7199" s="105" customFormat="1" spans="9:12">
      <c r="I7199" s="225"/>
      <c r="K7199" s="9"/>
      <c r="L7199" s="9"/>
    </row>
    <row r="7200" s="105" customFormat="1" spans="9:12">
      <c r="I7200" s="225"/>
      <c r="K7200" s="9"/>
      <c r="L7200" s="9"/>
    </row>
    <row r="7201" s="105" customFormat="1" spans="9:12">
      <c r="I7201" s="225"/>
      <c r="K7201" s="9"/>
      <c r="L7201" s="9"/>
    </row>
    <row r="7202" s="105" customFormat="1" spans="9:12">
      <c r="I7202" s="225"/>
      <c r="K7202" s="9"/>
      <c r="L7202" s="9"/>
    </row>
    <row r="7203" s="105" customFormat="1" spans="9:12">
      <c r="I7203" s="225"/>
      <c r="K7203" s="9"/>
      <c r="L7203" s="9"/>
    </row>
    <row r="7204" s="105" customFormat="1" spans="9:12">
      <c r="I7204" s="225"/>
      <c r="K7204" s="9"/>
      <c r="L7204" s="9"/>
    </row>
    <row r="7205" s="105" customFormat="1" spans="9:12">
      <c r="I7205" s="225"/>
      <c r="K7205" s="9"/>
      <c r="L7205" s="9"/>
    </row>
    <row r="7206" s="105" customFormat="1" spans="9:12">
      <c r="I7206" s="225"/>
      <c r="K7206" s="9"/>
      <c r="L7206" s="9"/>
    </row>
    <row r="7207" s="105" customFormat="1" spans="9:12">
      <c r="I7207" s="225"/>
      <c r="K7207" s="9"/>
      <c r="L7207" s="9"/>
    </row>
    <row r="7208" s="105" customFormat="1" spans="9:12">
      <c r="I7208" s="225"/>
      <c r="K7208" s="9"/>
      <c r="L7208" s="9"/>
    </row>
    <row r="7209" s="105" customFormat="1" spans="9:12">
      <c r="I7209" s="225"/>
      <c r="K7209" s="9"/>
      <c r="L7209" s="9"/>
    </row>
    <row r="7210" s="105" customFormat="1" spans="9:12">
      <c r="I7210" s="225"/>
      <c r="K7210" s="9"/>
      <c r="L7210" s="9"/>
    </row>
    <row r="7211" s="105" customFormat="1" spans="9:12">
      <c r="I7211" s="225"/>
      <c r="K7211" s="9"/>
      <c r="L7211" s="9"/>
    </row>
    <row r="7212" s="105" customFormat="1" spans="9:12">
      <c r="I7212" s="225"/>
      <c r="K7212" s="9"/>
      <c r="L7212" s="9"/>
    </row>
    <row r="7213" s="105" customFormat="1" spans="9:12">
      <c r="I7213" s="225"/>
      <c r="K7213" s="9"/>
      <c r="L7213" s="9"/>
    </row>
    <row r="7214" s="105" customFormat="1" spans="9:12">
      <c r="I7214" s="225"/>
      <c r="K7214" s="9"/>
      <c r="L7214" s="9"/>
    </row>
    <row r="7215" s="105" customFormat="1" spans="9:12">
      <c r="I7215" s="225"/>
      <c r="K7215" s="9"/>
      <c r="L7215" s="9"/>
    </row>
    <row r="7216" s="105" customFormat="1" spans="9:12">
      <c r="I7216" s="225"/>
      <c r="K7216" s="9"/>
      <c r="L7216" s="9"/>
    </row>
    <row r="7217" s="105" customFormat="1" spans="9:12">
      <c r="I7217" s="225"/>
      <c r="K7217" s="9"/>
      <c r="L7217" s="9"/>
    </row>
    <row r="7218" s="105" customFormat="1" spans="9:12">
      <c r="I7218" s="225"/>
      <c r="K7218" s="9"/>
      <c r="L7218" s="9"/>
    </row>
    <row r="7219" s="105" customFormat="1" spans="9:12">
      <c r="I7219" s="225"/>
      <c r="K7219" s="9"/>
      <c r="L7219" s="9"/>
    </row>
    <row r="7220" s="105" customFormat="1" spans="9:12">
      <c r="I7220" s="225"/>
      <c r="K7220" s="9"/>
      <c r="L7220" s="9"/>
    </row>
    <row r="7221" s="105" customFormat="1" spans="9:12">
      <c r="I7221" s="225"/>
      <c r="K7221" s="9"/>
      <c r="L7221" s="9"/>
    </row>
    <row r="7222" s="105" customFormat="1" spans="9:12">
      <c r="I7222" s="225"/>
      <c r="K7222" s="9"/>
      <c r="L7222" s="9"/>
    </row>
    <row r="7223" s="105" customFormat="1" spans="9:12">
      <c r="I7223" s="225"/>
      <c r="K7223" s="9"/>
      <c r="L7223" s="9"/>
    </row>
    <row r="7224" s="105" customFormat="1" spans="9:12">
      <c r="I7224" s="225"/>
      <c r="K7224" s="9"/>
      <c r="L7224" s="9"/>
    </row>
    <row r="7225" s="105" customFormat="1" spans="9:12">
      <c r="I7225" s="225"/>
      <c r="K7225" s="9"/>
      <c r="L7225" s="9"/>
    </row>
    <row r="7226" s="105" customFormat="1" spans="9:12">
      <c r="I7226" s="225"/>
      <c r="K7226" s="9"/>
      <c r="L7226" s="9"/>
    </row>
    <row r="7227" s="105" customFormat="1" spans="9:12">
      <c r="I7227" s="225"/>
      <c r="K7227" s="9"/>
      <c r="L7227" s="9"/>
    </row>
    <row r="7228" s="105" customFormat="1" spans="9:12">
      <c r="I7228" s="225"/>
      <c r="K7228" s="9"/>
      <c r="L7228" s="9"/>
    </row>
    <row r="7229" s="105" customFormat="1" spans="9:12">
      <c r="I7229" s="225"/>
      <c r="K7229" s="9"/>
      <c r="L7229" s="9"/>
    </row>
    <row r="7230" s="105" customFormat="1" spans="9:12">
      <c r="I7230" s="225"/>
      <c r="K7230" s="9"/>
      <c r="L7230" s="9"/>
    </row>
    <row r="7231" s="105" customFormat="1" spans="9:12">
      <c r="I7231" s="225"/>
      <c r="K7231" s="9"/>
      <c r="L7231" s="9"/>
    </row>
    <row r="7232" s="105" customFormat="1" spans="9:12">
      <c r="I7232" s="225"/>
      <c r="K7232" s="9"/>
      <c r="L7232" s="9"/>
    </row>
    <row r="7233" s="105" customFormat="1" spans="9:12">
      <c r="I7233" s="225"/>
      <c r="K7233" s="9"/>
      <c r="L7233" s="9"/>
    </row>
    <row r="7234" s="105" customFormat="1" spans="9:12">
      <c r="I7234" s="225"/>
      <c r="K7234" s="9"/>
      <c r="L7234" s="9"/>
    </row>
    <row r="7235" s="105" customFormat="1" spans="9:12">
      <c r="I7235" s="225"/>
      <c r="K7235" s="9"/>
      <c r="L7235" s="9"/>
    </row>
    <row r="7236" s="105" customFormat="1" spans="9:12">
      <c r="I7236" s="225"/>
      <c r="K7236" s="9"/>
      <c r="L7236" s="9"/>
    </row>
    <row r="7237" s="105" customFormat="1" spans="9:12">
      <c r="I7237" s="225"/>
      <c r="K7237" s="9"/>
      <c r="L7237" s="9"/>
    </row>
    <row r="7238" s="105" customFormat="1" spans="9:12">
      <c r="I7238" s="225"/>
      <c r="K7238" s="9"/>
      <c r="L7238" s="9"/>
    </row>
    <row r="7239" s="105" customFormat="1" spans="9:12">
      <c r="I7239" s="225"/>
      <c r="K7239" s="9"/>
      <c r="L7239" s="9"/>
    </row>
    <row r="7240" s="105" customFormat="1" spans="9:12">
      <c r="I7240" s="225"/>
      <c r="K7240" s="9"/>
      <c r="L7240" s="9"/>
    </row>
    <row r="7241" s="105" customFormat="1" spans="9:12">
      <c r="I7241" s="225"/>
      <c r="K7241" s="9"/>
      <c r="L7241" s="9"/>
    </row>
    <row r="7242" s="105" customFormat="1" spans="9:12">
      <c r="I7242" s="225"/>
      <c r="K7242" s="9"/>
      <c r="L7242" s="9"/>
    </row>
    <row r="7243" s="105" customFormat="1" spans="9:12">
      <c r="I7243" s="225"/>
      <c r="K7243" s="9"/>
      <c r="L7243" s="9"/>
    </row>
    <row r="7244" s="105" customFormat="1" spans="9:12">
      <c r="I7244" s="225"/>
      <c r="K7244" s="9"/>
      <c r="L7244" s="9"/>
    </row>
    <row r="7245" s="105" customFormat="1" spans="9:12">
      <c r="I7245" s="225"/>
      <c r="K7245" s="9"/>
      <c r="L7245" s="9"/>
    </row>
    <row r="7246" s="105" customFormat="1" spans="9:12">
      <c r="I7246" s="225"/>
      <c r="K7246" s="9"/>
      <c r="L7246" s="9"/>
    </row>
    <row r="7247" s="105" customFormat="1" spans="9:12">
      <c r="I7247" s="225"/>
      <c r="K7247" s="9"/>
      <c r="L7247" s="9"/>
    </row>
    <row r="7248" s="105" customFormat="1" spans="9:12">
      <c r="I7248" s="225"/>
      <c r="K7248" s="9"/>
      <c r="L7248" s="9"/>
    </row>
    <row r="7249" s="105" customFormat="1" spans="9:12">
      <c r="I7249" s="225"/>
      <c r="K7249" s="9"/>
      <c r="L7249" s="9"/>
    </row>
    <row r="7250" s="105" customFormat="1" spans="9:12">
      <c r="I7250" s="225"/>
      <c r="K7250" s="9"/>
      <c r="L7250" s="9"/>
    </row>
    <row r="7251" s="105" customFormat="1" spans="9:12">
      <c r="I7251" s="225"/>
      <c r="K7251" s="9"/>
      <c r="L7251" s="9"/>
    </row>
    <row r="7252" s="105" customFormat="1" spans="9:12">
      <c r="I7252" s="225"/>
      <c r="K7252" s="9"/>
      <c r="L7252" s="9"/>
    </row>
    <row r="7253" s="105" customFormat="1" spans="9:12">
      <c r="I7253" s="225"/>
      <c r="K7253" s="9"/>
      <c r="L7253" s="9"/>
    </row>
    <row r="7254" s="105" customFormat="1" spans="9:12">
      <c r="I7254" s="225"/>
      <c r="K7254" s="9"/>
      <c r="L7254" s="9"/>
    </row>
    <row r="7255" s="105" customFormat="1" spans="9:12">
      <c r="I7255" s="225"/>
      <c r="K7255" s="9"/>
      <c r="L7255" s="9"/>
    </row>
    <row r="7256" s="105" customFormat="1" spans="9:12">
      <c r="I7256" s="225"/>
      <c r="K7256" s="9"/>
      <c r="L7256" s="9"/>
    </row>
    <row r="7257" s="105" customFormat="1" spans="9:12">
      <c r="I7257" s="225"/>
      <c r="K7257" s="9"/>
      <c r="L7257" s="9"/>
    </row>
    <row r="7258" s="105" customFormat="1" spans="9:12">
      <c r="I7258" s="225"/>
      <c r="K7258" s="9"/>
      <c r="L7258" s="9"/>
    </row>
    <row r="7259" s="105" customFormat="1" spans="9:12">
      <c r="I7259" s="225"/>
      <c r="K7259" s="9"/>
      <c r="L7259" s="9"/>
    </row>
    <row r="7260" s="105" customFormat="1" spans="9:12">
      <c r="I7260" s="225"/>
      <c r="K7260" s="9"/>
      <c r="L7260" s="9"/>
    </row>
    <row r="7261" s="105" customFormat="1" spans="9:12">
      <c r="I7261" s="225"/>
      <c r="K7261" s="9"/>
      <c r="L7261" s="9"/>
    </row>
    <row r="7262" s="105" customFormat="1" spans="9:12">
      <c r="I7262" s="225"/>
      <c r="K7262" s="9"/>
      <c r="L7262" s="9"/>
    </row>
    <row r="7263" s="105" customFormat="1" spans="9:12">
      <c r="I7263" s="225"/>
      <c r="K7263" s="9"/>
      <c r="L7263" s="9"/>
    </row>
    <row r="7264" s="105" customFormat="1" spans="9:12">
      <c r="I7264" s="225"/>
      <c r="K7264" s="9"/>
      <c r="L7264" s="9"/>
    </row>
    <row r="7265" s="105" customFormat="1" spans="9:12">
      <c r="I7265" s="225"/>
      <c r="K7265" s="9"/>
      <c r="L7265" s="9"/>
    </row>
    <row r="7266" s="105" customFormat="1" spans="9:12">
      <c r="I7266" s="225"/>
      <c r="K7266" s="9"/>
      <c r="L7266" s="9"/>
    </row>
    <row r="7267" s="105" customFormat="1" spans="9:12">
      <c r="I7267" s="225"/>
      <c r="K7267" s="9"/>
      <c r="L7267" s="9"/>
    </row>
    <row r="7268" s="105" customFormat="1" spans="9:12">
      <c r="I7268" s="225"/>
      <c r="K7268" s="9"/>
      <c r="L7268" s="9"/>
    </row>
    <row r="7269" s="105" customFormat="1" spans="9:12">
      <c r="I7269" s="225"/>
      <c r="K7269" s="9"/>
      <c r="L7269" s="9"/>
    </row>
    <row r="7270" s="105" customFormat="1" spans="9:12">
      <c r="I7270" s="225"/>
      <c r="K7270" s="9"/>
      <c r="L7270" s="9"/>
    </row>
    <row r="7271" s="105" customFormat="1" spans="9:12">
      <c r="I7271" s="225"/>
      <c r="K7271" s="9"/>
      <c r="L7271" s="9"/>
    </row>
    <row r="7272" s="105" customFormat="1" spans="9:12">
      <c r="I7272" s="225"/>
      <c r="K7272" s="9"/>
      <c r="L7272" s="9"/>
    </row>
    <row r="7273" s="105" customFormat="1" spans="9:12">
      <c r="I7273" s="225"/>
      <c r="K7273" s="9"/>
      <c r="L7273" s="9"/>
    </row>
    <row r="7274" s="105" customFormat="1" spans="9:12">
      <c r="I7274" s="225"/>
      <c r="K7274" s="9"/>
      <c r="L7274" s="9"/>
    </row>
    <row r="7275" s="105" customFormat="1" spans="9:12">
      <c r="I7275" s="225"/>
      <c r="K7275" s="9"/>
      <c r="L7275" s="9"/>
    </row>
    <row r="7276" s="105" customFormat="1" spans="9:12">
      <c r="I7276" s="225"/>
      <c r="K7276" s="9"/>
      <c r="L7276" s="9"/>
    </row>
    <row r="7277" s="105" customFormat="1" spans="9:12">
      <c r="I7277" s="225"/>
      <c r="K7277" s="9"/>
      <c r="L7277" s="9"/>
    </row>
    <row r="7278" s="105" customFormat="1" spans="9:12">
      <c r="I7278" s="225"/>
      <c r="K7278" s="9"/>
      <c r="L7278" s="9"/>
    </row>
    <row r="7279" s="105" customFormat="1" spans="9:12">
      <c r="I7279" s="225"/>
      <c r="K7279" s="9"/>
      <c r="L7279" s="9"/>
    </row>
    <row r="7280" s="105" customFormat="1" spans="9:12">
      <c r="I7280" s="225"/>
      <c r="K7280" s="9"/>
      <c r="L7280" s="9"/>
    </row>
    <row r="7281" s="105" customFormat="1" spans="9:12">
      <c r="I7281" s="225"/>
      <c r="K7281" s="9"/>
      <c r="L7281" s="9"/>
    </row>
    <row r="7282" s="105" customFormat="1" spans="9:12">
      <c r="I7282" s="225"/>
      <c r="K7282" s="9"/>
      <c r="L7282" s="9"/>
    </row>
    <row r="7283" s="105" customFormat="1" spans="9:12">
      <c r="I7283" s="225"/>
      <c r="K7283" s="9"/>
      <c r="L7283" s="9"/>
    </row>
    <row r="7284" s="105" customFormat="1" spans="9:12">
      <c r="I7284" s="225"/>
      <c r="K7284" s="9"/>
      <c r="L7284" s="9"/>
    </row>
    <row r="7285" s="105" customFormat="1" spans="9:12">
      <c r="I7285" s="225"/>
      <c r="K7285" s="9"/>
      <c r="L7285" s="9"/>
    </row>
    <row r="7286" s="105" customFormat="1" spans="9:12">
      <c r="I7286" s="225"/>
      <c r="K7286" s="9"/>
      <c r="L7286" s="9"/>
    </row>
    <row r="7287" s="105" customFormat="1" spans="9:12">
      <c r="I7287" s="225"/>
      <c r="K7287" s="9"/>
      <c r="L7287" s="9"/>
    </row>
    <row r="7288" s="105" customFormat="1" spans="9:12">
      <c r="I7288" s="225"/>
      <c r="K7288" s="9"/>
      <c r="L7288" s="9"/>
    </row>
    <row r="7289" s="105" customFormat="1" spans="9:12">
      <c r="I7289" s="225"/>
      <c r="K7289" s="9"/>
      <c r="L7289" s="9"/>
    </row>
    <row r="7290" s="105" customFormat="1" spans="9:12">
      <c r="I7290" s="225"/>
      <c r="K7290" s="9"/>
      <c r="L7290" s="9"/>
    </row>
    <row r="7291" s="105" customFormat="1" spans="9:12">
      <c r="I7291" s="225"/>
      <c r="K7291" s="9"/>
      <c r="L7291" s="9"/>
    </row>
    <row r="7292" s="105" customFormat="1" spans="9:12">
      <c r="I7292" s="225"/>
      <c r="K7292" s="9"/>
      <c r="L7292" s="9"/>
    </row>
    <row r="7293" s="105" customFormat="1" spans="9:12">
      <c r="I7293" s="225"/>
      <c r="K7293" s="9"/>
      <c r="L7293" s="9"/>
    </row>
    <row r="7294" s="105" customFormat="1" spans="9:12">
      <c r="I7294" s="225"/>
      <c r="K7294" s="9"/>
      <c r="L7294" s="9"/>
    </row>
    <row r="7295" s="105" customFormat="1" spans="9:12">
      <c r="I7295" s="225"/>
      <c r="K7295" s="9"/>
      <c r="L7295" s="9"/>
    </row>
    <row r="7296" s="105" customFormat="1" spans="9:12">
      <c r="I7296" s="225"/>
      <c r="K7296" s="9"/>
      <c r="L7296" s="9"/>
    </row>
    <row r="7297" s="105" customFormat="1" spans="9:12">
      <c r="I7297" s="225"/>
      <c r="K7297" s="9"/>
      <c r="L7297" s="9"/>
    </row>
    <row r="7298" s="105" customFormat="1" spans="9:12">
      <c r="I7298" s="225"/>
      <c r="K7298" s="9"/>
      <c r="L7298" s="9"/>
    </row>
    <row r="7299" s="105" customFormat="1" spans="9:12">
      <c r="I7299" s="225"/>
      <c r="K7299" s="9"/>
      <c r="L7299" s="9"/>
    </row>
    <row r="7300" s="105" customFormat="1" spans="9:12">
      <c r="I7300" s="225"/>
      <c r="K7300" s="9"/>
      <c r="L7300" s="9"/>
    </row>
    <row r="7301" s="105" customFormat="1" spans="9:12">
      <c r="I7301" s="225"/>
      <c r="K7301" s="9"/>
      <c r="L7301" s="9"/>
    </row>
    <row r="7302" s="105" customFormat="1" spans="9:12">
      <c r="I7302" s="225"/>
      <c r="K7302" s="9"/>
      <c r="L7302" s="9"/>
    </row>
    <row r="7303" s="105" customFormat="1" spans="9:12">
      <c r="I7303" s="225"/>
      <c r="K7303" s="9"/>
      <c r="L7303" s="9"/>
    </row>
    <row r="7304" s="105" customFormat="1" spans="9:12">
      <c r="I7304" s="225"/>
      <c r="K7304" s="9"/>
      <c r="L7304" s="9"/>
    </row>
    <row r="7305" s="105" customFormat="1" spans="9:12">
      <c r="I7305" s="225"/>
      <c r="K7305" s="9"/>
      <c r="L7305" s="9"/>
    </row>
    <row r="7306" s="105" customFormat="1" spans="9:12">
      <c r="I7306" s="225"/>
      <c r="K7306" s="9"/>
      <c r="L7306" s="9"/>
    </row>
    <row r="7307" s="105" customFormat="1" spans="9:12">
      <c r="I7307" s="225"/>
      <c r="K7307" s="9"/>
      <c r="L7307" s="9"/>
    </row>
    <row r="7308" s="105" customFormat="1" spans="9:12">
      <c r="I7308" s="225"/>
      <c r="K7308" s="9"/>
      <c r="L7308" s="9"/>
    </row>
    <row r="7309" s="105" customFormat="1" spans="9:12">
      <c r="I7309" s="225"/>
      <c r="K7309" s="9"/>
      <c r="L7309" s="9"/>
    </row>
    <row r="7310" s="105" customFormat="1" spans="9:12">
      <c r="I7310" s="225"/>
      <c r="K7310" s="9"/>
      <c r="L7310" s="9"/>
    </row>
    <row r="7311" s="105" customFormat="1" spans="9:12">
      <c r="I7311" s="225"/>
      <c r="K7311" s="9"/>
      <c r="L7311" s="9"/>
    </row>
    <row r="7312" s="105" customFormat="1" spans="9:12">
      <c r="I7312" s="225"/>
      <c r="K7312" s="9"/>
      <c r="L7312" s="9"/>
    </row>
    <row r="7313" s="105" customFormat="1" spans="9:12">
      <c r="I7313" s="225"/>
      <c r="K7313" s="9"/>
      <c r="L7313" s="9"/>
    </row>
    <row r="7314" s="105" customFormat="1" spans="9:12">
      <c r="I7314" s="225"/>
      <c r="K7314" s="9"/>
      <c r="L7314" s="9"/>
    </row>
    <row r="7315" s="105" customFormat="1" spans="9:12">
      <c r="I7315" s="225"/>
      <c r="K7315" s="9"/>
      <c r="L7315" s="9"/>
    </row>
    <row r="7316" s="105" customFormat="1" spans="9:12">
      <c r="I7316" s="225"/>
      <c r="K7316" s="9"/>
      <c r="L7316" s="9"/>
    </row>
    <row r="7317" s="105" customFormat="1" spans="9:12">
      <c r="I7317" s="225"/>
      <c r="K7317" s="9"/>
      <c r="L7317" s="9"/>
    </row>
    <row r="7318" s="105" customFormat="1" spans="9:12">
      <c r="I7318" s="225"/>
      <c r="K7318" s="9"/>
      <c r="L7318" s="9"/>
    </row>
    <row r="7319" s="105" customFormat="1" spans="9:12">
      <c r="I7319" s="225"/>
      <c r="K7319" s="9"/>
      <c r="L7319" s="9"/>
    </row>
    <row r="7320" s="105" customFormat="1" spans="9:12">
      <c r="I7320" s="225"/>
      <c r="K7320" s="9"/>
      <c r="L7320" s="9"/>
    </row>
    <row r="7321" s="105" customFormat="1" spans="9:12">
      <c r="I7321" s="225"/>
      <c r="K7321" s="9"/>
      <c r="L7321" s="9"/>
    </row>
    <row r="7322" s="105" customFormat="1" spans="9:12">
      <c r="I7322" s="225"/>
      <c r="K7322" s="9"/>
      <c r="L7322" s="9"/>
    </row>
    <row r="7323" s="105" customFormat="1" spans="9:12">
      <c r="I7323" s="225"/>
      <c r="K7323" s="9"/>
      <c r="L7323" s="9"/>
    </row>
    <row r="7324" s="105" customFormat="1" spans="9:12">
      <c r="I7324" s="225"/>
      <c r="K7324" s="9"/>
      <c r="L7324" s="9"/>
    </row>
    <row r="7325" s="105" customFormat="1" spans="9:12">
      <c r="I7325" s="225"/>
      <c r="K7325" s="9"/>
      <c r="L7325" s="9"/>
    </row>
    <row r="7326" s="105" customFormat="1" spans="9:12">
      <c r="I7326" s="225"/>
      <c r="K7326" s="9"/>
      <c r="L7326" s="9"/>
    </row>
    <row r="7327" s="105" customFormat="1" spans="9:12">
      <c r="I7327" s="225"/>
      <c r="K7327" s="9"/>
      <c r="L7327" s="9"/>
    </row>
    <row r="7328" s="105" customFormat="1" spans="9:12">
      <c r="I7328" s="225"/>
      <c r="K7328" s="9"/>
      <c r="L7328" s="9"/>
    </row>
    <row r="7329" s="105" customFormat="1" spans="9:12">
      <c r="I7329" s="225"/>
      <c r="K7329" s="9"/>
      <c r="L7329" s="9"/>
    </row>
    <row r="7330" s="105" customFormat="1" spans="9:12">
      <c r="I7330" s="225"/>
      <c r="K7330" s="9"/>
      <c r="L7330" s="9"/>
    </row>
    <row r="7331" s="105" customFormat="1" spans="9:12">
      <c r="I7331" s="225"/>
      <c r="K7331" s="9"/>
      <c r="L7331" s="9"/>
    </row>
    <row r="7332" s="105" customFormat="1" spans="9:12">
      <c r="I7332" s="225"/>
      <c r="K7332" s="9"/>
      <c r="L7332" s="9"/>
    </row>
    <row r="7333" s="105" customFormat="1" spans="9:12">
      <c r="I7333" s="225"/>
      <c r="K7333" s="9"/>
      <c r="L7333" s="9"/>
    </row>
    <row r="7334" s="105" customFormat="1" spans="9:12">
      <c r="I7334" s="225"/>
      <c r="K7334" s="9"/>
      <c r="L7334" s="9"/>
    </row>
    <row r="7335" s="105" customFormat="1" spans="9:12">
      <c r="I7335" s="225"/>
      <c r="K7335" s="9"/>
      <c r="L7335" s="9"/>
    </row>
    <row r="7336" s="105" customFormat="1" spans="9:12">
      <c r="I7336" s="225"/>
      <c r="K7336" s="9"/>
      <c r="L7336" s="9"/>
    </row>
    <row r="7337" s="105" customFormat="1" spans="9:12">
      <c r="I7337" s="225"/>
      <c r="K7337" s="9"/>
      <c r="L7337" s="9"/>
    </row>
    <row r="7338" s="105" customFormat="1" spans="9:12">
      <c r="I7338" s="225"/>
      <c r="K7338" s="9"/>
      <c r="L7338" s="9"/>
    </row>
    <row r="7339" s="105" customFormat="1" spans="9:12">
      <c r="I7339" s="225"/>
      <c r="K7339" s="9"/>
      <c r="L7339" s="9"/>
    </row>
    <row r="7340" s="105" customFormat="1" spans="9:12">
      <c r="I7340" s="225"/>
      <c r="K7340" s="9"/>
      <c r="L7340" s="9"/>
    </row>
    <row r="7341" s="105" customFormat="1" spans="9:12">
      <c r="I7341" s="225"/>
      <c r="K7341" s="9"/>
      <c r="L7341" s="9"/>
    </row>
    <row r="7342" s="105" customFormat="1" spans="9:12">
      <c r="I7342" s="225"/>
      <c r="K7342" s="9"/>
      <c r="L7342" s="9"/>
    </row>
    <row r="7343" s="105" customFormat="1" spans="9:12">
      <c r="I7343" s="225"/>
      <c r="K7343" s="9"/>
      <c r="L7343" s="9"/>
    </row>
    <row r="7344" s="105" customFormat="1" spans="9:12">
      <c r="I7344" s="225"/>
      <c r="K7344" s="9"/>
      <c r="L7344" s="9"/>
    </row>
    <row r="7345" s="105" customFormat="1" spans="9:12">
      <c r="I7345" s="225"/>
      <c r="K7345" s="9"/>
      <c r="L7345" s="9"/>
    </row>
    <row r="7346" s="105" customFormat="1" spans="9:12">
      <c r="I7346" s="225"/>
      <c r="K7346" s="9"/>
      <c r="L7346" s="9"/>
    </row>
    <row r="7347" s="105" customFormat="1" spans="9:12">
      <c r="I7347" s="225"/>
      <c r="K7347" s="9"/>
      <c r="L7347" s="9"/>
    </row>
    <row r="7348" s="105" customFormat="1" spans="9:12">
      <c r="I7348" s="225"/>
      <c r="K7348" s="9"/>
      <c r="L7348" s="9"/>
    </row>
    <row r="7349" s="105" customFormat="1" spans="9:12">
      <c r="I7349" s="225"/>
      <c r="K7349" s="9"/>
      <c r="L7349" s="9"/>
    </row>
    <row r="7350" s="105" customFormat="1" spans="9:12">
      <c r="I7350" s="225"/>
      <c r="K7350" s="9"/>
      <c r="L7350" s="9"/>
    </row>
    <row r="7351" s="105" customFormat="1" spans="9:12">
      <c r="I7351" s="225"/>
      <c r="K7351" s="9"/>
      <c r="L7351" s="9"/>
    </row>
    <row r="7352" s="105" customFormat="1" spans="9:12">
      <c r="I7352" s="225"/>
      <c r="K7352" s="9"/>
      <c r="L7352" s="9"/>
    </row>
    <row r="7353" s="105" customFormat="1" spans="9:12">
      <c r="I7353" s="225"/>
      <c r="K7353" s="9"/>
      <c r="L7353" s="9"/>
    </row>
    <row r="7354" s="105" customFormat="1" spans="9:12">
      <c r="I7354" s="225"/>
      <c r="K7354" s="9"/>
      <c r="L7354" s="9"/>
    </row>
    <row r="7355" s="105" customFormat="1" spans="9:12">
      <c r="I7355" s="225"/>
      <c r="K7355" s="9"/>
      <c r="L7355" s="9"/>
    </row>
    <row r="7356" s="105" customFormat="1" spans="9:12">
      <c r="I7356" s="225"/>
      <c r="K7356" s="9"/>
      <c r="L7356" s="9"/>
    </row>
    <row r="7357" s="105" customFormat="1" spans="9:12">
      <c r="I7357" s="225"/>
      <c r="K7357" s="9"/>
      <c r="L7357" s="9"/>
    </row>
    <row r="7358" s="105" customFormat="1" spans="9:12">
      <c r="I7358" s="225"/>
      <c r="K7358" s="9"/>
      <c r="L7358" s="9"/>
    </row>
    <row r="7359" s="105" customFormat="1" spans="9:12">
      <c r="I7359" s="225"/>
      <c r="K7359" s="9"/>
      <c r="L7359" s="9"/>
    </row>
    <row r="7360" s="105" customFormat="1" spans="9:12">
      <c r="I7360" s="225"/>
      <c r="K7360" s="9"/>
      <c r="L7360" s="9"/>
    </row>
    <row r="7361" s="105" customFormat="1" spans="9:12">
      <c r="I7361" s="225"/>
      <c r="K7361" s="9"/>
      <c r="L7361" s="9"/>
    </row>
    <row r="7362" s="105" customFormat="1" spans="9:12">
      <c r="I7362" s="225"/>
      <c r="K7362" s="9"/>
      <c r="L7362" s="9"/>
    </row>
    <row r="7363" s="105" customFormat="1" spans="9:12">
      <c r="I7363" s="225"/>
      <c r="K7363" s="9"/>
      <c r="L7363" s="9"/>
    </row>
    <row r="7364" s="105" customFormat="1" spans="9:12">
      <c r="I7364" s="225"/>
      <c r="K7364" s="9"/>
      <c r="L7364" s="9"/>
    </row>
    <row r="7365" s="105" customFormat="1" spans="9:12">
      <c r="I7365" s="225"/>
      <c r="K7365" s="9"/>
      <c r="L7365" s="9"/>
    </row>
    <row r="7366" s="105" customFormat="1" spans="9:12">
      <c r="I7366" s="225"/>
      <c r="K7366" s="9"/>
      <c r="L7366" s="9"/>
    </row>
    <row r="7367" s="105" customFormat="1" spans="9:12">
      <c r="I7367" s="225"/>
      <c r="K7367" s="9"/>
      <c r="L7367" s="9"/>
    </row>
    <row r="7368" s="105" customFormat="1" spans="9:12">
      <c r="I7368" s="225"/>
      <c r="K7368" s="9"/>
      <c r="L7368" s="9"/>
    </row>
    <row r="7369" s="105" customFormat="1" spans="9:12">
      <c r="I7369" s="225"/>
      <c r="K7369" s="9"/>
      <c r="L7369" s="9"/>
    </row>
    <row r="7370" s="105" customFormat="1" spans="9:12">
      <c r="I7370" s="225"/>
      <c r="K7370" s="9"/>
      <c r="L7370" s="9"/>
    </row>
    <row r="7371" s="105" customFormat="1" spans="9:12">
      <c r="I7371" s="225"/>
      <c r="K7371" s="9"/>
      <c r="L7371" s="9"/>
    </row>
    <row r="7372" s="105" customFormat="1" spans="9:12">
      <c r="I7372" s="225"/>
      <c r="K7372" s="9"/>
      <c r="L7372" s="9"/>
    </row>
    <row r="7373" s="105" customFormat="1" spans="9:12">
      <c r="I7373" s="225"/>
      <c r="K7373" s="9"/>
      <c r="L7373" s="9"/>
    </row>
    <row r="7374" s="105" customFormat="1" spans="9:12">
      <c r="I7374" s="225"/>
      <c r="K7374" s="9"/>
      <c r="L7374" s="9"/>
    </row>
    <row r="7375" s="105" customFormat="1" spans="9:12">
      <c r="I7375" s="225"/>
      <c r="K7375" s="9"/>
      <c r="L7375" s="9"/>
    </row>
    <row r="7376" s="105" customFormat="1" spans="9:12">
      <c r="I7376" s="225"/>
      <c r="K7376" s="9"/>
      <c r="L7376" s="9"/>
    </row>
    <row r="7377" s="105" customFormat="1" spans="9:12">
      <c r="I7377" s="225"/>
      <c r="K7377" s="9"/>
      <c r="L7377" s="9"/>
    </row>
    <row r="7378" s="105" customFormat="1" spans="9:12">
      <c r="I7378" s="225"/>
      <c r="K7378" s="9"/>
      <c r="L7378" s="9"/>
    </row>
    <row r="7379" s="105" customFormat="1" spans="9:12">
      <c r="I7379" s="225"/>
      <c r="K7379" s="9"/>
      <c r="L7379" s="9"/>
    </row>
    <row r="7380" s="105" customFormat="1" spans="9:12">
      <c r="I7380" s="225"/>
      <c r="K7380" s="9"/>
      <c r="L7380" s="9"/>
    </row>
    <row r="7381" s="105" customFormat="1" spans="9:12">
      <c r="I7381" s="225"/>
      <c r="K7381" s="9"/>
      <c r="L7381" s="9"/>
    </row>
    <row r="7382" s="105" customFormat="1" spans="9:12">
      <c r="I7382" s="225"/>
      <c r="K7382" s="9"/>
      <c r="L7382" s="9"/>
    </row>
    <row r="7383" s="105" customFormat="1" spans="9:12">
      <c r="I7383" s="225"/>
      <c r="K7383" s="9"/>
      <c r="L7383" s="9"/>
    </row>
    <row r="7384" s="105" customFormat="1" spans="9:12">
      <c r="I7384" s="225"/>
      <c r="K7384" s="9"/>
      <c r="L7384" s="9"/>
    </row>
    <row r="7385" s="105" customFormat="1" spans="9:12">
      <c r="I7385" s="225"/>
      <c r="K7385" s="9"/>
      <c r="L7385" s="9"/>
    </row>
    <row r="7386" s="105" customFormat="1" spans="9:12">
      <c r="I7386" s="225"/>
      <c r="K7386" s="9"/>
      <c r="L7386" s="9"/>
    </row>
    <row r="7387" s="105" customFormat="1" spans="9:12">
      <c r="I7387" s="225"/>
      <c r="K7387" s="9"/>
      <c r="L7387" s="9"/>
    </row>
    <row r="7388" s="105" customFormat="1" spans="9:12">
      <c r="I7388" s="225"/>
      <c r="K7388" s="9"/>
      <c r="L7388" s="9"/>
    </row>
    <row r="7389" s="105" customFormat="1" spans="9:12">
      <c r="I7389" s="225"/>
      <c r="K7389" s="9"/>
      <c r="L7389" s="9"/>
    </row>
    <row r="7390" s="105" customFormat="1" spans="9:12">
      <c r="I7390" s="225"/>
      <c r="K7390" s="9"/>
      <c r="L7390" s="9"/>
    </row>
    <row r="7391" s="105" customFormat="1" spans="9:12">
      <c r="I7391" s="225"/>
      <c r="K7391" s="9"/>
      <c r="L7391" s="9"/>
    </row>
    <row r="7392" s="105" customFormat="1" spans="9:12">
      <c r="I7392" s="225"/>
      <c r="K7392" s="9"/>
      <c r="L7392" s="9"/>
    </row>
    <row r="7393" s="105" customFormat="1" spans="9:12">
      <c r="I7393" s="225"/>
      <c r="K7393" s="9"/>
      <c r="L7393" s="9"/>
    </row>
    <row r="7394" s="105" customFormat="1" spans="9:12">
      <c r="I7394" s="225"/>
      <c r="K7394" s="9"/>
      <c r="L7394" s="9"/>
    </row>
    <row r="7395" s="105" customFormat="1" spans="9:12">
      <c r="I7395" s="225"/>
      <c r="K7395" s="9"/>
      <c r="L7395" s="9"/>
    </row>
    <row r="7396" s="105" customFormat="1" spans="9:12">
      <c r="I7396" s="225"/>
      <c r="K7396" s="9"/>
      <c r="L7396" s="9"/>
    </row>
    <row r="7397" s="105" customFormat="1" spans="9:12">
      <c r="I7397" s="225"/>
      <c r="K7397" s="9"/>
      <c r="L7397" s="9"/>
    </row>
    <row r="7398" s="105" customFormat="1" spans="9:12">
      <c r="I7398" s="225"/>
      <c r="K7398" s="9"/>
      <c r="L7398" s="9"/>
    </row>
    <row r="7399" s="105" customFormat="1" spans="9:12">
      <c r="I7399" s="225"/>
      <c r="K7399" s="9"/>
      <c r="L7399" s="9"/>
    </row>
    <row r="7400" s="105" customFormat="1" spans="9:12">
      <c r="I7400" s="225"/>
      <c r="K7400" s="9"/>
      <c r="L7400" s="9"/>
    </row>
    <row r="7401" s="105" customFormat="1" spans="9:12">
      <c r="I7401" s="225"/>
      <c r="K7401" s="9"/>
      <c r="L7401" s="9"/>
    </row>
    <row r="7402" s="105" customFormat="1" spans="9:12">
      <c r="I7402" s="225"/>
      <c r="K7402" s="9"/>
      <c r="L7402" s="9"/>
    </row>
    <row r="7403" s="105" customFormat="1" spans="9:12">
      <c r="I7403" s="225"/>
      <c r="K7403" s="9"/>
      <c r="L7403" s="9"/>
    </row>
    <row r="7404" s="105" customFormat="1" spans="9:12">
      <c r="I7404" s="225"/>
      <c r="K7404" s="9"/>
      <c r="L7404" s="9"/>
    </row>
    <row r="7405" s="105" customFormat="1" spans="9:12">
      <c r="I7405" s="225"/>
      <c r="K7405" s="9"/>
      <c r="L7405" s="9"/>
    </row>
    <row r="7406" s="105" customFormat="1" spans="9:12">
      <c r="I7406" s="225"/>
      <c r="K7406" s="9"/>
      <c r="L7406" s="9"/>
    </row>
    <row r="7407" s="105" customFormat="1" spans="9:12">
      <c r="I7407" s="225"/>
      <c r="K7407" s="9"/>
      <c r="L7407" s="9"/>
    </row>
    <row r="7408" s="105" customFormat="1" spans="9:12">
      <c r="I7408" s="225"/>
      <c r="K7408" s="9"/>
      <c r="L7408" s="9"/>
    </row>
    <row r="7409" s="105" customFormat="1" spans="9:12">
      <c r="I7409" s="225"/>
      <c r="K7409" s="9"/>
      <c r="L7409" s="9"/>
    </row>
    <row r="7410" s="105" customFormat="1" spans="9:12">
      <c r="I7410" s="225"/>
      <c r="K7410" s="9"/>
      <c r="L7410" s="9"/>
    </row>
    <row r="7411" s="105" customFormat="1" spans="9:12">
      <c r="I7411" s="225"/>
      <c r="K7411" s="9"/>
      <c r="L7411" s="9"/>
    </row>
    <row r="7412" s="105" customFormat="1" spans="9:12">
      <c r="I7412" s="225"/>
      <c r="K7412" s="9"/>
      <c r="L7412" s="9"/>
    </row>
    <row r="7413" s="105" customFormat="1" spans="9:12">
      <c r="I7413" s="225"/>
      <c r="K7413" s="9"/>
      <c r="L7413" s="9"/>
    </row>
    <row r="7414" s="105" customFormat="1" spans="9:12">
      <c r="I7414" s="225"/>
      <c r="K7414" s="9"/>
      <c r="L7414" s="9"/>
    </row>
    <row r="7415" s="105" customFormat="1" spans="9:12">
      <c r="I7415" s="225"/>
      <c r="K7415" s="9"/>
      <c r="L7415" s="9"/>
    </row>
    <row r="7416" s="105" customFormat="1" spans="9:12">
      <c r="I7416" s="225"/>
      <c r="K7416" s="9"/>
      <c r="L7416" s="9"/>
    </row>
    <row r="7417" s="105" customFormat="1" spans="9:12">
      <c r="I7417" s="225"/>
      <c r="K7417" s="9"/>
      <c r="L7417" s="9"/>
    </row>
    <row r="7418" s="105" customFormat="1" spans="9:12">
      <c r="I7418" s="225"/>
      <c r="K7418" s="9"/>
      <c r="L7418" s="9"/>
    </row>
    <row r="7419" s="105" customFormat="1" spans="9:12">
      <c r="I7419" s="225"/>
      <c r="K7419" s="9"/>
      <c r="L7419" s="9"/>
    </row>
    <row r="7420" s="105" customFormat="1" spans="9:12">
      <c r="I7420" s="225"/>
      <c r="K7420" s="9"/>
      <c r="L7420" s="9"/>
    </row>
    <row r="7421" s="105" customFormat="1" spans="9:12">
      <c r="I7421" s="225"/>
      <c r="K7421" s="9"/>
      <c r="L7421" s="9"/>
    </row>
    <row r="7422" s="105" customFormat="1" spans="9:12">
      <c r="I7422" s="225"/>
      <c r="K7422" s="9"/>
      <c r="L7422" s="9"/>
    </row>
    <row r="7423" s="105" customFormat="1" spans="9:12">
      <c r="I7423" s="225"/>
      <c r="K7423" s="9"/>
      <c r="L7423" s="9"/>
    </row>
    <row r="7424" s="105" customFormat="1" spans="9:12">
      <c r="I7424" s="225"/>
      <c r="K7424" s="9"/>
      <c r="L7424" s="9"/>
    </row>
    <row r="7425" s="105" customFormat="1" spans="9:12">
      <c r="I7425" s="225"/>
      <c r="K7425" s="9"/>
      <c r="L7425" s="9"/>
    </row>
    <row r="7426" s="105" customFormat="1" spans="9:12">
      <c r="I7426" s="225"/>
      <c r="K7426" s="9"/>
      <c r="L7426" s="9"/>
    </row>
    <row r="7427" s="105" customFormat="1" spans="9:12">
      <c r="I7427" s="225"/>
      <c r="K7427" s="9"/>
      <c r="L7427" s="9"/>
    </row>
    <row r="7428" s="105" customFormat="1" spans="9:12">
      <c r="I7428" s="225"/>
      <c r="K7428" s="9"/>
      <c r="L7428" s="9"/>
    </row>
    <row r="7429" s="105" customFormat="1" spans="9:12">
      <c r="I7429" s="225"/>
      <c r="K7429" s="9"/>
      <c r="L7429" s="9"/>
    </row>
    <row r="7430" s="105" customFormat="1" spans="9:12">
      <c r="I7430" s="225"/>
      <c r="K7430" s="9"/>
      <c r="L7430" s="9"/>
    </row>
    <row r="7431" s="105" customFormat="1" spans="9:12">
      <c r="I7431" s="225"/>
      <c r="K7431" s="9"/>
      <c r="L7431" s="9"/>
    </row>
    <row r="7432" s="105" customFormat="1" spans="9:12">
      <c r="I7432" s="225"/>
      <c r="K7432" s="9"/>
      <c r="L7432" s="9"/>
    </row>
    <row r="7433" s="105" customFormat="1" spans="9:12">
      <c r="I7433" s="225"/>
      <c r="K7433" s="9"/>
      <c r="L7433" s="9"/>
    </row>
    <row r="7434" s="105" customFormat="1" spans="9:12">
      <c r="I7434" s="225"/>
      <c r="K7434" s="9"/>
      <c r="L7434" s="9"/>
    </row>
    <row r="7435" s="105" customFormat="1" spans="9:12">
      <c r="I7435" s="225"/>
      <c r="K7435" s="9"/>
      <c r="L7435" s="9"/>
    </row>
    <row r="7436" s="105" customFormat="1" spans="9:12">
      <c r="I7436" s="225"/>
      <c r="K7436" s="9"/>
      <c r="L7436" s="9"/>
    </row>
    <row r="7437" s="105" customFormat="1" spans="9:12">
      <c r="I7437" s="225"/>
      <c r="K7437" s="9"/>
      <c r="L7437" s="9"/>
    </row>
    <row r="7438" s="105" customFormat="1" spans="9:12">
      <c r="I7438" s="225"/>
      <c r="K7438" s="9"/>
      <c r="L7438" s="9"/>
    </row>
    <row r="7439" s="105" customFormat="1" spans="9:12">
      <c r="I7439" s="225"/>
      <c r="K7439" s="9"/>
      <c r="L7439" s="9"/>
    </row>
    <row r="7440" s="105" customFormat="1" spans="9:12">
      <c r="I7440" s="225"/>
      <c r="K7440" s="9"/>
      <c r="L7440" s="9"/>
    </row>
    <row r="7441" s="105" customFormat="1" spans="9:12">
      <c r="I7441" s="225"/>
      <c r="K7441" s="9"/>
      <c r="L7441" s="9"/>
    </row>
    <row r="7442" s="105" customFormat="1" spans="9:12">
      <c r="I7442" s="225"/>
      <c r="K7442" s="9"/>
      <c r="L7442" s="9"/>
    </row>
    <row r="7443" s="105" customFormat="1" spans="9:12">
      <c r="I7443" s="225"/>
      <c r="K7443" s="9"/>
      <c r="L7443" s="9"/>
    </row>
    <row r="7444" s="105" customFormat="1" spans="9:12">
      <c r="I7444" s="225"/>
      <c r="K7444" s="9"/>
      <c r="L7444" s="9"/>
    </row>
    <row r="7445" s="105" customFormat="1" spans="9:12">
      <c r="I7445" s="225"/>
      <c r="K7445" s="9"/>
      <c r="L7445" s="9"/>
    </row>
    <row r="7446" s="105" customFormat="1" spans="9:12">
      <c r="I7446" s="225"/>
      <c r="K7446" s="9"/>
      <c r="L7446" s="9"/>
    </row>
    <row r="7447" s="105" customFormat="1" spans="9:12">
      <c r="I7447" s="225"/>
      <c r="K7447" s="9"/>
      <c r="L7447" s="9"/>
    </row>
    <row r="7448" s="105" customFormat="1" spans="9:12">
      <c r="I7448" s="225"/>
      <c r="K7448" s="9"/>
      <c r="L7448" s="9"/>
    </row>
    <row r="7449" s="105" customFormat="1" spans="9:12">
      <c r="I7449" s="225"/>
      <c r="K7449" s="9"/>
      <c r="L7449" s="9"/>
    </row>
    <row r="7450" s="105" customFormat="1" spans="9:12">
      <c r="I7450" s="225"/>
      <c r="K7450" s="9"/>
      <c r="L7450" s="9"/>
    </row>
    <row r="7451" s="105" customFormat="1" spans="9:12">
      <c r="I7451" s="225"/>
      <c r="K7451" s="9"/>
      <c r="L7451" s="9"/>
    </row>
    <row r="7452" s="105" customFormat="1" spans="9:12">
      <c r="I7452" s="225"/>
      <c r="K7452" s="9"/>
      <c r="L7452" s="9"/>
    </row>
    <row r="7453" s="105" customFormat="1" spans="9:12">
      <c r="I7453" s="225"/>
      <c r="K7453" s="9"/>
      <c r="L7453" s="9"/>
    </row>
    <row r="7454" s="105" customFormat="1" spans="9:12">
      <c r="I7454" s="225"/>
      <c r="K7454" s="9"/>
      <c r="L7454" s="9"/>
    </row>
    <row r="7455" s="105" customFormat="1" spans="9:12">
      <c r="I7455" s="225"/>
      <c r="K7455" s="9"/>
      <c r="L7455" s="9"/>
    </row>
    <row r="7456" s="105" customFormat="1" spans="9:12">
      <c r="I7456" s="225"/>
      <c r="K7456" s="9"/>
      <c r="L7456" s="9"/>
    </row>
    <row r="7457" s="105" customFormat="1" spans="9:12">
      <c r="I7457" s="225"/>
      <c r="K7457" s="9"/>
      <c r="L7457" s="9"/>
    </row>
    <row r="7458" s="105" customFormat="1" spans="9:12">
      <c r="I7458" s="225"/>
      <c r="K7458" s="9"/>
      <c r="L7458" s="9"/>
    </row>
    <row r="7459" s="105" customFormat="1" spans="9:12">
      <c r="I7459" s="225"/>
      <c r="K7459" s="9"/>
      <c r="L7459" s="9"/>
    </row>
    <row r="7460" s="105" customFormat="1" spans="9:12">
      <c r="I7460" s="225"/>
      <c r="K7460" s="9"/>
      <c r="L7460" s="9"/>
    </row>
    <row r="7461" s="105" customFormat="1" spans="9:12">
      <c r="I7461" s="225"/>
      <c r="K7461" s="9"/>
      <c r="L7461" s="9"/>
    </row>
    <row r="7462" s="105" customFormat="1" spans="9:12">
      <c r="I7462" s="225"/>
      <c r="K7462" s="9"/>
      <c r="L7462" s="9"/>
    </row>
    <row r="7463" s="105" customFormat="1" spans="9:12">
      <c r="I7463" s="225"/>
      <c r="K7463" s="9"/>
      <c r="L7463" s="9"/>
    </row>
    <row r="7464" s="105" customFormat="1" spans="9:12">
      <c r="I7464" s="225"/>
      <c r="K7464" s="9"/>
      <c r="L7464" s="9"/>
    </row>
    <row r="7465" s="105" customFormat="1" spans="9:12">
      <c r="I7465" s="225"/>
      <c r="K7465" s="9"/>
      <c r="L7465" s="9"/>
    </row>
    <row r="7466" s="105" customFormat="1" spans="9:12">
      <c r="I7466" s="225"/>
      <c r="K7466" s="9"/>
      <c r="L7466" s="9"/>
    </row>
    <row r="7467" s="105" customFormat="1" spans="9:12">
      <c r="I7467" s="225"/>
      <c r="K7467" s="9"/>
      <c r="L7467" s="9"/>
    </row>
    <row r="7468" s="105" customFormat="1" spans="9:12">
      <c r="I7468" s="225"/>
      <c r="K7468" s="9"/>
      <c r="L7468" s="9"/>
    </row>
    <row r="7469" s="105" customFormat="1" spans="9:12">
      <c r="I7469" s="225"/>
      <c r="K7469" s="9"/>
      <c r="L7469" s="9"/>
    </row>
    <row r="7470" s="105" customFormat="1" spans="9:12">
      <c r="I7470" s="225"/>
      <c r="K7470" s="9"/>
      <c r="L7470" s="9"/>
    </row>
    <row r="7471" s="105" customFormat="1" spans="9:12">
      <c r="I7471" s="225"/>
      <c r="K7471" s="9"/>
      <c r="L7471" s="9"/>
    </row>
    <row r="7472" s="105" customFormat="1" spans="9:12">
      <c r="I7472" s="225"/>
      <c r="K7472" s="9"/>
      <c r="L7472" s="9"/>
    </row>
    <row r="7473" s="105" customFormat="1" spans="9:12">
      <c r="I7473" s="225"/>
      <c r="K7473" s="9"/>
      <c r="L7473" s="9"/>
    </row>
    <row r="7474" s="105" customFormat="1" spans="9:12">
      <c r="I7474" s="225"/>
      <c r="K7474" s="9"/>
      <c r="L7474" s="9"/>
    </row>
    <row r="7475" s="105" customFormat="1" spans="9:12">
      <c r="I7475" s="225"/>
      <c r="K7475" s="9"/>
      <c r="L7475" s="9"/>
    </row>
    <row r="7476" s="105" customFormat="1" spans="9:12">
      <c r="I7476" s="225"/>
      <c r="K7476" s="9"/>
      <c r="L7476" s="9"/>
    </row>
    <row r="7477" s="105" customFormat="1" spans="9:12">
      <c r="I7477" s="225"/>
      <c r="K7477" s="9"/>
      <c r="L7477" s="9"/>
    </row>
    <row r="7478" s="105" customFormat="1" spans="9:12">
      <c r="I7478" s="225"/>
      <c r="K7478" s="9"/>
      <c r="L7478" s="9"/>
    </row>
    <row r="7479" s="105" customFormat="1" spans="9:12">
      <c r="I7479" s="225"/>
      <c r="K7479" s="9"/>
      <c r="L7479" s="9"/>
    </row>
    <row r="7480" s="105" customFormat="1" spans="9:12">
      <c r="I7480" s="225"/>
      <c r="K7480" s="9"/>
      <c r="L7480" s="9"/>
    </row>
    <row r="7481" s="105" customFormat="1" spans="9:12">
      <c r="I7481" s="225"/>
      <c r="K7481" s="9"/>
      <c r="L7481" s="9"/>
    </row>
    <row r="7482" s="105" customFormat="1" spans="9:12">
      <c r="I7482" s="225"/>
      <c r="K7482" s="9"/>
      <c r="L7482" s="9"/>
    </row>
    <row r="7483" s="105" customFormat="1" spans="9:12">
      <c r="I7483" s="225"/>
      <c r="K7483" s="9"/>
      <c r="L7483" s="9"/>
    </row>
    <row r="7484" s="105" customFormat="1" spans="9:12">
      <c r="I7484" s="225"/>
      <c r="K7484" s="9"/>
      <c r="L7484" s="9"/>
    </row>
    <row r="7485" s="105" customFormat="1" spans="9:12">
      <c r="I7485" s="225"/>
      <c r="K7485" s="9"/>
      <c r="L7485" s="9"/>
    </row>
    <row r="7486" s="105" customFormat="1" spans="9:12">
      <c r="I7486" s="225"/>
      <c r="K7486" s="9"/>
      <c r="L7486" s="9"/>
    </row>
    <row r="7487" s="105" customFormat="1" spans="9:12">
      <c r="I7487" s="225"/>
      <c r="K7487" s="9"/>
      <c r="L7487" s="9"/>
    </row>
    <row r="7488" s="105" customFormat="1" spans="9:12">
      <c r="I7488" s="225"/>
      <c r="K7488" s="9"/>
      <c r="L7488" s="9"/>
    </row>
    <row r="7489" s="105" customFormat="1" spans="9:12">
      <c r="I7489" s="225"/>
      <c r="K7489" s="9"/>
      <c r="L7489" s="9"/>
    </row>
    <row r="7490" s="105" customFormat="1" spans="9:12">
      <c r="I7490" s="225"/>
      <c r="K7490" s="9"/>
      <c r="L7490" s="9"/>
    </row>
    <row r="7491" s="105" customFormat="1" spans="9:12">
      <c r="I7491" s="225"/>
      <c r="K7491" s="9"/>
      <c r="L7491" s="9"/>
    </row>
    <row r="7492" s="105" customFormat="1" spans="9:12">
      <c r="I7492" s="225"/>
      <c r="K7492" s="9"/>
      <c r="L7492" s="9"/>
    </row>
    <row r="7493" s="105" customFormat="1" spans="9:12">
      <c r="I7493" s="225"/>
      <c r="K7493" s="9"/>
      <c r="L7493" s="9"/>
    </row>
    <row r="7494" s="105" customFormat="1" spans="9:12">
      <c r="I7494" s="225"/>
      <c r="K7494" s="9"/>
      <c r="L7494" s="9"/>
    </row>
    <row r="7495" s="105" customFormat="1" spans="9:12">
      <c r="I7495" s="225"/>
      <c r="K7495" s="9"/>
      <c r="L7495" s="9"/>
    </row>
    <row r="7496" s="105" customFormat="1" spans="9:12">
      <c r="I7496" s="225"/>
      <c r="K7496" s="9"/>
      <c r="L7496" s="9"/>
    </row>
    <row r="7497" s="105" customFormat="1" spans="9:12">
      <c r="I7497" s="225"/>
      <c r="K7497" s="9"/>
      <c r="L7497" s="9"/>
    </row>
    <row r="7498" s="105" customFormat="1" spans="9:12">
      <c r="I7498" s="225"/>
      <c r="K7498" s="9"/>
      <c r="L7498" s="9"/>
    </row>
    <row r="7499" s="105" customFormat="1" spans="9:12">
      <c r="I7499" s="225"/>
      <c r="K7499" s="9"/>
      <c r="L7499" s="9"/>
    </row>
    <row r="7500" s="105" customFormat="1" spans="9:12">
      <c r="I7500" s="225"/>
      <c r="K7500" s="9"/>
      <c r="L7500" s="9"/>
    </row>
    <row r="7501" s="105" customFormat="1" spans="9:12">
      <c r="I7501" s="225"/>
      <c r="K7501" s="9"/>
      <c r="L7501" s="9"/>
    </row>
    <row r="7502" s="105" customFormat="1" spans="9:12">
      <c r="I7502" s="225"/>
      <c r="K7502" s="9"/>
      <c r="L7502" s="9"/>
    </row>
    <row r="7503" s="105" customFormat="1" spans="9:12">
      <c r="I7503" s="225"/>
      <c r="K7503" s="9"/>
      <c r="L7503" s="9"/>
    </row>
    <row r="7504" s="105" customFormat="1" spans="9:12">
      <c r="I7504" s="225"/>
      <c r="K7504" s="9"/>
      <c r="L7504" s="9"/>
    </row>
    <row r="7505" s="105" customFormat="1" spans="9:12">
      <c r="I7505" s="225"/>
      <c r="K7505" s="9"/>
      <c r="L7505" s="9"/>
    </row>
    <row r="7506" s="105" customFormat="1" spans="9:12">
      <c r="I7506" s="225"/>
      <c r="K7506" s="9"/>
      <c r="L7506" s="9"/>
    </row>
    <row r="7507" s="105" customFormat="1" spans="9:12">
      <c r="I7507" s="225"/>
      <c r="K7507" s="9"/>
      <c r="L7507" s="9"/>
    </row>
    <row r="7508" s="105" customFormat="1" spans="9:12">
      <c r="I7508" s="225"/>
      <c r="K7508" s="9"/>
      <c r="L7508" s="9"/>
    </row>
    <row r="7509" s="105" customFormat="1" spans="9:12">
      <c r="I7509" s="225"/>
      <c r="K7509" s="9"/>
      <c r="L7509" s="9"/>
    </row>
    <row r="7510" s="105" customFormat="1" spans="9:12">
      <c r="I7510" s="225"/>
      <c r="K7510" s="9"/>
      <c r="L7510" s="9"/>
    </row>
    <row r="7511" s="105" customFormat="1" spans="9:12">
      <c r="I7511" s="225"/>
      <c r="K7511" s="9"/>
      <c r="L7511" s="9"/>
    </row>
    <row r="7512" s="105" customFormat="1" spans="9:12">
      <c r="I7512" s="225"/>
      <c r="K7512" s="9"/>
      <c r="L7512" s="9"/>
    </row>
    <row r="7513" s="105" customFormat="1" spans="9:12">
      <c r="I7513" s="225"/>
      <c r="K7513" s="9"/>
      <c r="L7513" s="9"/>
    </row>
    <row r="7514" s="105" customFormat="1" spans="9:12">
      <c r="I7514" s="225"/>
      <c r="K7514" s="9"/>
      <c r="L7514" s="9"/>
    </row>
    <row r="7515" s="105" customFormat="1" spans="9:12">
      <c r="I7515" s="225"/>
      <c r="K7515" s="9"/>
      <c r="L7515" s="9"/>
    </row>
    <row r="7516" s="105" customFormat="1" spans="9:12">
      <c r="I7516" s="225"/>
      <c r="K7516" s="9"/>
      <c r="L7516" s="9"/>
    </row>
    <row r="7517" s="105" customFormat="1" spans="9:12">
      <c r="I7517" s="225"/>
      <c r="K7517" s="9"/>
      <c r="L7517" s="9"/>
    </row>
    <row r="7518" s="105" customFormat="1" spans="9:12">
      <c r="I7518" s="225"/>
      <c r="K7518" s="9"/>
      <c r="L7518" s="9"/>
    </row>
    <row r="7519" s="105" customFormat="1" spans="9:12">
      <c r="I7519" s="225"/>
      <c r="K7519" s="9"/>
      <c r="L7519" s="9"/>
    </row>
    <row r="7520" s="105" customFormat="1" spans="9:12">
      <c r="I7520" s="225"/>
      <c r="K7520" s="9"/>
      <c r="L7520" s="9"/>
    </row>
    <row r="7521" s="105" customFormat="1" spans="9:12">
      <c r="I7521" s="225"/>
      <c r="K7521" s="9"/>
      <c r="L7521" s="9"/>
    </row>
    <row r="7522" s="105" customFormat="1" spans="9:12">
      <c r="I7522" s="225"/>
      <c r="K7522" s="9"/>
      <c r="L7522" s="9"/>
    </row>
    <row r="7523" s="105" customFormat="1" spans="9:12">
      <c r="I7523" s="225"/>
      <c r="K7523" s="9"/>
      <c r="L7523" s="9"/>
    </row>
    <row r="7524" s="105" customFormat="1" spans="9:12">
      <c r="I7524" s="225"/>
      <c r="K7524" s="9"/>
      <c r="L7524" s="9"/>
    </row>
    <row r="7525" s="105" customFormat="1" spans="9:12">
      <c r="I7525" s="225"/>
      <c r="K7525" s="9"/>
      <c r="L7525" s="9"/>
    </row>
    <row r="7526" s="105" customFormat="1" spans="9:12">
      <c r="I7526" s="225"/>
      <c r="K7526" s="9"/>
      <c r="L7526" s="9"/>
    </row>
    <row r="7527" s="105" customFormat="1" spans="9:12">
      <c r="I7527" s="225"/>
      <c r="K7527" s="9"/>
      <c r="L7527" s="9"/>
    </row>
    <row r="7528" s="105" customFormat="1" spans="9:12">
      <c r="I7528" s="225"/>
      <c r="K7528" s="9"/>
      <c r="L7528" s="9"/>
    </row>
    <row r="7529" s="105" customFormat="1" spans="9:12">
      <c r="I7529" s="225"/>
      <c r="K7529" s="9"/>
      <c r="L7529" s="9"/>
    </row>
    <row r="7530" s="105" customFormat="1" spans="9:12">
      <c r="I7530" s="225"/>
      <c r="K7530" s="9"/>
      <c r="L7530" s="9"/>
    </row>
    <row r="7531" s="105" customFormat="1" spans="9:12">
      <c r="I7531" s="225"/>
      <c r="K7531" s="9"/>
      <c r="L7531" s="9"/>
    </row>
    <row r="7532" s="105" customFormat="1" spans="9:12">
      <c r="I7532" s="225"/>
      <c r="K7532" s="9"/>
      <c r="L7532" s="9"/>
    </row>
    <row r="7533" s="105" customFormat="1" spans="9:12">
      <c r="I7533" s="225"/>
      <c r="K7533" s="9"/>
      <c r="L7533" s="9"/>
    </row>
    <row r="7534" s="105" customFormat="1" spans="9:12">
      <c r="I7534" s="225"/>
      <c r="K7534" s="9"/>
      <c r="L7534" s="9"/>
    </row>
    <row r="7535" s="105" customFormat="1" spans="9:12">
      <c r="I7535" s="225"/>
      <c r="K7535" s="9"/>
      <c r="L7535" s="9"/>
    </row>
    <row r="7536" s="105" customFormat="1" spans="9:12">
      <c r="I7536" s="225"/>
      <c r="K7536" s="9"/>
      <c r="L7536" s="9"/>
    </row>
    <row r="7537" s="105" customFormat="1" spans="9:12">
      <c r="I7537" s="225"/>
      <c r="K7537" s="9"/>
      <c r="L7537" s="9"/>
    </row>
    <row r="7538" s="105" customFormat="1" spans="9:12">
      <c r="I7538" s="225"/>
      <c r="K7538" s="9"/>
      <c r="L7538" s="9"/>
    </row>
    <row r="7539" s="105" customFormat="1" spans="9:12">
      <c r="I7539" s="225"/>
      <c r="K7539" s="9"/>
      <c r="L7539" s="9"/>
    </row>
    <row r="7540" s="105" customFormat="1" spans="9:12">
      <c r="I7540" s="225"/>
      <c r="K7540" s="9"/>
      <c r="L7540" s="9"/>
    </row>
    <row r="7541" s="105" customFormat="1" spans="9:12">
      <c r="I7541" s="225"/>
      <c r="K7541" s="9"/>
      <c r="L7541" s="9"/>
    </row>
    <row r="7542" s="105" customFormat="1" spans="9:12">
      <c r="I7542" s="225"/>
      <c r="K7542" s="9"/>
      <c r="L7542" s="9"/>
    </row>
    <row r="7543" s="105" customFormat="1" spans="9:12">
      <c r="I7543" s="225"/>
      <c r="K7543" s="9"/>
      <c r="L7543" s="9"/>
    </row>
    <row r="7544" s="105" customFormat="1" spans="9:12">
      <c r="I7544" s="225"/>
      <c r="K7544" s="9"/>
      <c r="L7544" s="9"/>
    </row>
    <row r="7545" s="105" customFormat="1" spans="9:12">
      <c r="I7545" s="225"/>
      <c r="K7545" s="9"/>
      <c r="L7545" s="9"/>
    </row>
    <row r="7546" s="105" customFormat="1" spans="9:12">
      <c r="I7546" s="225"/>
      <c r="K7546" s="9"/>
      <c r="L7546" s="9"/>
    </row>
    <row r="7547" s="105" customFormat="1" spans="9:12">
      <c r="I7547" s="225"/>
      <c r="K7547" s="9"/>
      <c r="L7547" s="9"/>
    </row>
    <row r="7548" s="105" customFormat="1" spans="9:12">
      <c r="I7548" s="225"/>
      <c r="K7548" s="9"/>
      <c r="L7548" s="9"/>
    </row>
    <row r="7549" s="105" customFormat="1" spans="9:12">
      <c r="I7549" s="225"/>
      <c r="K7549" s="9"/>
      <c r="L7549" s="9"/>
    </row>
    <row r="7550" s="105" customFormat="1" spans="9:12">
      <c r="I7550" s="225"/>
      <c r="K7550" s="9"/>
      <c r="L7550" s="9"/>
    </row>
    <row r="7551" s="105" customFormat="1" spans="9:12">
      <c r="I7551" s="225"/>
      <c r="K7551" s="9"/>
      <c r="L7551" s="9"/>
    </row>
    <row r="7552" s="105" customFormat="1" spans="9:12">
      <c r="I7552" s="225"/>
      <c r="K7552" s="9"/>
      <c r="L7552" s="9"/>
    </row>
    <row r="7553" s="105" customFormat="1" spans="9:12">
      <c r="I7553" s="225"/>
      <c r="K7553" s="9"/>
      <c r="L7553" s="9"/>
    </row>
    <row r="7554" s="105" customFormat="1" spans="9:12">
      <c r="I7554" s="225"/>
      <c r="K7554" s="9"/>
      <c r="L7554" s="9"/>
    </row>
    <row r="7555" s="105" customFormat="1" spans="9:12">
      <c r="I7555" s="225"/>
      <c r="K7555" s="9"/>
      <c r="L7555" s="9"/>
    </row>
    <row r="7556" s="105" customFormat="1" spans="9:12">
      <c r="I7556" s="225"/>
      <c r="K7556" s="9"/>
      <c r="L7556" s="9"/>
    </row>
    <row r="7557" s="105" customFormat="1" spans="9:12">
      <c r="I7557" s="225"/>
      <c r="K7557" s="9"/>
      <c r="L7557" s="9"/>
    </row>
    <row r="7558" s="105" customFormat="1" spans="9:12">
      <c r="I7558" s="225"/>
      <c r="K7558" s="9"/>
      <c r="L7558" s="9"/>
    </row>
    <row r="7559" s="105" customFormat="1" spans="9:12">
      <c r="I7559" s="225"/>
      <c r="K7559" s="9"/>
      <c r="L7559" s="9"/>
    </row>
    <row r="7560" s="105" customFormat="1" spans="9:12">
      <c r="I7560" s="225"/>
      <c r="K7560" s="9"/>
      <c r="L7560" s="9"/>
    </row>
    <row r="7561" s="105" customFormat="1" spans="9:12">
      <c r="I7561" s="225"/>
      <c r="K7561" s="9"/>
      <c r="L7561" s="9"/>
    </row>
    <row r="7562" s="105" customFormat="1" spans="9:12">
      <c r="I7562" s="225"/>
      <c r="K7562" s="9"/>
      <c r="L7562" s="9"/>
    </row>
    <row r="7563" s="105" customFormat="1" spans="9:12">
      <c r="I7563" s="225"/>
      <c r="K7563" s="9"/>
      <c r="L7563" s="9"/>
    </row>
    <row r="7564" s="105" customFormat="1" spans="9:12">
      <c r="I7564" s="225"/>
      <c r="K7564" s="9"/>
      <c r="L7564" s="9"/>
    </row>
    <row r="7565" s="105" customFormat="1" spans="9:12">
      <c r="I7565" s="225"/>
      <c r="K7565" s="9"/>
      <c r="L7565" s="9"/>
    </row>
    <row r="7566" s="105" customFormat="1" spans="9:12">
      <c r="I7566" s="225"/>
      <c r="K7566" s="9"/>
      <c r="L7566" s="9"/>
    </row>
    <row r="7567" s="105" customFormat="1" spans="9:12">
      <c r="I7567" s="225"/>
      <c r="K7567" s="9"/>
      <c r="L7567" s="9"/>
    </row>
    <row r="7568" s="105" customFormat="1" spans="9:12">
      <c r="I7568" s="225"/>
      <c r="K7568" s="9"/>
      <c r="L7568" s="9"/>
    </row>
    <row r="7569" s="105" customFormat="1" spans="9:12">
      <c r="I7569" s="225"/>
      <c r="K7569" s="9"/>
      <c r="L7569" s="9"/>
    </row>
    <row r="7570" s="105" customFormat="1" spans="9:12">
      <c r="I7570" s="225"/>
      <c r="K7570" s="9"/>
      <c r="L7570" s="9"/>
    </row>
    <row r="7571" s="105" customFormat="1" spans="9:12">
      <c r="I7571" s="225"/>
      <c r="K7571" s="9"/>
      <c r="L7571" s="9"/>
    </row>
    <row r="7572" s="105" customFormat="1" spans="9:12">
      <c r="I7572" s="225"/>
      <c r="K7572" s="9"/>
      <c r="L7572" s="9"/>
    </row>
    <row r="7573" s="105" customFormat="1" spans="9:12">
      <c r="I7573" s="225"/>
      <c r="K7573" s="9"/>
      <c r="L7573" s="9"/>
    </row>
    <row r="7574" s="105" customFormat="1" spans="9:12">
      <c r="I7574" s="225"/>
      <c r="K7574" s="9"/>
      <c r="L7574" s="9"/>
    </row>
    <row r="7575" s="105" customFormat="1" spans="9:12">
      <c r="I7575" s="225"/>
      <c r="K7575" s="9"/>
      <c r="L7575" s="9"/>
    </row>
    <row r="7576" s="105" customFormat="1" spans="9:12">
      <c r="I7576" s="225"/>
      <c r="K7576" s="9"/>
      <c r="L7576" s="9"/>
    </row>
    <row r="7577" s="105" customFormat="1" spans="9:12">
      <c r="I7577" s="225"/>
      <c r="K7577" s="9"/>
      <c r="L7577" s="9"/>
    </row>
    <row r="7578" s="105" customFormat="1" spans="9:12">
      <c r="I7578" s="225"/>
      <c r="K7578" s="9"/>
      <c r="L7578" s="9"/>
    </row>
    <row r="7579" s="105" customFormat="1" spans="9:12">
      <c r="I7579" s="225"/>
      <c r="K7579" s="9"/>
      <c r="L7579" s="9"/>
    </row>
    <row r="7580" s="105" customFormat="1" spans="9:12">
      <c r="I7580" s="225"/>
      <c r="K7580" s="9"/>
      <c r="L7580" s="9"/>
    </row>
    <row r="7581" s="105" customFormat="1" spans="9:12">
      <c r="I7581" s="225"/>
      <c r="K7581" s="9"/>
      <c r="L7581" s="9"/>
    </row>
    <row r="7582" s="105" customFormat="1" spans="9:12">
      <c r="I7582" s="225"/>
      <c r="K7582" s="9"/>
      <c r="L7582" s="9"/>
    </row>
    <row r="7583" s="105" customFormat="1" spans="9:12">
      <c r="I7583" s="225"/>
      <c r="K7583" s="9"/>
      <c r="L7583" s="9"/>
    </row>
    <row r="7584" s="105" customFormat="1" spans="9:12">
      <c r="I7584" s="225"/>
      <c r="K7584" s="9"/>
      <c r="L7584" s="9"/>
    </row>
    <row r="7585" s="105" customFormat="1" spans="9:12">
      <c r="I7585" s="225"/>
      <c r="K7585" s="9"/>
      <c r="L7585" s="9"/>
    </row>
    <row r="7586" s="105" customFormat="1" spans="9:12">
      <c r="I7586" s="225"/>
      <c r="K7586" s="9"/>
      <c r="L7586" s="9"/>
    </row>
    <row r="7587" s="105" customFormat="1" spans="9:12">
      <c r="I7587" s="225"/>
      <c r="K7587" s="9"/>
      <c r="L7587" s="9"/>
    </row>
    <row r="7588" s="105" customFormat="1" spans="9:12">
      <c r="I7588" s="225"/>
      <c r="K7588" s="9"/>
      <c r="L7588" s="9"/>
    </row>
    <row r="7589" s="105" customFormat="1" spans="9:12">
      <c r="I7589" s="225"/>
      <c r="K7589" s="9"/>
      <c r="L7589" s="9"/>
    </row>
    <row r="7590" s="105" customFormat="1" spans="9:12">
      <c r="I7590" s="225"/>
      <c r="K7590" s="9"/>
      <c r="L7590" s="9"/>
    </row>
    <row r="7591" s="105" customFormat="1" spans="9:12">
      <c r="I7591" s="225"/>
      <c r="K7591" s="9"/>
      <c r="L7591" s="9"/>
    </row>
    <row r="7592" s="105" customFormat="1" spans="9:12">
      <c r="I7592" s="225"/>
      <c r="K7592" s="9"/>
      <c r="L7592" s="9"/>
    </row>
    <row r="7593" s="105" customFormat="1" spans="9:12">
      <c r="I7593" s="225"/>
      <c r="K7593" s="9"/>
      <c r="L7593" s="9"/>
    </row>
    <row r="7594" s="105" customFormat="1" spans="9:12">
      <c r="I7594" s="225"/>
      <c r="K7594" s="9"/>
      <c r="L7594" s="9"/>
    </row>
    <row r="7595" s="105" customFormat="1" spans="9:12">
      <c r="I7595" s="225"/>
      <c r="K7595" s="9"/>
      <c r="L7595" s="9"/>
    </row>
    <row r="7596" s="105" customFormat="1" spans="9:12">
      <c r="I7596" s="225"/>
      <c r="K7596" s="9"/>
      <c r="L7596" s="9"/>
    </row>
    <row r="7597" s="105" customFormat="1" spans="9:12">
      <c r="I7597" s="225"/>
      <c r="K7597" s="9"/>
      <c r="L7597" s="9"/>
    </row>
    <row r="7598" s="105" customFormat="1" spans="9:12">
      <c r="I7598" s="225"/>
      <c r="K7598" s="9"/>
      <c r="L7598" s="9"/>
    </row>
    <row r="7599" s="105" customFormat="1" spans="9:12">
      <c r="I7599" s="225"/>
      <c r="K7599" s="9"/>
      <c r="L7599" s="9"/>
    </row>
    <row r="7600" s="105" customFormat="1" spans="9:12">
      <c r="I7600" s="225"/>
      <c r="K7600" s="9"/>
      <c r="L7600" s="9"/>
    </row>
    <row r="7601" s="105" customFormat="1" spans="9:12">
      <c r="I7601" s="225"/>
      <c r="K7601" s="9"/>
      <c r="L7601" s="9"/>
    </row>
    <row r="7602" s="105" customFormat="1" spans="9:12">
      <c r="I7602" s="225"/>
      <c r="K7602" s="9"/>
      <c r="L7602" s="9"/>
    </row>
    <row r="7603" s="105" customFormat="1" spans="9:12">
      <c r="I7603" s="225"/>
      <c r="K7603" s="9"/>
      <c r="L7603" s="9"/>
    </row>
    <row r="7604" s="105" customFormat="1" spans="9:12">
      <c r="I7604" s="225"/>
      <c r="K7604" s="9"/>
      <c r="L7604" s="9"/>
    </row>
    <row r="7605" s="105" customFormat="1" spans="9:12">
      <c r="I7605" s="225"/>
      <c r="K7605" s="9"/>
      <c r="L7605" s="9"/>
    </row>
    <row r="7606" s="105" customFormat="1" spans="9:12">
      <c r="I7606" s="225"/>
      <c r="K7606" s="9"/>
      <c r="L7606" s="9"/>
    </row>
    <row r="7607" s="105" customFormat="1" spans="9:12">
      <c r="I7607" s="225"/>
      <c r="K7607" s="9"/>
      <c r="L7607" s="9"/>
    </row>
    <row r="7608" s="105" customFormat="1" spans="9:12">
      <c r="I7608" s="225"/>
      <c r="K7608" s="9"/>
      <c r="L7608" s="9"/>
    </row>
    <row r="7609" s="105" customFormat="1" spans="9:12">
      <c r="I7609" s="225"/>
      <c r="K7609" s="9"/>
      <c r="L7609" s="9"/>
    </row>
    <row r="7610" s="105" customFormat="1" spans="9:12">
      <c r="I7610" s="225"/>
      <c r="K7610" s="9"/>
      <c r="L7610" s="9"/>
    </row>
    <row r="7611" s="105" customFormat="1" spans="9:12">
      <c r="I7611" s="225"/>
      <c r="K7611" s="9"/>
      <c r="L7611" s="9"/>
    </row>
    <row r="7612" s="105" customFormat="1" spans="9:12">
      <c r="I7612" s="225"/>
      <c r="K7612" s="9"/>
      <c r="L7612" s="9"/>
    </row>
    <row r="7613" s="105" customFormat="1" spans="9:12">
      <c r="I7613" s="225"/>
      <c r="K7613" s="9"/>
      <c r="L7613" s="9"/>
    </row>
    <row r="7614" s="105" customFormat="1" spans="9:12">
      <c r="I7614" s="225"/>
      <c r="K7614" s="9"/>
      <c r="L7614" s="9"/>
    </row>
    <row r="7615" s="105" customFormat="1" spans="9:12">
      <c r="I7615" s="225"/>
      <c r="K7615" s="9"/>
      <c r="L7615" s="9"/>
    </row>
    <row r="7616" s="105" customFormat="1" spans="9:12">
      <c r="I7616" s="225"/>
      <c r="K7616" s="9"/>
      <c r="L7616" s="9"/>
    </row>
    <row r="7617" s="105" customFormat="1" spans="9:12">
      <c r="I7617" s="225"/>
      <c r="K7617" s="9"/>
      <c r="L7617" s="9"/>
    </row>
    <row r="7618" s="105" customFormat="1" spans="9:12">
      <c r="I7618" s="225"/>
      <c r="K7618" s="9"/>
      <c r="L7618" s="9"/>
    </row>
    <row r="7619" s="105" customFormat="1" spans="9:12">
      <c r="I7619" s="225"/>
      <c r="K7619" s="9"/>
      <c r="L7619" s="9"/>
    </row>
    <row r="7620" s="105" customFormat="1" spans="9:12">
      <c r="I7620" s="225"/>
      <c r="K7620" s="9"/>
      <c r="L7620" s="9"/>
    </row>
    <row r="7621" s="105" customFormat="1" spans="9:12">
      <c r="I7621" s="225"/>
      <c r="K7621" s="9"/>
      <c r="L7621" s="9"/>
    </row>
    <row r="7622" s="105" customFormat="1" spans="9:12">
      <c r="I7622" s="225"/>
      <c r="K7622" s="9"/>
      <c r="L7622" s="9"/>
    </row>
    <row r="7623" s="105" customFormat="1" spans="9:12">
      <c r="I7623" s="225"/>
      <c r="K7623" s="9"/>
      <c r="L7623" s="9"/>
    </row>
    <row r="7624" s="105" customFormat="1" spans="9:12">
      <c r="I7624" s="225"/>
      <c r="K7624" s="9"/>
      <c r="L7624" s="9"/>
    </row>
    <row r="7625" s="105" customFormat="1" spans="9:12">
      <c r="I7625" s="225"/>
      <c r="K7625" s="9"/>
      <c r="L7625" s="9"/>
    </row>
    <row r="7626" s="105" customFormat="1" spans="9:12">
      <c r="I7626" s="225"/>
      <c r="K7626" s="9"/>
      <c r="L7626" s="9"/>
    </row>
    <row r="7627" s="105" customFormat="1" spans="9:12">
      <c r="I7627" s="225"/>
      <c r="K7627" s="9"/>
      <c r="L7627" s="9"/>
    </row>
    <row r="7628" s="105" customFormat="1" spans="9:12">
      <c r="I7628" s="225"/>
      <c r="K7628" s="9"/>
      <c r="L7628" s="9"/>
    </row>
    <row r="7629" s="105" customFormat="1" spans="9:12">
      <c r="I7629" s="225"/>
      <c r="K7629" s="9"/>
      <c r="L7629" s="9"/>
    </row>
    <row r="7630" s="105" customFormat="1" spans="9:12">
      <c r="I7630" s="225"/>
      <c r="K7630" s="9"/>
      <c r="L7630" s="9"/>
    </row>
    <row r="7631" s="105" customFormat="1" spans="9:12">
      <c r="I7631" s="225"/>
      <c r="K7631" s="9"/>
      <c r="L7631" s="9"/>
    </row>
    <row r="7632" s="105" customFormat="1" spans="9:12">
      <c r="I7632" s="225"/>
      <c r="K7632" s="9"/>
      <c r="L7632" s="9"/>
    </row>
    <row r="7633" s="105" customFormat="1" spans="9:12">
      <c r="I7633" s="225"/>
      <c r="K7633" s="9"/>
      <c r="L7633" s="9"/>
    </row>
    <row r="7634" s="105" customFormat="1" spans="9:12">
      <c r="I7634" s="225"/>
      <c r="K7634" s="9"/>
      <c r="L7634" s="9"/>
    </row>
    <row r="7635" s="105" customFormat="1" spans="9:12">
      <c r="I7635" s="225"/>
      <c r="K7635" s="9"/>
      <c r="L7635" s="9"/>
    </row>
    <row r="7636" s="105" customFormat="1" spans="9:12">
      <c r="I7636" s="225"/>
      <c r="K7636" s="9"/>
      <c r="L7636" s="9"/>
    </row>
    <row r="7637" s="105" customFormat="1" spans="9:12">
      <c r="I7637" s="225"/>
      <c r="K7637" s="9"/>
      <c r="L7637" s="9"/>
    </row>
    <row r="7638" s="105" customFormat="1" spans="9:12">
      <c r="I7638" s="225"/>
      <c r="K7638" s="9"/>
      <c r="L7638" s="9"/>
    </row>
    <row r="7639" s="105" customFormat="1" spans="9:12">
      <c r="I7639" s="225"/>
      <c r="K7639" s="9"/>
      <c r="L7639" s="9"/>
    </row>
    <row r="7640" s="105" customFormat="1" spans="9:12">
      <c r="I7640" s="225"/>
      <c r="K7640" s="9"/>
      <c r="L7640" s="9"/>
    </row>
    <row r="7641" s="105" customFormat="1" spans="9:12">
      <c r="I7641" s="225"/>
      <c r="K7641" s="9"/>
      <c r="L7641" s="9"/>
    </row>
    <row r="7642" s="105" customFormat="1" spans="9:12">
      <c r="I7642" s="225"/>
      <c r="K7642" s="9"/>
      <c r="L7642" s="9"/>
    </row>
    <row r="7643" s="105" customFormat="1" spans="9:12">
      <c r="I7643" s="225"/>
      <c r="K7643" s="9"/>
      <c r="L7643" s="9"/>
    </row>
    <row r="7644" s="105" customFormat="1" spans="9:12">
      <c r="I7644" s="225"/>
      <c r="K7644" s="9"/>
      <c r="L7644" s="9"/>
    </row>
    <row r="7645" s="105" customFormat="1" spans="9:12">
      <c r="I7645" s="225"/>
      <c r="K7645" s="9"/>
      <c r="L7645" s="9"/>
    </row>
    <row r="7646" s="105" customFormat="1" spans="9:12">
      <c r="I7646" s="225"/>
      <c r="K7646" s="9"/>
      <c r="L7646" s="9"/>
    </row>
    <row r="7647" s="105" customFormat="1" spans="9:12">
      <c r="I7647" s="225"/>
      <c r="K7647" s="9"/>
      <c r="L7647" s="9"/>
    </row>
    <row r="7648" s="105" customFormat="1" spans="9:12">
      <c r="I7648" s="225"/>
      <c r="K7648" s="9"/>
      <c r="L7648" s="9"/>
    </row>
    <row r="7649" s="105" customFormat="1" spans="9:12">
      <c r="I7649" s="225"/>
      <c r="K7649" s="9"/>
      <c r="L7649" s="9"/>
    </row>
    <row r="7650" s="105" customFormat="1" spans="9:12">
      <c r="I7650" s="225"/>
      <c r="K7650" s="9"/>
      <c r="L7650" s="9"/>
    </row>
    <row r="7651" s="105" customFormat="1" spans="9:12">
      <c r="I7651" s="225"/>
      <c r="K7651" s="9"/>
      <c r="L7651" s="9"/>
    </row>
    <row r="7652" s="105" customFormat="1" spans="9:12">
      <c r="I7652" s="225"/>
      <c r="K7652" s="9"/>
      <c r="L7652" s="9"/>
    </row>
    <row r="7653" s="105" customFormat="1" spans="9:12">
      <c r="I7653" s="225"/>
      <c r="K7653" s="9"/>
      <c r="L7653" s="9"/>
    </row>
    <row r="7654" s="105" customFormat="1" spans="9:12">
      <c r="I7654" s="225"/>
      <c r="K7654" s="9"/>
      <c r="L7654" s="9"/>
    </row>
    <row r="7655" s="105" customFormat="1" spans="9:12">
      <c r="I7655" s="225"/>
      <c r="K7655" s="9"/>
      <c r="L7655" s="9"/>
    </row>
    <row r="7656" s="105" customFormat="1" spans="9:12">
      <c r="I7656" s="225"/>
      <c r="K7656" s="9"/>
      <c r="L7656" s="9"/>
    </row>
    <row r="7657" s="105" customFormat="1" spans="9:12">
      <c r="I7657" s="225"/>
      <c r="K7657" s="9"/>
      <c r="L7657" s="9"/>
    </row>
    <row r="7658" s="105" customFormat="1" spans="9:12">
      <c r="I7658" s="225"/>
      <c r="K7658" s="9"/>
      <c r="L7658" s="9"/>
    </row>
    <row r="7659" s="105" customFormat="1" spans="9:12">
      <c r="I7659" s="225"/>
      <c r="K7659" s="9"/>
      <c r="L7659" s="9"/>
    </row>
    <row r="7660" s="105" customFormat="1" spans="9:12">
      <c r="I7660" s="225"/>
      <c r="K7660" s="9"/>
      <c r="L7660" s="9"/>
    </row>
    <row r="7661" s="105" customFormat="1" spans="9:12">
      <c r="I7661" s="225"/>
      <c r="K7661" s="9"/>
      <c r="L7661" s="9"/>
    </row>
    <row r="7662" s="105" customFormat="1" spans="9:12">
      <c r="I7662" s="225"/>
      <c r="K7662" s="9"/>
      <c r="L7662" s="9"/>
    </row>
    <row r="7663" s="105" customFormat="1" spans="9:12">
      <c r="I7663" s="225"/>
      <c r="K7663" s="9"/>
      <c r="L7663" s="9"/>
    </row>
    <row r="7664" s="105" customFormat="1" spans="9:12">
      <c r="I7664" s="225"/>
      <c r="K7664" s="9"/>
      <c r="L7664" s="9"/>
    </row>
    <row r="7665" s="105" customFormat="1" spans="9:12">
      <c r="I7665" s="225"/>
      <c r="K7665" s="9"/>
      <c r="L7665" s="9"/>
    </row>
    <row r="7666" s="105" customFormat="1" spans="9:12">
      <c r="I7666" s="225"/>
      <c r="K7666" s="9"/>
      <c r="L7666" s="9"/>
    </row>
    <row r="7667" s="105" customFormat="1" spans="9:12">
      <c r="I7667" s="225"/>
      <c r="K7667" s="9"/>
      <c r="L7667" s="9"/>
    </row>
    <row r="7668" s="105" customFormat="1" spans="9:12">
      <c r="I7668" s="225"/>
      <c r="K7668" s="9"/>
      <c r="L7668" s="9"/>
    </row>
    <row r="7669" s="105" customFormat="1" spans="9:12">
      <c r="I7669" s="225"/>
      <c r="K7669" s="9"/>
      <c r="L7669" s="9"/>
    </row>
    <row r="7670" s="105" customFormat="1" spans="9:12">
      <c r="I7670" s="225"/>
      <c r="K7670" s="9"/>
      <c r="L7670" s="9"/>
    </row>
    <row r="7671" s="105" customFormat="1" spans="9:12">
      <c r="I7671" s="225"/>
      <c r="K7671" s="9"/>
      <c r="L7671" s="9"/>
    </row>
    <row r="7672" s="105" customFormat="1" spans="9:12">
      <c r="I7672" s="225"/>
      <c r="K7672" s="9"/>
      <c r="L7672" s="9"/>
    </row>
    <row r="7673" s="105" customFormat="1" spans="9:12">
      <c r="I7673" s="225"/>
      <c r="K7673" s="9"/>
      <c r="L7673" s="9"/>
    </row>
    <row r="7674" s="105" customFormat="1" spans="9:12">
      <c r="I7674" s="225"/>
      <c r="K7674" s="9"/>
      <c r="L7674" s="9"/>
    </row>
    <row r="7675" s="105" customFormat="1" spans="9:12">
      <c r="I7675" s="225"/>
      <c r="K7675" s="9"/>
      <c r="L7675" s="9"/>
    </row>
    <row r="7676" s="105" customFormat="1" spans="9:12">
      <c r="I7676" s="225"/>
      <c r="K7676" s="9"/>
      <c r="L7676" s="9"/>
    </row>
    <row r="7677" s="105" customFormat="1" spans="9:12">
      <c r="I7677" s="225"/>
      <c r="K7677" s="9"/>
      <c r="L7677" s="9"/>
    </row>
    <row r="7678" s="105" customFormat="1" spans="9:12">
      <c r="I7678" s="225"/>
      <c r="K7678" s="9"/>
      <c r="L7678" s="9"/>
    </row>
    <row r="7679" s="105" customFormat="1" spans="9:12">
      <c r="I7679" s="225"/>
      <c r="K7679" s="9"/>
      <c r="L7679" s="9"/>
    </row>
    <row r="7680" s="105" customFormat="1" spans="9:12">
      <c r="I7680" s="225"/>
      <c r="K7680" s="9"/>
      <c r="L7680" s="9"/>
    </row>
    <row r="7681" s="105" customFormat="1" spans="9:12">
      <c r="I7681" s="225"/>
      <c r="K7681" s="9"/>
      <c r="L7681" s="9"/>
    </row>
    <row r="7682" s="105" customFormat="1" spans="9:12">
      <c r="I7682" s="225"/>
      <c r="K7682" s="9"/>
      <c r="L7682" s="9"/>
    </row>
    <row r="7683" s="105" customFormat="1" spans="9:12">
      <c r="I7683" s="225"/>
      <c r="K7683" s="9"/>
      <c r="L7683" s="9"/>
    </row>
    <row r="7684" s="105" customFormat="1" spans="9:12">
      <c r="I7684" s="225"/>
      <c r="K7684" s="9"/>
      <c r="L7684" s="9"/>
    </row>
    <row r="7685" s="105" customFormat="1" spans="9:12">
      <c r="I7685" s="225"/>
      <c r="K7685" s="9"/>
      <c r="L7685" s="9"/>
    </row>
    <row r="7686" s="105" customFormat="1" spans="9:12">
      <c r="I7686" s="225"/>
      <c r="K7686" s="9"/>
      <c r="L7686" s="9"/>
    </row>
    <row r="7687" s="105" customFormat="1" spans="9:12">
      <c r="I7687" s="225"/>
      <c r="K7687" s="9"/>
      <c r="L7687" s="9"/>
    </row>
    <row r="7688" s="105" customFormat="1" spans="9:12">
      <c r="I7688" s="225"/>
      <c r="K7688" s="9"/>
      <c r="L7688" s="9"/>
    </row>
    <row r="7689" s="105" customFormat="1" spans="9:12">
      <c r="I7689" s="225"/>
      <c r="K7689" s="9"/>
      <c r="L7689" s="9"/>
    </row>
    <row r="7690" s="105" customFormat="1" spans="9:12">
      <c r="I7690" s="225"/>
      <c r="K7690" s="9"/>
      <c r="L7690" s="9"/>
    </row>
    <row r="7691" s="105" customFormat="1" spans="9:12">
      <c r="I7691" s="225"/>
      <c r="K7691" s="9"/>
      <c r="L7691" s="9"/>
    </row>
    <row r="7692" s="105" customFormat="1" spans="9:12">
      <c r="I7692" s="225"/>
      <c r="K7692" s="9"/>
      <c r="L7692" s="9"/>
    </row>
    <row r="7693" s="105" customFormat="1" spans="9:12">
      <c r="I7693" s="225"/>
      <c r="K7693" s="9"/>
      <c r="L7693" s="9"/>
    </row>
    <row r="7694" s="105" customFormat="1" spans="9:12">
      <c r="I7694" s="225"/>
      <c r="K7694" s="9"/>
      <c r="L7694" s="9"/>
    </row>
    <row r="7695" s="105" customFormat="1" spans="9:12">
      <c r="I7695" s="225"/>
      <c r="K7695" s="9"/>
      <c r="L7695" s="9"/>
    </row>
    <row r="7696" s="105" customFormat="1" spans="9:12">
      <c r="I7696" s="225"/>
      <c r="K7696" s="9"/>
      <c r="L7696" s="9"/>
    </row>
    <row r="7697" s="105" customFormat="1" spans="9:12">
      <c r="I7697" s="225"/>
      <c r="K7697" s="9"/>
      <c r="L7697" s="9"/>
    </row>
    <row r="7698" s="105" customFormat="1" spans="9:12">
      <c r="I7698" s="225"/>
      <c r="K7698" s="9"/>
      <c r="L7698" s="9"/>
    </row>
    <row r="7699" s="105" customFormat="1" spans="9:12">
      <c r="I7699" s="225"/>
      <c r="K7699" s="9"/>
      <c r="L7699" s="9"/>
    </row>
    <row r="7700" s="105" customFormat="1" spans="9:12">
      <c r="I7700" s="225"/>
      <c r="K7700" s="9"/>
      <c r="L7700" s="9"/>
    </row>
    <row r="7701" s="105" customFormat="1" spans="9:12">
      <c r="I7701" s="225"/>
      <c r="K7701" s="9"/>
      <c r="L7701" s="9"/>
    </row>
    <row r="7702" s="105" customFormat="1" spans="9:12">
      <c r="I7702" s="225"/>
      <c r="K7702" s="9"/>
      <c r="L7702" s="9"/>
    </row>
    <row r="7703" s="105" customFormat="1" spans="9:12">
      <c r="I7703" s="225"/>
      <c r="K7703" s="9"/>
      <c r="L7703" s="9"/>
    </row>
    <row r="7704" s="105" customFormat="1" spans="9:12">
      <c r="I7704" s="225"/>
      <c r="K7704" s="9"/>
      <c r="L7704" s="9"/>
    </row>
    <row r="7705" s="105" customFormat="1" spans="9:12">
      <c r="I7705" s="225"/>
      <c r="K7705" s="9"/>
      <c r="L7705" s="9"/>
    </row>
    <row r="7706" s="105" customFormat="1" spans="9:12">
      <c r="I7706" s="225"/>
      <c r="K7706" s="9"/>
      <c r="L7706" s="9"/>
    </row>
    <row r="7707" s="105" customFormat="1" spans="9:12">
      <c r="I7707" s="225"/>
      <c r="K7707" s="9"/>
      <c r="L7707" s="9"/>
    </row>
    <row r="7708" s="105" customFormat="1" spans="9:12">
      <c r="I7708" s="225"/>
      <c r="K7708" s="9"/>
      <c r="L7708" s="9"/>
    </row>
    <row r="7709" s="105" customFormat="1" spans="9:12">
      <c r="I7709" s="225"/>
      <c r="K7709" s="9"/>
      <c r="L7709" s="9"/>
    </row>
    <row r="7710" s="105" customFormat="1" spans="9:12">
      <c r="I7710" s="225"/>
      <c r="K7710" s="9"/>
      <c r="L7710" s="9"/>
    </row>
    <row r="7711" s="105" customFormat="1" spans="9:12">
      <c r="I7711" s="225"/>
      <c r="K7711" s="9"/>
      <c r="L7711" s="9"/>
    </row>
    <row r="7712" s="105" customFormat="1" spans="9:12">
      <c r="I7712" s="225"/>
      <c r="K7712" s="9"/>
      <c r="L7712" s="9"/>
    </row>
    <row r="7713" s="105" customFormat="1" spans="9:12">
      <c r="I7713" s="225"/>
      <c r="K7713" s="9"/>
      <c r="L7713" s="9"/>
    </row>
    <row r="7714" s="105" customFormat="1" spans="9:12">
      <c r="I7714" s="225"/>
      <c r="K7714" s="9"/>
      <c r="L7714" s="9"/>
    </row>
    <row r="7715" s="105" customFormat="1" spans="9:12">
      <c r="I7715" s="225"/>
      <c r="K7715" s="9"/>
      <c r="L7715" s="9"/>
    </row>
    <row r="7716" s="105" customFormat="1" spans="9:12">
      <c r="I7716" s="225"/>
      <c r="K7716" s="9"/>
      <c r="L7716" s="9"/>
    </row>
    <row r="7717" s="105" customFormat="1" spans="9:12">
      <c r="I7717" s="225"/>
      <c r="K7717" s="9"/>
      <c r="L7717" s="9"/>
    </row>
    <row r="7718" s="105" customFormat="1" spans="9:12">
      <c r="I7718" s="225"/>
      <c r="K7718" s="9"/>
      <c r="L7718" s="9"/>
    </row>
    <row r="7719" s="105" customFormat="1" spans="9:12">
      <c r="I7719" s="225"/>
      <c r="K7719" s="9"/>
      <c r="L7719" s="9"/>
    </row>
    <row r="7720" s="105" customFormat="1" spans="9:12">
      <c r="I7720" s="225"/>
      <c r="K7720" s="9"/>
      <c r="L7720" s="9"/>
    </row>
    <row r="7721" s="105" customFormat="1" spans="9:12">
      <c r="I7721" s="225"/>
      <c r="K7721" s="9"/>
      <c r="L7721" s="9"/>
    </row>
    <row r="7722" s="105" customFormat="1" spans="9:12">
      <c r="I7722" s="225"/>
      <c r="K7722" s="9"/>
      <c r="L7722" s="9"/>
    </row>
    <row r="7723" s="105" customFormat="1" spans="9:12">
      <c r="I7723" s="225"/>
      <c r="K7723" s="9"/>
      <c r="L7723" s="9"/>
    </row>
    <row r="7724" s="105" customFormat="1" spans="9:12">
      <c r="I7724" s="225"/>
      <c r="K7724" s="9"/>
      <c r="L7724" s="9"/>
    </row>
    <row r="7725" s="105" customFormat="1" spans="9:12">
      <c r="I7725" s="225"/>
      <c r="K7725" s="9"/>
      <c r="L7725" s="9"/>
    </row>
    <row r="7726" s="105" customFormat="1" spans="9:12">
      <c r="I7726" s="225"/>
      <c r="K7726" s="9"/>
      <c r="L7726" s="9"/>
    </row>
    <row r="7727" s="105" customFormat="1" spans="9:12">
      <c r="I7727" s="225"/>
      <c r="K7727" s="9"/>
      <c r="L7727" s="9"/>
    </row>
    <row r="7728" s="105" customFormat="1" spans="9:12">
      <c r="I7728" s="225"/>
      <c r="K7728" s="9"/>
      <c r="L7728" s="9"/>
    </row>
    <row r="7729" s="105" customFormat="1" spans="9:12">
      <c r="I7729" s="225"/>
      <c r="K7729" s="9"/>
      <c r="L7729" s="9"/>
    </row>
    <row r="7730" s="105" customFormat="1" spans="9:12">
      <c r="I7730" s="225"/>
      <c r="K7730" s="9"/>
      <c r="L7730" s="9"/>
    </row>
    <row r="7731" s="105" customFormat="1" spans="9:12">
      <c r="I7731" s="225"/>
      <c r="K7731" s="9"/>
      <c r="L7731" s="9"/>
    </row>
    <row r="7732" s="105" customFormat="1" spans="9:12">
      <c r="I7732" s="225"/>
      <c r="K7732" s="9"/>
      <c r="L7732" s="9"/>
    </row>
    <row r="7733" s="105" customFormat="1" spans="9:12">
      <c r="I7733" s="225"/>
      <c r="K7733" s="9"/>
      <c r="L7733" s="9"/>
    </row>
    <row r="7734" s="105" customFormat="1" spans="9:12">
      <c r="I7734" s="225"/>
      <c r="K7734" s="9"/>
      <c r="L7734" s="9"/>
    </row>
    <row r="7735" s="105" customFormat="1" spans="9:12">
      <c r="I7735" s="225"/>
      <c r="K7735" s="9"/>
      <c r="L7735" s="9"/>
    </row>
    <row r="7736" s="105" customFormat="1" spans="9:12">
      <c r="I7736" s="225"/>
      <c r="K7736" s="9"/>
      <c r="L7736" s="9"/>
    </row>
    <row r="7737" s="105" customFormat="1" spans="9:12">
      <c r="I7737" s="225"/>
      <c r="K7737" s="9"/>
      <c r="L7737" s="9"/>
    </row>
    <row r="7738" s="105" customFormat="1" spans="9:12">
      <c r="I7738" s="225"/>
      <c r="K7738" s="9"/>
      <c r="L7738" s="9"/>
    </row>
    <row r="7739" s="105" customFormat="1" spans="9:12">
      <c r="I7739" s="225"/>
      <c r="K7739" s="9"/>
      <c r="L7739" s="9"/>
    </row>
    <row r="7740" s="105" customFormat="1" spans="9:12">
      <c r="I7740" s="225"/>
      <c r="K7740" s="9"/>
      <c r="L7740" s="9"/>
    </row>
    <row r="7741" s="105" customFormat="1" spans="9:12">
      <c r="I7741" s="225"/>
      <c r="K7741" s="9"/>
      <c r="L7741" s="9"/>
    </row>
    <row r="7742" s="105" customFormat="1" spans="9:12">
      <c r="I7742" s="225"/>
      <c r="K7742" s="9"/>
      <c r="L7742" s="9"/>
    </row>
    <row r="7743" s="105" customFormat="1" spans="9:12">
      <c r="I7743" s="225"/>
      <c r="K7743" s="9"/>
      <c r="L7743" s="9"/>
    </row>
    <row r="7744" s="105" customFormat="1" spans="9:12">
      <c r="I7744" s="225"/>
      <c r="K7744" s="9"/>
      <c r="L7744" s="9"/>
    </row>
    <row r="7745" s="105" customFormat="1" spans="9:12">
      <c r="I7745" s="225"/>
      <c r="K7745" s="9"/>
      <c r="L7745" s="9"/>
    </row>
    <row r="7746" s="105" customFormat="1" spans="9:12">
      <c r="I7746" s="225"/>
      <c r="K7746" s="9"/>
      <c r="L7746" s="9"/>
    </row>
    <row r="7747" s="105" customFormat="1" spans="9:12">
      <c r="I7747" s="225"/>
      <c r="K7747" s="9"/>
      <c r="L7747" s="9"/>
    </row>
    <row r="7748" s="105" customFormat="1" spans="9:12">
      <c r="I7748" s="225"/>
      <c r="K7748" s="9"/>
      <c r="L7748" s="9"/>
    </row>
    <row r="7749" s="105" customFormat="1" spans="9:12">
      <c r="I7749" s="225"/>
      <c r="K7749" s="9"/>
      <c r="L7749" s="9"/>
    </row>
    <row r="7750" s="105" customFormat="1" spans="9:12">
      <c r="I7750" s="225"/>
      <c r="K7750" s="9"/>
      <c r="L7750" s="9"/>
    </row>
    <row r="7751" s="105" customFormat="1" spans="9:12">
      <c r="I7751" s="225"/>
      <c r="K7751" s="9"/>
      <c r="L7751" s="9"/>
    </row>
    <row r="7752" s="105" customFormat="1" spans="9:12">
      <c r="I7752" s="225"/>
      <c r="K7752" s="9"/>
      <c r="L7752" s="9"/>
    </row>
    <row r="7753" s="105" customFormat="1" spans="9:12">
      <c r="I7753" s="225"/>
      <c r="K7753" s="9"/>
      <c r="L7753" s="9"/>
    </row>
    <row r="7754" s="105" customFormat="1" spans="9:12">
      <c r="I7754" s="225"/>
      <c r="K7754" s="9"/>
      <c r="L7754" s="9"/>
    </row>
    <row r="7755" s="105" customFormat="1" spans="9:12">
      <c r="I7755" s="225"/>
      <c r="K7755" s="9"/>
      <c r="L7755" s="9"/>
    </row>
    <row r="7756" s="105" customFormat="1" spans="9:12">
      <c r="I7756" s="225"/>
      <c r="K7756" s="9"/>
      <c r="L7756" s="9"/>
    </row>
    <row r="7757" s="105" customFormat="1" spans="9:12">
      <c r="I7757" s="225"/>
      <c r="K7757" s="9"/>
      <c r="L7757" s="9"/>
    </row>
    <row r="7758" s="105" customFormat="1" spans="9:12">
      <c r="I7758" s="225"/>
      <c r="K7758" s="9"/>
      <c r="L7758" s="9"/>
    </row>
    <row r="7759" s="105" customFormat="1" spans="9:12">
      <c r="I7759" s="225"/>
      <c r="K7759" s="9"/>
      <c r="L7759" s="9"/>
    </row>
    <row r="7760" s="105" customFormat="1" spans="9:12">
      <c r="I7760" s="225"/>
      <c r="K7760" s="9"/>
      <c r="L7760" s="9"/>
    </row>
    <row r="7761" s="105" customFormat="1" spans="9:12">
      <c r="I7761" s="225"/>
      <c r="K7761" s="9"/>
      <c r="L7761" s="9"/>
    </row>
    <row r="7762" s="105" customFormat="1" spans="9:12">
      <c r="I7762" s="225"/>
      <c r="K7762" s="9"/>
      <c r="L7762" s="9"/>
    </row>
    <row r="7763" s="105" customFormat="1" spans="9:12">
      <c r="I7763" s="225"/>
      <c r="K7763" s="9"/>
      <c r="L7763" s="9"/>
    </row>
    <row r="7764" s="105" customFormat="1" spans="9:12">
      <c r="I7764" s="225"/>
      <c r="K7764" s="9"/>
      <c r="L7764" s="9"/>
    </row>
    <row r="7765" s="105" customFormat="1" spans="9:12">
      <c r="I7765" s="225"/>
      <c r="K7765" s="9"/>
      <c r="L7765" s="9"/>
    </row>
    <row r="7766" s="105" customFormat="1" spans="9:12">
      <c r="I7766" s="225"/>
      <c r="K7766" s="9"/>
      <c r="L7766" s="9"/>
    </row>
    <row r="7767" s="105" customFormat="1" spans="9:12">
      <c r="I7767" s="225"/>
      <c r="K7767" s="9"/>
      <c r="L7767" s="9"/>
    </row>
    <row r="7768" s="105" customFormat="1" spans="9:12">
      <c r="I7768" s="225"/>
      <c r="K7768" s="9"/>
      <c r="L7768" s="9"/>
    </row>
    <row r="7769" s="105" customFormat="1" spans="9:12">
      <c r="I7769" s="225"/>
      <c r="K7769" s="9"/>
      <c r="L7769" s="9"/>
    </row>
    <row r="7770" s="105" customFormat="1" spans="9:12">
      <c r="I7770" s="225"/>
      <c r="K7770" s="9"/>
      <c r="L7770" s="9"/>
    </row>
    <row r="7771" s="105" customFormat="1" spans="9:12">
      <c r="I7771" s="225"/>
      <c r="K7771" s="9"/>
      <c r="L7771" s="9"/>
    </row>
    <row r="7772" s="105" customFormat="1" spans="9:12">
      <c r="I7772" s="225"/>
      <c r="K7772" s="9"/>
      <c r="L7772" s="9"/>
    </row>
    <row r="7773" s="105" customFormat="1" spans="9:12">
      <c r="I7773" s="225"/>
      <c r="K7773" s="9"/>
      <c r="L7773" s="9"/>
    </row>
    <row r="7774" s="105" customFormat="1" spans="9:12">
      <c r="I7774" s="225"/>
      <c r="K7774" s="9"/>
      <c r="L7774" s="9"/>
    </row>
    <row r="7775" s="105" customFormat="1" spans="9:12">
      <c r="I7775" s="225"/>
      <c r="K7775" s="9"/>
      <c r="L7775" s="9"/>
    </row>
    <row r="7776" s="105" customFormat="1" spans="9:12">
      <c r="I7776" s="225"/>
      <c r="K7776" s="9"/>
      <c r="L7776" s="9"/>
    </row>
    <row r="7777" s="105" customFormat="1" spans="9:12">
      <c r="I7777" s="225"/>
      <c r="K7777" s="9"/>
      <c r="L7777" s="9"/>
    </row>
    <row r="7778" s="105" customFormat="1" spans="9:12">
      <c r="I7778" s="225"/>
      <c r="K7778" s="9"/>
      <c r="L7778" s="9"/>
    </row>
    <row r="7779" s="105" customFormat="1" spans="9:12">
      <c r="I7779" s="225"/>
      <c r="K7779" s="9"/>
      <c r="L7779" s="9"/>
    </row>
    <row r="7780" s="105" customFormat="1" spans="9:12">
      <c r="I7780" s="225"/>
      <c r="K7780" s="9"/>
      <c r="L7780" s="9"/>
    </row>
    <row r="7781" s="105" customFormat="1" spans="9:12">
      <c r="I7781" s="225"/>
      <c r="K7781" s="9"/>
      <c r="L7781" s="9"/>
    </row>
    <row r="7782" s="105" customFormat="1" spans="9:12">
      <c r="I7782" s="225"/>
      <c r="K7782" s="9"/>
      <c r="L7782" s="9"/>
    </row>
    <row r="7783" s="105" customFormat="1" spans="9:12">
      <c r="I7783" s="225"/>
      <c r="K7783" s="9"/>
      <c r="L7783" s="9"/>
    </row>
    <row r="7784" s="105" customFormat="1" spans="9:12">
      <c r="I7784" s="225"/>
      <c r="K7784" s="9"/>
      <c r="L7784" s="9"/>
    </row>
    <row r="7785" s="105" customFormat="1" spans="9:12">
      <c r="I7785" s="225"/>
      <c r="K7785" s="9"/>
      <c r="L7785" s="9"/>
    </row>
    <row r="7786" s="105" customFormat="1" spans="9:12">
      <c r="I7786" s="225"/>
      <c r="K7786" s="9"/>
      <c r="L7786" s="9"/>
    </row>
    <row r="7787" s="105" customFormat="1" spans="9:12">
      <c r="I7787" s="225"/>
      <c r="K7787" s="9"/>
      <c r="L7787" s="9"/>
    </row>
    <row r="7788" s="105" customFormat="1" spans="9:12">
      <c r="I7788" s="225"/>
      <c r="K7788" s="9"/>
      <c r="L7788" s="9"/>
    </row>
    <row r="7789" s="105" customFormat="1" spans="9:12">
      <c r="I7789" s="225"/>
      <c r="K7789" s="9"/>
      <c r="L7789" s="9"/>
    </row>
    <row r="7790" s="105" customFormat="1" spans="9:12">
      <c r="I7790" s="225"/>
      <c r="K7790" s="9"/>
      <c r="L7790" s="9"/>
    </row>
    <row r="7791" s="105" customFormat="1" spans="9:12">
      <c r="I7791" s="225"/>
      <c r="K7791" s="9"/>
      <c r="L7791" s="9"/>
    </row>
    <row r="7792" s="105" customFormat="1" spans="9:12">
      <c r="I7792" s="225"/>
      <c r="K7792" s="9"/>
      <c r="L7792" s="9"/>
    </row>
    <row r="7793" s="105" customFormat="1" spans="9:12">
      <c r="I7793" s="225"/>
      <c r="K7793" s="9"/>
      <c r="L7793" s="9"/>
    </row>
    <row r="7794" s="105" customFormat="1" spans="9:12">
      <c r="I7794" s="225"/>
      <c r="K7794" s="9"/>
      <c r="L7794" s="9"/>
    </row>
    <row r="7795" s="105" customFormat="1" spans="9:12">
      <c r="I7795" s="225"/>
      <c r="K7795" s="9"/>
      <c r="L7795" s="9"/>
    </row>
    <row r="7796" s="105" customFormat="1" spans="9:12">
      <c r="I7796" s="225"/>
      <c r="K7796" s="9"/>
      <c r="L7796" s="9"/>
    </row>
    <row r="7797" s="105" customFormat="1" spans="9:12">
      <c r="I7797" s="225"/>
      <c r="K7797" s="9"/>
      <c r="L7797" s="9"/>
    </row>
    <row r="7798" s="105" customFormat="1" spans="9:12">
      <c r="I7798" s="225"/>
      <c r="K7798" s="9"/>
      <c r="L7798" s="9"/>
    </row>
    <row r="7799" s="105" customFormat="1" spans="9:12">
      <c r="I7799" s="225"/>
      <c r="K7799" s="9"/>
      <c r="L7799" s="9"/>
    </row>
    <row r="7800" s="105" customFormat="1" spans="9:12">
      <c r="I7800" s="225"/>
      <c r="K7800" s="9"/>
      <c r="L7800" s="9"/>
    </row>
    <row r="7801" s="105" customFormat="1" spans="9:12">
      <c r="I7801" s="225"/>
      <c r="K7801" s="9"/>
      <c r="L7801" s="9"/>
    </row>
    <row r="7802" s="105" customFormat="1" spans="9:12">
      <c r="I7802" s="225"/>
      <c r="K7802" s="9"/>
      <c r="L7802" s="9"/>
    </row>
    <row r="7803" s="105" customFormat="1" spans="9:12">
      <c r="I7803" s="225"/>
      <c r="K7803" s="9"/>
      <c r="L7803" s="9"/>
    </row>
    <row r="7804" s="105" customFormat="1" spans="9:12">
      <c r="I7804" s="225"/>
      <c r="K7804" s="9"/>
      <c r="L7804" s="9"/>
    </row>
    <row r="7805" s="105" customFormat="1" spans="9:12">
      <c r="I7805" s="225"/>
      <c r="K7805" s="9"/>
      <c r="L7805" s="9"/>
    </row>
    <row r="7806" s="105" customFormat="1" spans="9:12">
      <c r="I7806" s="225"/>
      <c r="K7806" s="9"/>
      <c r="L7806" s="9"/>
    </row>
    <row r="7807" s="105" customFormat="1" spans="9:12">
      <c r="I7807" s="225"/>
      <c r="K7807" s="9"/>
      <c r="L7807" s="9"/>
    </row>
    <row r="7808" s="105" customFormat="1" spans="9:12">
      <c r="I7808" s="225"/>
      <c r="K7808" s="9"/>
      <c r="L7808" s="9"/>
    </row>
    <row r="7809" s="105" customFormat="1" spans="9:12">
      <c r="I7809" s="225"/>
      <c r="K7809" s="9"/>
      <c r="L7809" s="9"/>
    </row>
    <row r="7810" s="105" customFormat="1" spans="9:12">
      <c r="I7810" s="225"/>
      <c r="K7810" s="9"/>
      <c r="L7810" s="9"/>
    </row>
    <row r="7811" s="105" customFormat="1" spans="9:12">
      <c r="I7811" s="225"/>
      <c r="K7811" s="9"/>
      <c r="L7811" s="9"/>
    </row>
    <row r="7812" s="105" customFormat="1" spans="9:12">
      <c r="I7812" s="225"/>
      <c r="K7812" s="9"/>
      <c r="L7812" s="9"/>
    </row>
    <row r="7813" s="105" customFormat="1" spans="9:12">
      <c r="I7813" s="225"/>
      <c r="K7813" s="9"/>
      <c r="L7813" s="9"/>
    </row>
    <row r="7814" s="105" customFormat="1" spans="9:12">
      <c r="I7814" s="225"/>
      <c r="K7814" s="9"/>
      <c r="L7814" s="9"/>
    </row>
    <row r="7815" s="105" customFormat="1" spans="9:12">
      <c r="I7815" s="225"/>
      <c r="K7815" s="9"/>
      <c r="L7815" s="9"/>
    </row>
    <row r="7816" s="105" customFormat="1" spans="9:12">
      <c r="I7816" s="225"/>
      <c r="K7816" s="9"/>
      <c r="L7816" s="9"/>
    </row>
    <row r="7817" s="105" customFormat="1" spans="9:12">
      <c r="I7817" s="225"/>
      <c r="K7817" s="9"/>
      <c r="L7817" s="9"/>
    </row>
    <row r="7818" s="105" customFormat="1" spans="9:12">
      <c r="I7818" s="225"/>
      <c r="K7818" s="9"/>
      <c r="L7818" s="9"/>
    </row>
    <row r="7819" s="105" customFormat="1" spans="9:12">
      <c r="I7819" s="225"/>
      <c r="K7819" s="9"/>
      <c r="L7819" s="9"/>
    </row>
    <row r="7820" s="105" customFormat="1" spans="9:12">
      <c r="I7820" s="225"/>
      <c r="K7820" s="9"/>
      <c r="L7820" s="9"/>
    </row>
    <row r="7821" s="105" customFormat="1" spans="9:12">
      <c r="I7821" s="225"/>
      <c r="K7821" s="9"/>
      <c r="L7821" s="9"/>
    </row>
    <row r="7822" s="105" customFormat="1" spans="9:12">
      <c r="I7822" s="225"/>
      <c r="K7822" s="9"/>
      <c r="L7822" s="9"/>
    </row>
    <row r="7823" s="105" customFormat="1" spans="9:12">
      <c r="I7823" s="225"/>
      <c r="K7823" s="9"/>
      <c r="L7823" s="9"/>
    </row>
    <row r="7824" s="105" customFormat="1" spans="9:12">
      <c r="I7824" s="225"/>
      <c r="K7824" s="9"/>
      <c r="L7824" s="9"/>
    </row>
    <row r="7825" s="105" customFormat="1" spans="9:12">
      <c r="I7825" s="225"/>
      <c r="K7825" s="9"/>
      <c r="L7825" s="9"/>
    </row>
    <row r="7826" s="105" customFormat="1" spans="9:12">
      <c r="I7826" s="225"/>
      <c r="K7826" s="9"/>
      <c r="L7826" s="9"/>
    </row>
    <row r="7827" s="105" customFormat="1" spans="9:12">
      <c r="I7827" s="225"/>
      <c r="K7827" s="9"/>
      <c r="L7827" s="9"/>
    </row>
    <row r="7828" s="105" customFormat="1" spans="9:12">
      <c r="I7828" s="225"/>
      <c r="K7828" s="9"/>
      <c r="L7828" s="9"/>
    </row>
    <row r="7829" s="105" customFormat="1" spans="9:12">
      <c r="I7829" s="225"/>
      <c r="K7829" s="9"/>
      <c r="L7829" s="9"/>
    </row>
    <row r="7830" s="105" customFormat="1" spans="9:12">
      <c r="I7830" s="225"/>
      <c r="K7830" s="9"/>
      <c r="L7830" s="9"/>
    </row>
    <row r="7831" s="105" customFormat="1" spans="9:12">
      <c r="I7831" s="225"/>
      <c r="K7831" s="9"/>
      <c r="L7831" s="9"/>
    </row>
    <row r="7832" s="105" customFormat="1" spans="9:12">
      <c r="I7832" s="225"/>
      <c r="K7832" s="9"/>
      <c r="L7832" s="9"/>
    </row>
    <row r="7833" s="105" customFormat="1" spans="9:12">
      <c r="I7833" s="225"/>
      <c r="K7833" s="9"/>
      <c r="L7833" s="9"/>
    </row>
    <row r="7834" s="105" customFormat="1" spans="9:12">
      <c r="I7834" s="225"/>
      <c r="K7834" s="9"/>
      <c r="L7834" s="9"/>
    </row>
    <row r="7835" s="105" customFormat="1" spans="9:12">
      <c r="I7835" s="225"/>
      <c r="K7835" s="9"/>
      <c r="L7835" s="9"/>
    </row>
    <row r="7836" s="105" customFormat="1" spans="9:12">
      <c r="I7836" s="225"/>
      <c r="K7836" s="9"/>
      <c r="L7836" s="9"/>
    </row>
    <row r="7837" s="105" customFormat="1" spans="9:12">
      <c r="I7837" s="225"/>
      <c r="K7837" s="9"/>
      <c r="L7837" s="9"/>
    </row>
    <row r="7838" s="105" customFormat="1" spans="9:12">
      <c r="I7838" s="225"/>
      <c r="K7838" s="9"/>
      <c r="L7838" s="9"/>
    </row>
    <row r="7839" s="105" customFormat="1" spans="9:12">
      <c r="I7839" s="225"/>
      <c r="K7839" s="9"/>
      <c r="L7839" s="9"/>
    </row>
    <row r="7840" s="105" customFormat="1" spans="9:12">
      <c r="I7840" s="225"/>
      <c r="K7840" s="9"/>
      <c r="L7840" s="9"/>
    </row>
    <row r="7841" s="105" customFormat="1" spans="9:12">
      <c r="I7841" s="225"/>
      <c r="K7841" s="9"/>
      <c r="L7841" s="9"/>
    </row>
    <row r="7842" s="105" customFormat="1" spans="9:12">
      <c r="I7842" s="225"/>
      <c r="K7842" s="9"/>
      <c r="L7842" s="9"/>
    </row>
    <row r="7843" s="105" customFormat="1" spans="9:12">
      <c r="I7843" s="225"/>
      <c r="K7843" s="9"/>
      <c r="L7843" s="9"/>
    </row>
    <row r="7844" s="105" customFormat="1" spans="9:12">
      <c r="I7844" s="225"/>
      <c r="K7844" s="9"/>
      <c r="L7844" s="9"/>
    </row>
    <row r="7845" s="105" customFormat="1" spans="9:12">
      <c r="I7845" s="225"/>
      <c r="K7845" s="9"/>
      <c r="L7845" s="9"/>
    </row>
    <row r="7846" s="105" customFormat="1" spans="9:12">
      <c r="I7846" s="225"/>
      <c r="K7846" s="9"/>
      <c r="L7846" s="9"/>
    </row>
    <row r="7847" s="105" customFormat="1" spans="9:12">
      <c r="I7847" s="225"/>
      <c r="K7847" s="9"/>
      <c r="L7847" s="9"/>
    </row>
    <row r="7848" s="105" customFormat="1" spans="9:12">
      <c r="I7848" s="225"/>
      <c r="K7848" s="9"/>
      <c r="L7848" s="9"/>
    </row>
    <row r="7849" s="105" customFormat="1" spans="9:12">
      <c r="I7849" s="225"/>
      <c r="K7849" s="9"/>
      <c r="L7849" s="9"/>
    </row>
    <row r="7850" s="105" customFormat="1" spans="9:12">
      <c r="I7850" s="225"/>
      <c r="K7850" s="9"/>
      <c r="L7850" s="9"/>
    </row>
    <row r="7851" s="105" customFormat="1" spans="9:12">
      <c r="I7851" s="225"/>
      <c r="K7851" s="9"/>
      <c r="L7851" s="9"/>
    </row>
    <row r="7852" s="105" customFormat="1" spans="9:12">
      <c r="I7852" s="225"/>
      <c r="K7852" s="9"/>
      <c r="L7852" s="9"/>
    </row>
    <row r="7853" s="105" customFormat="1" spans="9:12">
      <c r="I7853" s="225"/>
      <c r="K7853" s="9"/>
      <c r="L7853" s="9"/>
    </row>
    <row r="7854" s="105" customFormat="1" spans="9:12">
      <c r="I7854" s="225"/>
      <c r="K7854" s="9"/>
      <c r="L7854" s="9"/>
    </row>
    <row r="7855" s="105" customFormat="1" spans="9:12">
      <c r="I7855" s="225"/>
      <c r="K7855" s="9"/>
      <c r="L7855" s="9"/>
    </row>
    <row r="7856" s="105" customFormat="1" spans="9:12">
      <c r="I7856" s="225"/>
      <c r="K7856" s="9"/>
      <c r="L7856" s="9"/>
    </row>
    <row r="7857" s="105" customFormat="1" spans="9:12">
      <c r="I7857" s="225"/>
      <c r="K7857" s="9"/>
      <c r="L7857" s="9"/>
    </row>
    <row r="7858" s="105" customFormat="1" spans="9:12">
      <c r="I7858" s="225"/>
      <c r="K7858" s="9"/>
      <c r="L7858" s="9"/>
    </row>
    <row r="7859" s="105" customFormat="1" spans="9:12">
      <c r="I7859" s="225"/>
      <c r="K7859" s="9"/>
      <c r="L7859" s="9"/>
    </row>
    <row r="7860" s="105" customFormat="1" spans="9:12">
      <c r="I7860" s="225"/>
      <c r="K7860" s="9"/>
      <c r="L7860" s="9"/>
    </row>
    <row r="7861" s="105" customFormat="1" spans="9:12">
      <c r="I7861" s="225"/>
      <c r="K7861" s="9"/>
      <c r="L7861" s="9"/>
    </row>
    <row r="7862" s="105" customFormat="1" spans="9:12">
      <c r="I7862" s="225"/>
      <c r="K7862" s="9"/>
      <c r="L7862" s="9"/>
    </row>
    <row r="7863" s="105" customFormat="1" spans="9:12">
      <c r="I7863" s="225"/>
      <c r="K7863" s="9"/>
      <c r="L7863" s="9"/>
    </row>
    <row r="7864" s="105" customFormat="1" spans="9:12">
      <c r="I7864" s="225"/>
      <c r="K7864" s="9"/>
      <c r="L7864" s="9"/>
    </row>
    <row r="7865" s="105" customFormat="1" spans="9:12">
      <c r="I7865" s="225"/>
      <c r="K7865" s="9"/>
      <c r="L7865" s="9"/>
    </row>
    <row r="7866" s="105" customFormat="1" spans="9:12">
      <c r="I7866" s="225"/>
      <c r="K7866" s="9"/>
      <c r="L7866" s="9"/>
    </row>
    <row r="7867" s="105" customFormat="1" spans="9:12">
      <c r="I7867" s="225"/>
      <c r="K7867" s="9"/>
      <c r="L7867" s="9"/>
    </row>
    <row r="7868" s="105" customFormat="1" spans="9:12">
      <c r="I7868" s="225"/>
      <c r="K7868" s="9"/>
      <c r="L7868" s="9"/>
    </row>
    <row r="7869" s="105" customFormat="1" spans="9:12">
      <c r="I7869" s="225"/>
      <c r="K7869" s="9"/>
      <c r="L7869" s="9"/>
    </row>
    <row r="7870" s="105" customFormat="1" spans="9:12">
      <c r="I7870" s="225"/>
      <c r="K7870" s="9"/>
      <c r="L7870" s="9"/>
    </row>
    <row r="7871" s="105" customFormat="1" spans="9:12">
      <c r="I7871" s="225"/>
      <c r="K7871" s="9"/>
      <c r="L7871" s="9"/>
    </row>
    <row r="7872" s="105" customFormat="1" spans="9:12">
      <c r="I7872" s="225"/>
      <c r="K7872" s="9"/>
      <c r="L7872" s="9"/>
    </row>
    <row r="7873" s="105" customFormat="1" spans="9:12">
      <c r="I7873" s="225"/>
      <c r="K7873" s="9"/>
      <c r="L7873" s="9"/>
    </row>
    <row r="7874" s="105" customFormat="1" spans="9:12">
      <c r="I7874" s="225"/>
      <c r="K7874" s="9"/>
      <c r="L7874" s="9"/>
    </row>
    <row r="7875" s="105" customFormat="1" spans="9:12">
      <c r="I7875" s="225"/>
      <c r="K7875" s="9"/>
      <c r="L7875" s="9"/>
    </row>
    <row r="7876" s="105" customFormat="1" spans="9:12">
      <c r="I7876" s="225"/>
      <c r="K7876" s="9"/>
      <c r="L7876" s="9"/>
    </row>
    <row r="7877" s="105" customFormat="1" spans="9:12">
      <c r="I7877" s="225"/>
      <c r="K7877" s="9"/>
      <c r="L7877" s="9"/>
    </row>
    <row r="7878" s="105" customFormat="1" spans="9:12">
      <c r="I7878" s="225"/>
      <c r="K7878" s="9"/>
      <c r="L7878" s="9"/>
    </row>
    <row r="7879" s="105" customFormat="1" spans="9:12">
      <c r="I7879" s="225"/>
      <c r="K7879" s="9"/>
      <c r="L7879" s="9"/>
    </row>
    <row r="7880" s="105" customFormat="1" spans="9:12">
      <c r="I7880" s="225"/>
      <c r="K7880" s="9"/>
      <c r="L7880" s="9"/>
    </row>
    <row r="7881" s="105" customFormat="1" spans="9:12">
      <c r="I7881" s="225"/>
      <c r="K7881" s="9"/>
      <c r="L7881" s="9"/>
    </row>
    <row r="7882" s="105" customFormat="1" spans="9:12">
      <c r="I7882" s="225"/>
      <c r="K7882" s="9"/>
      <c r="L7882" s="9"/>
    </row>
    <row r="7883" s="105" customFormat="1" spans="9:12">
      <c r="I7883" s="225"/>
      <c r="K7883" s="9"/>
      <c r="L7883" s="9"/>
    </row>
    <row r="7884" s="105" customFormat="1" spans="9:12">
      <c r="I7884" s="225"/>
      <c r="K7884" s="9"/>
      <c r="L7884" s="9"/>
    </row>
    <row r="7885" s="105" customFormat="1" spans="9:12">
      <c r="I7885" s="225"/>
      <c r="K7885" s="9"/>
      <c r="L7885" s="9"/>
    </row>
    <row r="7886" s="105" customFormat="1" spans="9:12">
      <c r="I7886" s="225"/>
      <c r="K7886" s="9"/>
      <c r="L7886" s="9"/>
    </row>
    <row r="7887" s="105" customFormat="1" spans="9:12">
      <c r="I7887" s="225"/>
      <c r="K7887" s="9"/>
      <c r="L7887" s="9"/>
    </row>
    <row r="7888" s="105" customFormat="1" spans="9:12">
      <c r="I7888" s="225"/>
      <c r="K7888" s="9"/>
      <c r="L7888" s="9"/>
    </row>
    <row r="7889" s="105" customFormat="1" spans="9:12">
      <c r="I7889" s="225"/>
      <c r="K7889" s="9"/>
      <c r="L7889" s="9"/>
    </row>
    <row r="7890" s="105" customFormat="1" spans="9:12">
      <c r="I7890" s="225"/>
      <c r="K7890" s="9"/>
      <c r="L7890" s="9"/>
    </row>
    <row r="7891" s="105" customFormat="1" spans="9:12">
      <c r="I7891" s="225"/>
      <c r="K7891" s="9"/>
      <c r="L7891" s="9"/>
    </row>
    <row r="7892" s="105" customFormat="1" spans="9:12">
      <c r="I7892" s="225"/>
      <c r="K7892" s="9"/>
      <c r="L7892" s="9"/>
    </row>
    <row r="7893" s="105" customFormat="1" spans="9:12">
      <c r="I7893" s="225"/>
      <c r="K7893" s="9"/>
      <c r="L7893" s="9"/>
    </row>
    <row r="7894" s="105" customFormat="1" spans="9:12">
      <c r="I7894" s="225"/>
      <c r="K7894" s="9"/>
      <c r="L7894" s="9"/>
    </row>
    <row r="7895" s="105" customFormat="1" spans="9:12">
      <c r="I7895" s="225"/>
      <c r="K7895" s="9"/>
      <c r="L7895" s="9"/>
    </row>
    <row r="7896" s="105" customFormat="1" spans="9:12">
      <c r="I7896" s="225"/>
      <c r="K7896" s="9"/>
      <c r="L7896" s="9"/>
    </row>
    <row r="7897" s="105" customFormat="1" spans="9:12">
      <c r="I7897" s="225"/>
      <c r="K7897" s="9"/>
      <c r="L7897" s="9"/>
    </row>
    <row r="7898" s="105" customFormat="1" spans="9:12">
      <c r="I7898" s="225"/>
      <c r="K7898" s="9"/>
      <c r="L7898" s="9"/>
    </row>
    <row r="7899" s="105" customFormat="1" spans="9:12">
      <c r="I7899" s="225"/>
      <c r="K7899" s="9"/>
      <c r="L7899" s="9"/>
    </row>
    <row r="7900" s="105" customFormat="1" spans="9:12">
      <c r="I7900" s="225"/>
      <c r="K7900" s="9"/>
      <c r="L7900" s="9"/>
    </row>
    <row r="7901" s="105" customFormat="1" spans="9:12">
      <c r="I7901" s="225"/>
      <c r="K7901" s="9"/>
      <c r="L7901" s="9"/>
    </row>
    <row r="7902" s="105" customFormat="1" spans="9:12">
      <c r="I7902" s="225"/>
      <c r="K7902" s="9"/>
      <c r="L7902" s="9"/>
    </row>
    <row r="7903" s="105" customFormat="1" spans="9:12">
      <c r="I7903" s="225"/>
      <c r="K7903" s="9"/>
      <c r="L7903" s="9"/>
    </row>
    <row r="7904" s="105" customFormat="1" spans="9:12">
      <c r="I7904" s="225"/>
      <c r="K7904" s="9"/>
      <c r="L7904" s="9"/>
    </row>
    <row r="7905" s="105" customFormat="1" spans="9:12">
      <c r="I7905" s="225"/>
      <c r="K7905" s="9"/>
      <c r="L7905" s="9"/>
    </row>
    <row r="7906" s="105" customFormat="1" spans="9:12">
      <c r="I7906" s="225"/>
      <c r="K7906" s="9"/>
      <c r="L7906" s="9"/>
    </row>
    <row r="7907" s="105" customFormat="1" spans="9:12">
      <c r="I7907" s="225"/>
      <c r="K7907" s="9"/>
      <c r="L7907" s="9"/>
    </row>
    <row r="7908" s="105" customFormat="1" spans="9:12">
      <c r="I7908" s="225"/>
      <c r="K7908" s="9"/>
      <c r="L7908" s="9"/>
    </row>
    <row r="7909" s="105" customFormat="1" spans="9:12">
      <c r="I7909" s="225"/>
      <c r="K7909" s="9"/>
      <c r="L7909" s="9"/>
    </row>
    <row r="7910" s="105" customFormat="1" spans="9:12">
      <c r="I7910" s="225"/>
      <c r="K7910" s="9"/>
      <c r="L7910" s="9"/>
    </row>
    <row r="7911" s="105" customFormat="1" spans="9:12">
      <c r="I7911" s="225"/>
      <c r="K7911" s="9"/>
      <c r="L7911" s="9"/>
    </row>
    <row r="7912" s="105" customFormat="1" spans="9:12">
      <c r="I7912" s="225"/>
      <c r="K7912" s="9"/>
      <c r="L7912" s="9"/>
    </row>
    <row r="7913" s="105" customFormat="1" spans="9:12">
      <c r="I7913" s="225"/>
      <c r="K7913" s="9"/>
      <c r="L7913" s="9"/>
    </row>
    <row r="7914" s="105" customFormat="1" spans="9:12">
      <c r="I7914" s="225"/>
      <c r="K7914" s="9"/>
      <c r="L7914" s="9"/>
    </row>
    <row r="7915" s="105" customFormat="1" spans="9:12">
      <c r="I7915" s="225"/>
      <c r="K7915" s="9"/>
      <c r="L7915" s="9"/>
    </row>
    <row r="7916" s="105" customFormat="1" spans="9:12">
      <c r="I7916" s="225"/>
      <c r="K7916" s="9"/>
      <c r="L7916" s="9"/>
    </row>
    <row r="7917" s="105" customFormat="1" spans="9:12">
      <c r="I7917" s="225"/>
      <c r="K7917" s="9"/>
      <c r="L7917" s="9"/>
    </row>
    <row r="7918" s="105" customFormat="1" spans="9:12">
      <c r="I7918" s="225"/>
      <c r="K7918" s="9"/>
      <c r="L7918" s="9"/>
    </row>
    <row r="7919" s="105" customFormat="1" spans="9:12">
      <c r="I7919" s="225"/>
      <c r="K7919" s="9"/>
      <c r="L7919" s="9"/>
    </row>
    <row r="7920" s="105" customFormat="1" spans="9:12">
      <c r="I7920" s="225"/>
      <c r="K7920" s="9"/>
      <c r="L7920" s="9"/>
    </row>
    <row r="7921" s="105" customFormat="1" spans="9:12">
      <c r="I7921" s="225"/>
      <c r="K7921" s="9"/>
      <c r="L7921" s="9"/>
    </row>
    <row r="7922" s="105" customFormat="1" spans="9:12">
      <c r="I7922" s="225"/>
      <c r="K7922" s="9"/>
      <c r="L7922" s="9"/>
    </row>
    <row r="7923" s="105" customFormat="1" spans="9:12">
      <c r="I7923" s="225"/>
      <c r="K7923" s="9"/>
      <c r="L7923" s="9"/>
    </row>
    <row r="7924" s="105" customFormat="1" spans="9:12">
      <c r="I7924" s="225"/>
      <c r="K7924" s="9"/>
      <c r="L7924" s="9"/>
    </row>
    <row r="7925" s="105" customFormat="1" spans="9:12">
      <c r="I7925" s="225"/>
      <c r="K7925" s="9"/>
      <c r="L7925" s="9"/>
    </row>
    <row r="7926" s="105" customFormat="1" spans="9:12">
      <c r="I7926" s="225"/>
      <c r="K7926" s="9"/>
      <c r="L7926" s="9"/>
    </row>
    <row r="7927" s="105" customFormat="1" spans="9:12">
      <c r="I7927" s="225"/>
      <c r="K7927" s="9"/>
      <c r="L7927" s="9"/>
    </row>
    <row r="7928" s="105" customFormat="1" spans="9:12">
      <c r="I7928" s="225"/>
      <c r="K7928" s="9"/>
      <c r="L7928" s="9"/>
    </row>
    <row r="7929" s="105" customFormat="1" spans="9:12">
      <c r="I7929" s="225"/>
      <c r="K7929" s="9"/>
      <c r="L7929" s="9"/>
    </row>
    <row r="7930" s="105" customFormat="1" spans="9:12">
      <c r="I7930" s="225"/>
      <c r="K7930" s="9"/>
      <c r="L7930" s="9"/>
    </row>
    <row r="7931" s="105" customFormat="1" spans="9:12">
      <c r="I7931" s="225"/>
      <c r="K7931" s="9"/>
      <c r="L7931" s="9"/>
    </row>
    <row r="7932" s="105" customFormat="1" spans="9:12">
      <c r="I7932" s="225"/>
      <c r="K7932" s="9"/>
      <c r="L7932" s="9"/>
    </row>
    <row r="7933" s="105" customFormat="1" spans="9:12">
      <c r="I7933" s="225"/>
      <c r="K7933" s="9"/>
      <c r="L7933" s="9"/>
    </row>
    <row r="7934" s="105" customFormat="1" spans="9:12">
      <c r="I7934" s="225"/>
      <c r="K7934" s="9"/>
      <c r="L7934" s="9"/>
    </row>
    <row r="7935" s="105" customFormat="1" spans="9:12">
      <c r="I7935" s="225"/>
      <c r="K7935" s="9"/>
      <c r="L7935" s="9"/>
    </row>
    <row r="7936" s="105" customFormat="1" spans="9:12">
      <c r="I7936" s="225"/>
      <c r="K7936" s="9"/>
      <c r="L7936" s="9"/>
    </row>
    <row r="7937" s="105" customFormat="1" spans="9:12">
      <c r="I7937" s="225"/>
      <c r="K7937" s="9"/>
      <c r="L7937" s="9"/>
    </row>
    <row r="7938" s="105" customFormat="1" spans="9:12">
      <c r="I7938" s="225"/>
      <c r="K7938" s="9"/>
      <c r="L7938" s="9"/>
    </row>
    <row r="7939" s="105" customFormat="1" spans="9:12">
      <c r="I7939" s="225"/>
      <c r="K7939" s="9"/>
      <c r="L7939" s="9"/>
    </row>
    <row r="7940" s="105" customFormat="1" spans="9:12">
      <c r="I7940" s="225"/>
      <c r="K7940" s="9"/>
      <c r="L7940" s="9"/>
    </row>
    <row r="7941" s="105" customFormat="1" spans="9:12">
      <c r="I7941" s="225"/>
      <c r="K7941" s="9"/>
      <c r="L7941" s="9"/>
    </row>
    <row r="7942" s="105" customFormat="1" spans="9:12">
      <c r="I7942" s="225"/>
      <c r="K7942" s="9"/>
      <c r="L7942" s="9"/>
    </row>
    <row r="7943" s="105" customFormat="1" spans="9:12">
      <c r="I7943" s="225"/>
      <c r="K7943" s="9"/>
      <c r="L7943" s="9"/>
    </row>
    <row r="7944" s="105" customFormat="1" spans="9:12">
      <c r="I7944" s="225"/>
      <c r="K7944" s="9"/>
      <c r="L7944" s="9"/>
    </row>
    <row r="7945" s="105" customFormat="1" spans="9:12">
      <c r="I7945" s="225"/>
      <c r="K7945" s="9"/>
      <c r="L7945" s="9"/>
    </row>
    <row r="7946" s="105" customFormat="1" spans="9:12">
      <c r="I7946" s="225"/>
      <c r="K7946" s="9"/>
      <c r="L7946" s="9"/>
    </row>
    <row r="7947" s="105" customFormat="1" spans="9:12">
      <c r="I7947" s="225"/>
      <c r="K7947" s="9"/>
      <c r="L7947" s="9"/>
    </row>
    <row r="7948" s="105" customFormat="1" spans="9:12">
      <c r="I7948" s="225"/>
      <c r="K7948" s="9"/>
      <c r="L7948" s="9"/>
    </row>
    <row r="7949" s="105" customFormat="1" spans="9:12">
      <c r="I7949" s="225"/>
      <c r="K7949" s="9"/>
      <c r="L7949" s="9"/>
    </row>
    <row r="7950" s="105" customFormat="1" spans="9:12">
      <c r="I7950" s="225"/>
      <c r="K7950" s="9"/>
      <c r="L7950" s="9"/>
    </row>
    <row r="7951" s="105" customFormat="1" spans="9:12">
      <c r="I7951" s="225"/>
      <c r="K7951" s="9"/>
      <c r="L7951" s="9"/>
    </row>
    <row r="7952" s="105" customFormat="1" spans="9:12">
      <c r="I7952" s="225"/>
      <c r="K7952" s="9"/>
      <c r="L7952" s="9"/>
    </row>
    <row r="7953" s="105" customFormat="1" spans="9:12">
      <c r="I7953" s="225"/>
      <c r="K7953" s="9"/>
      <c r="L7953" s="9"/>
    </row>
    <row r="7954" s="105" customFormat="1" spans="9:12">
      <c r="I7954" s="225"/>
      <c r="K7954" s="9"/>
      <c r="L7954" s="9"/>
    </row>
    <row r="7955" s="105" customFormat="1" spans="9:12">
      <c r="I7955" s="225"/>
      <c r="K7955" s="9"/>
      <c r="L7955" s="9"/>
    </row>
    <row r="7956" s="105" customFormat="1" spans="9:12">
      <c r="I7956" s="225"/>
      <c r="K7956" s="9"/>
      <c r="L7956" s="9"/>
    </row>
    <row r="7957" s="105" customFormat="1" spans="9:12">
      <c r="I7957" s="225"/>
      <c r="K7957" s="9"/>
      <c r="L7957" s="9"/>
    </row>
    <row r="7958" s="105" customFormat="1" spans="9:12">
      <c r="I7958" s="225"/>
      <c r="K7958" s="9"/>
      <c r="L7958" s="9"/>
    </row>
    <row r="7959" s="105" customFormat="1" spans="9:12">
      <c r="I7959" s="225"/>
      <c r="K7959" s="9"/>
      <c r="L7959" s="9"/>
    </row>
    <row r="7960" s="105" customFormat="1" spans="9:12">
      <c r="I7960" s="225"/>
      <c r="K7960" s="9"/>
      <c r="L7960" s="9"/>
    </row>
    <row r="7961" s="105" customFormat="1" spans="9:12">
      <c r="I7961" s="225"/>
      <c r="K7961" s="9"/>
      <c r="L7961" s="9"/>
    </row>
    <row r="7962" s="105" customFormat="1" spans="9:12">
      <c r="I7962" s="225"/>
      <c r="K7962" s="9"/>
      <c r="L7962" s="9"/>
    </row>
    <row r="7963" s="105" customFormat="1" spans="9:12">
      <c r="I7963" s="225"/>
      <c r="K7963" s="9"/>
      <c r="L7963" s="9"/>
    </row>
    <row r="7964" s="105" customFormat="1" spans="9:12">
      <c r="I7964" s="225"/>
      <c r="K7964" s="9"/>
      <c r="L7964" s="9"/>
    </row>
    <row r="7965" s="105" customFormat="1" spans="9:12">
      <c r="I7965" s="225"/>
      <c r="K7965" s="9"/>
      <c r="L7965" s="9"/>
    </row>
    <row r="7966" s="105" customFormat="1" spans="9:12">
      <c r="I7966" s="225"/>
      <c r="K7966" s="9"/>
      <c r="L7966" s="9"/>
    </row>
    <row r="7967" s="105" customFormat="1" spans="9:12">
      <c r="I7967" s="225"/>
      <c r="K7967" s="9"/>
      <c r="L7967" s="9"/>
    </row>
    <row r="7968" s="105" customFormat="1" spans="9:12">
      <c r="I7968" s="225"/>
      <c r="K7968" s="9"/>
      <c r="L7968" s="9"/>
    </row>
    <row r="7969" s="105" customFormat="1" spans="9:12">
      <c r="I7969" s="225"/>
      <c r="K7969" s="9"/>
      <c r="L7969" s="9"/>
    </row>
    <row r="7970" s="105" customFormat="1" spans="9:12">
      <c r="I7970" s="225"/>
      <c r="K7970" s="9"/>
      <c r="L7970" s="9"/>
    </row>
    <row r="7971" s="105" customFormat="1" spans="9:12">
      <c r="I7971" s="225"/>
      <c r="K7971" s="9"/>
      <c r="L7971" s="9"/>
    </row>
    <row r="7972" s="105" customFormat="1" spans="9:12">
      <c r="I7972" s="225"/>
      <c r="K7972" s="9"/>
      <c r="L7972" s="9"/>
    </row>
    <row r="7973" s="105" customFormat="1" spans="9:12">
      <c r="I7973" s="225"/>
      <c r="K7973" s="9"/>
      <c r="L7973" s="9"/>
    </row>
    <row r="7974" s="105" customFormat="1" spans="9:12">
      <c r="I7974" s="225"/>
      <c r="K7974" s="9"/>
      <c r="L7974" s="9"/>
    </row>
    <row r="7975" s="105" customFormat="1" spans="9:12">
      <c r="I7975" s="225"/>
      <c r="K7975" s="9"/>
      <c r="L7975" s="9"/>
    </row>
    <row r="7976" s="105" customFormat="1" spans="9:12">
      <c r="I7976" s="225"/>
      <c r="K7976" s="9"/>
      <c r="L7976" s="9"/>
    </row>
    <row r="7977" s="105" customFormat="1" spans="9:12">
      <c r="I7977" s="225"/>
      <c r="K7977" s="9"/>
      <c r="L7977" s="9"/>
    </row>
    <row r="7978" s="105" customFormat="1" spans="9:12">
      <c r="I7978" s="225"/>
      <c r="K7978" s="9"/>
      <c r="L7978" s="9"/>
    </row>
    <row r="7979" s="105" customFormat="1" spans="9:12">
      <c r="I7979" s="225"/>
      <c r="K7979" s="9"/>
      <c r="L7979" s="9"/>
    </row>
    <row r="7980" s="105" customFormat="1" spans="9:12">
      <c r="I7980" s="225"/>
      <c r="K7980" s="9"/>
      <c r="L7980" s="9"/>
    </row>
    <row r="7981" s="105" customFormat="1" spans="9:12">
      <c r="I7981" s="225"/>
      <c r="K7981" s="9"/>
      <c r="L7981" s="9"/>
    </row>
    <row r="7982" s="105" customFormat="1" spans="9:12">
      <c r="I7982" s="225"/>
      <c r="K7982" s="9"/>
      <c r="L7982" s="9"/>
    </row>
    <row r="7983" s="105" customFormat="1" spans="9:12">
      <c r="I7983" s="225"/>
      <c r="K7983" s="9"/>
      <c r="L7983" s="9"/>
    </row>
    <row r="7984" s="105" customFormat="1" spans="9:12">
      <c r="I7984" s="225"/>
      <c r="K7984" s="9"/>
      <c r="L7984" s="9"/>
    </row>
    <row r="7985" s="105" customFormat="1" spans="9:12">
      <c r="I7985" s="225"/>
      <c r="K7985" s="9"/>
      <c r="L7985" s="9"/>
    </row>
    <row r="7986" s="105" customFormat="1" spans="9:12">
      <c r="I7986" s="225"/>
      <c r="K7986" s="9"/>
      <c r="L7986" s="9"/>
    </row>
    <row r="7987" s="105" customFormat="1" spans="9:12">
      <c r="I7987" s="225"/>
      <c r="K7987" s="9"/>
      <c r="L7987" s="9"/>
    </row>
    <row r="7988" s="105" customFormat="1" spans="9:12">
      <c r="I7988" s="225"/>
      <c r="K7988" s="9"/>
      <c r="L7988" s="9"/>
    </row>
    <row r="7989" s="105" customFormat="1" spans="9:12">
      <c r="I7989" s="225"/>
      <c r="K7989" s="9"/>
      <c r="L7989" s="9"/>
    </row>
    <row r="7990" s="105" customFormat="1" spans="9:12">
      <c r="I7990" s="225"/>
      <c r="K7990" s="9"/>
      <c r="L7990" s="9"/>
    </row>
    <row r="7991" s="105" customFormat="1" spans="9:12">
      <c r="I7991" s="225"/>
      <c r="K7991" s="9"/>
      <c r="L7991" s="9"/>
    </row>
    <row r="7992" s="105" customFormat="1" spans="9:12">
      <c r="I7992" s="225"/>
      <c r="K7992" s="9"/>
      <c r="L7992" s="9"/>
    </row>
    <row r="7993" s="105" customFormat="1" spans="9:12">
      <c r="I7993" s="225"/>
      <c r="K7993" s="9"/>
      <c r="L7993" s="9"/>
    </row>
    <row r="7994" s="105" customFormat="1" spans="9:12">
      <c r="I7994" s="225"/>
      <c r="K7994" s="9"/>
      <c r="L7994" s="9"/>
    </row>
    <row r="7995" s="105" customFormat="1" spans="9:12">
      <c r="I7995" s="225"/>
      <c r="K7995" s="9"/>
      <c r="L7995" s="9"/>
    </row>
    <row r="7996" s="105" customFormat="1" spans="9:12">
      <c r="I7996" s="225"/>
      <c r="K7996" s="9"/>
      <c r="L7996" s="9"/>
    </row>
    <row r="7997" s="105" customFormat="1" spans="9:12">
      <c r="I7997" s="225"/>
      <c r="K7997" s="9"/>
      <c r="L7997" s="9"/>
    </row>
    <row r="7998" s="105" customFormat="1" spans="9:12">
      <c r="I7998" s="225"/>
      <c r="K7998" s="9"/>
      <c r="L7998" s="9"/>
    </row>
    <row r="7999" s="105" customFormat="1" spans="9:12">
      <c r="I7999" s="225"/>
      <c r="K7999" s="9"/>
      <c r="L7999" s="9"/>
    </row>
    <row r="8000" s="105" customFormat="1" spans="9:12">
      <c r="I8000" s="225"/>
      <c r="K8000" s="9"/>
      <c r="L8000" s="9"/>
    </row>
    <row r="8001" s="105" customFormat="1" spans="9:12">
      <c r="I8001" s="225"/>
      <c r="K8001" s="9"/>
      <c r="L8001" s="9"/>
    </row>
    <row r="8002" s="105" customFormat="1" spans="9:12">
      <c r="I8002" s="225"/>
      <c r="K8002" s="9"/>
      <c r="L8002" s="9"/>
    </row>
    <row r="8003" s="105" customFormat="1" spans="9:12">
      <c r="I8003" s="225"/>
      <c r="K8003" s="9"/>
      <c r="L8003" s="9"/>
    </row>
    <row r="8004" s="105" customFormat="1" spans="9:12">
      <c r="I8004" s="225"/>
      <c r="K8004" s="9"/>
      <c r="L8004" s="9"/>
    </row>
    <row r="8005" s="105" customFormat="1" spans="9:12">
      <c r="I8005" s="225"/>
      <c r="K8005" s="9"/>
      <c r="L8005" s="9"/>
    </row>
    <row r="8006" s="105" customFormat="1" spans="9:12">
      <c r="I8006" s="225"/>
      <c r="K8006" s="9"/>
      <c r="L8006" s="9"/>
    </row>
    <row r="8007" s="105" customFormat="1" spans="9:12">
      <c r="I8007" s="225"/>
      <c r="K8007" s="9"/>
      <c r="L8007" s="9"/>
    </row>
    <row r="8008" s="105" customFormat="1" spans="9:12">
      <c r="I8008" s="225"/>
      <c r="K8008" s="9"/>
      <c r="L8008" s="9"/>
    </row>
    <row r="8009" s="105" customFormat="1" spans="9:12">
      <c r="I8009" s="225"/>
      <c r="K8009" s="9"/>
      <c r="L8009" s="9"/>
    </row>
    <row r="8010" s="105" customFormat="1" spans="9:12">
      <c r="I8010" s="225"/>
      <c r="K8010" s="9"/>
      <c r="L8010" s="9"/>
    </row>
    <row r="8011" s="105" customFormat="1" spans="9:12">
      <c r="I8011" s="225"/>
      <c r="K8011" s="9"/>
      <c r="L8011" s="9"/>
    </row>
    <row r="8012" s="105" customFormat="1" spans="9:12">
      <c r="I8012" s="225"/>
      <c r="K8012" s="9"/>
      <c r="L8012" s="9"/>
    </row>
    <row r="8013" s="105" customFormat="1" spans="9:12">
      <c r="I8013" s="225"/>
      <c r="K8013" s="9"/>
      <c r="L8013" s="9"/>
    </row>
    <row r="8014" s="105" customFormat="1" spans="9:12">
      <c r="I8014" s="225"/>
      <c r="K8014" s="9"/>
      <c r="L8014" s="9"/>
    </row>
    <row r="8015" s="105" customFormat="1" spans="9:12">
      <c r="I8015" s="225"/>
      <c r="K8015" s="9"/>
      <c r="L8015" s="9"/>
    </row>
    <row r="8016" s="105" customFormat="1" spans="9:12">
      <c r="I8016" s="225"/>
      <c r="K8016" s="9"/>
      <c r="L8016" s="9"/>
    </row>
    <row r="8017" s="105" customFormat="1" spans="9:12">
      <c r="I8017" s="225"/>
      <c r="K8017" s="9"/>
      <c r="L8017" s="9"/>
    </row>
    <row r="8018" s="105" customFormat="1" spans="9:12">
      <c r="I8018" s="225"/>
      <c r="K8018" s="9"/>
      <c r="L8018" s="9"/>
    </row>
    <row r="8019" s="105" customFormat="1" spans="9:12">
      <c r="I8019" s="225"/>
      <c r="K8019" s="9"/>
      <c r="L8019" s="9"/>
    </row>
    <row r="8020" s="105" customFormat="1" spans="9:12">
      <c r="I8020" s="225"/>
      <c r="K8020" s="9"/>
      <c r="L8020" s="9"/>
    </row>
    <row r="8021" s="105" customFormat="1" spans="9:12">
      <c r="I8021" s="225"/>
      <c r="K8021" s="9"/>
      <c r="L8021" s="9"/>
    </row>
    <row r="8022" s="105" customFormat="1" spans="9:12">
      <c r="I8022" s="225"/>
      <c r="K8022" s="9"/>
      <c r="L8022" s="9"/>
    </row>
    <row r="8023" s="105" customFormat="1" spans="9:12">
      <c r="I8023" s="225"/>
      <c r="K8023" s="9"/>
      <c r="L8023" s="9"/>
    </row>
    <row r="8024" s="105" customFormat="1" spans="9:12">
      <c r="I8024" s="225"/>
      <c r="K8024" s="9"/>
      <c r="L8024" s="9"/>
    </row>
    <row r="8025" s="105" customFormat="1" spans="9:12">
      <c r="I8025" s="225"/>
      <c r="K8025" s="9"/>
      <c r="L8025" s="9"/>
    </row>
    <row r="8026" s="105" customFormat="1" spans="9:12">
      <c r="I8026" s="225"/>
      <c r="K8026" s="9"/>
      <c r="L8026" s="9"/>
    </row>
    <row r="8027" s="105" customFormat="1" spans="9:12">
      <c r="I8027" s="225"/>
      <c r="K8027" s="9"/>
      <c r="L8027" s="9"/>
    </row>
    <row r="8028" s="105" customFormat="1" spans="9:12">
      <c r="I8028" s="225"/>
      <c r="K8028" s="9"/>
      <c r="L8028" s="9"/>
    </row>
    <row r="8029" s="105" customFormat="1" spans="9:12">
      <c r="I8029" s="225"/>
      <c r="K8029" s="9"/>
      <c r="L8029" s="9"/>
    </row>
    <row r="8030" s="105" customFormat="1" spans="9:12">
      <c r="I8030" s="225"/>
      <c r="K8030" s="9"/>
      <c r="L8030" s="9"/>
    </row>
    <row r="8031" s="105" customFormat="1" spans="9:12">
      <c r="I8031" s="225"/>
      <c r="K8031" s="9"/>
      <c r="L8031" s="9"/>
    </row>
    <row r="8032" s="105" customFormat="1" spans="9:12">
      <c r="I8032" s="225"/>
      <c r="K8032" s="9"/>
      <c r="L8032" s="9"/>
    </row>
    <row r="8033" s="105" customFormat="1" spans="9:12">
      <c r="I8033" s="225"/>
      <c r="K8033" s="9"/>
      <c r="L8033" s="9"/>
    </row>
    <row r="8034" s="105" customFormat="1" spans="9:12">
      <c r="I8034" s="225"/>
      <c r="K8034" s="9"/>
      <c r="L8034" s="9"/>
    </row>
    <row r="8035" s="105" customFormat="1" spans="9:12">
      <c r="I8035" s="225"/>
      <c r="K8035" s="9"/>
      <c r="L8035" s="9"/>
    </row>
    <row r="8036" s="105" customFormat="1" spans="9:12">
      <c r="I8036" s="225"/>
      <c r="K8036" s="9"/>
      <c r="L8036" s="9"/>
    </row>
    <row r="8037" s="105" customFormat="1" spans="9:12">
      <c r="I8037" s="225"/>
      <c r="K8037" s="9"/>
      <c r="L8037" s="9"/>
    </row>
    <row r="8038" s="105" customFormat="1" spans="9:12">
      <c r="I8038" s="225"/>
      <c r="K8038" s="9"/>
      <c r="L8038" s="9"/>
    </row>
    <row r="8039" s="105" customFormat="1" spans="9:12">
      <c r="I8039" s="225"/>
      <c r="K8039" s="9"/>
      <c r="L8039" s="9"/>
    </row>
    <row r="8040" s="105" customFormat="1" spans="9:12">
      <c r="I8040" s="225"/>
      <c r="K8040" s="9"/>
      <c r="L8040" s="9"/>
    </row>
    <row r="8041" s="105" customFormat="1" spans="9:12">
      <c r="I8041" s="225"/>
      <c r="K8041" s="9"/>
      <c r="L8041" s="9"/>
    </row>
    <row r="8042" s="105" customFormat="1" spans="9:12">
      <c r="I8042" s="225"/>
      <c r="K8042" s="9"/>
      <c r="L8042" s="9"/>
    </row>
    <row r="8043" s="105" customFormat="1" spans="9:12">
      <c r="I8043" s="225"/>
      <c r="K8043" s="9"/>
      <c r="L8043" s="9"/>
    </row>
    <row r="8044" s="105" customFormat="1" spans="9:12">
      <c r="I8044" s="225"/>
      <c r="K8044" s="9"/>
      <c r="L8044" s="9"/>
    </row>
    <row r="8045" s="105" customFormat="1" spans="9:12">
      <c r="I8045" s="225"/>
      <c r="K8045" s="9"/>
      <c r="L8045" s="9"/>
    </row>
    <row r="8046" s="105" customFormat="1" spans="9:12">
      <c r="I8046" s="225"/>
      <c r="K8046" s="9"/>
      <c r="L8046" s="9"/>
    </row>
    <row r="8047" s="105" customFormat="1" spans="9:12">
      <c r="I8047" s="225"/>
      <c r="K8047" s="9"/>
      <c r="L8047" s="9"/>
    </row>
    <row r="8048" s="105" customFormat="1" spans="9:12">
      <c r="I8048" s="225"/>
      <c r="K8048" s="9"/>
      <c r="L8048" s="9"/>
    </row>
    <row r="8049" s="105" customFormat="1" spans="9:12">
      <c r="I8049" s="225"/>
      <c r="K8049" s="9"/>
      <c r="L8049" s="9"/>
    </row>
    <row r="8050" s="105" customFormat="1" spans="9:12">
      <c r="I8050" s="225"/>
      <c r="K8050" s="9"/>
      <c r="L8050" s="9"/>
    </row>
    <row r="8051" s="105" customFormat="1" spans="9:12">
      <c r="I8051" s="225"/>
      <c r="K8051" s="9"/>
      <c r="L8051" s="9"/>
    </row>
    <row r="8052" s="105" customFormat="1" spans="9:12">
      <c r="I8052" s="225"/>
      <c r="K8052" s="9"/>
      <c r="L8052" s="9"/>
    </row>
    <row r="8053" s="105" customFormat="1" spans="9:12">
      <c r="I8053" s="225"/>
      <c r="K8053" s="9"/>
      <c r="L8053" s="9"/>
    </row>
    <row r="8054" s="105" customFormat="1" spans="9:12">
      <c r="I8054" s="225"/>
      <c r="K8054" s="9"/>
      <c r="L8054" s="9"/>
    </row>
    <row r="8055" s="105" customFormat="1" spans="9:12">
      <c r="I8055" s="225"/>
      <c r="K8055" s="9"/>
      <c r="L8055" s="9"/>
    </row>
    <row r="8056" s="105" customFormat="1" spans="9:12">
      <c r="I8056" s="225"/>
      <c r="K8056" s="9"/>
      <c r="L8056" s="9"/>
    </row>
    <row r="8057" s="105" customFormat="1" spans="9:12">
      <c r="I8057" s="225"/>
      <c r="K8057" s="9"/>
      <c r="L8057" s="9"/>
    </row>
    <row r="8058" s="105" customFormat="1" spans="9:12">
      <c r="I8058" s="225"/>
      <c r="K8058" s="9"/>
      <c r="L8058" s="9"/>
    </row>
    <row r="8059" s="105" customFormat="1" spans="9:12">
      <c r="I8059" s="225"/>
      <c r="K8059" s="9"/>
      <c r="L8059" s="9"/>
    </row>
    <row r="8060" s="105" customFormat="1" spans="9:12">
      <c r="I8060" s="225"/>
      <c r="K8060" s="9"/>
      <c r="L8060" s="9"/>
    </row>
    <row r="8061" s="105" customFormat="1" spans="9:12">
      <c r="I8061" s="225"/>
      <c r="K8061" s="9"/>
      <c r="L8061" s="9"/>
    </row>
    <row r="8062" s="105" customFormat="1" spans="9:12">
      <c r="I8062" s="225"/>
      <c r="K8062" s="9"/>
      <c r="L8062" s="9"/>
    </row>
    <row r="8063" s="105" customFormat="1" spans="9:12">
      <c r="I8063" s="225"/>
      <c r="K8063" s="9"/>
      <c r="L8063" s="9"/>
    </row>
    <row r="8064" s="105" customFormat="1" spans="9:12">
      <c r="I8064" s="225"/>
      <c r="K8064" s="9"/>
      <c r="L8064" s="9"/>
    </row>
    <row r="8065" s="105" customFormat="1" spans="9:12">
      <c r="I8065" s="225"/>
      <c r="K8065" s="9"/>
      <c r="L8065" s="9"/>
    </row>
    <row r="8066" s="105" customFormat="1" spans="9:12">
      <c r="I8066" s="225"/>
      <c r="K8066" s="9"/>
      <c r="L8066" s="9"/>
    </row>
    <row r="8067" s="105" customFormat="1" spans="9:12">
      <c r="I8067" s="225"/>
      <c r="K8067" s="9"/>
      <c r="L8067" s="9"/>
    </row>
    <row r="8068" s="105" customFormat="1" spans="9:12">
      <c r="I8068" s="225"/>
      <c r="K8068" s="9"/>
      <c r="L8068" s="9"/>
    </row>
    <row r="8069" s="105" customFormat="1" spans="9:12">
      <c r="I8069" s="225"/>
      <c r="K8069" s="9"/>
      <c r="L8069" s="9"/>
    </row>
    <row r="8070" s="105" customFormat="1" spans="9:12">
      <c r="I8070" s="225"/>
      <c r="K8070" s="9"/>
      <c r="L8070" s="9"/>
    </row>
    <row r="8071" s="105" customFormat="1" spans="9:12">
      <c r="I8071" s="225"/>
      <c r="K8071" s="9"/>
      <c r="L8071" s="9"/>
    </row>
    <row r="8072" s="105" customFormat="1" spans="9:12">
      <c r="I8072" s="225"/>
      <c r="K8072" s="9"/>
      <c r="L8072" s="9"/>
    </row>
    <row r="8073" s="105" customFormat="1" spans="9:12">
      <c r="I8073" s="225"/>
      <c r="K8073" s="9"/>
      <c r="L8073" s="9"/>
    </row>
    <row r="8074" s="105" customFormat="1" spans="9:12">
      <c r="I8074" s="225"/>
      <c r="K8074" s="9"/>
      <c r="L8074" s="9"/>
    </row>
    <row r="8075" s="105" customFormat="1" spans="9:12">
      <c r="I8075" s="225"/>
      <c r="K8075" s="9"/>
      <c r="L8075" s="9"/>
    </row>
    <row r="8076" s="105" customFormat="1" spans="9:12">
      <c r="I8076" s="225"/>
      <c r="K8076" s="9"/>
      <c r="L8076" s="9"/>
    </row>
    <row r="8077" s="105" customFormat="1" spans="9:12">
      <c r="I8077" s="225"/>
      <c r="K8077" s="9"/>
      <c r="L8077" s="9"/>
    </row>
    <row r="8078" s="105" customFormat="1" spans="9:12">
      <c r="I8078" s="225"/>
      <c r="K8078" s="9"/>
      <c r="L8078" s="9"/>
    </row>
    <row r="8079" s="105" customFormat="1" spans="9:12">
      <c r="I8079" s="225"/>
      <c r="K8079" s="9"/>
      <c r="L8079" s="9"/>
    </row>
    <row r="8080" s="105" customFormat="1" spans="9:12">
      <c r="I8080" s="225"/>
      <c r="K8080" s="9"/>
      <c r="L8080" s="9"/>
    </row>
    <row r="8081" s="105" customFormat="1" spans="9:12">
      <c r="I8081" s="225"/>
      <c r="K8081" s="9"/>
      <c r="L8081" s="9"/>
    </row>
    <row r="8082" s="105" customFormat="1" spans="9:12">
      <c r="I8082" s="225"/>
      <c r="K8082" s="9"/>
      <c r="L8082" s="9"/>
    </row>
    <row r="8083" s="105" customFormat="1" spans="9:12">
      <c r="I8083" s="225"/>
      <c r="K8083" s="9"/>
      <c r="L8083" s="9"/>
    </row>
    <row r="8084" s="105" customFormat="1" spans="9:12">
      <c r="I8084" s="225"/>
      <c r="K8084" s="9"/>
      <c r="L8084" s="9"/>
    </row>
    <row r="8085" s="105" customFormat="1" spans="9:12">
      <c r="I8085" s="225"/>
      <c r="K8085" s="9"/>
      <c r="L8085" s="9"/>
    </row>
    <row r="8086" s="105" customFormat="1" spans="9:12">
      <c r="I8086" s="225"/>
      <c r="K8086" s="9"/>
      <c r="L8086" s="9"/>
    </row>
    <row r="8087" s="105" customFormat="1" spans="9:12">
      <c r="I8087" s="225"/>
      <c r="K8087" s="9"/>
      <c r="L8087" s="9"/>
    </row>
    <row r="8088" s="105" customFormat="1" spans="9:12">
      <c r="I8088" s="225"/>
      <c r="K8088" s="9"/>
      <c r="L8088" s="9"/>
    </row>
    <row r="8089" s="105" customFormat="1" spans="9:12">
      <c r="I8089" s="225"/>
      <c r="K8089" s="9"/>
      <c r="L8089" s="9"/>
    </row>
    <row r="8090" s="105" customFormat="1" spans="9:12">
      <c r="I8090" s="225"/>
      <c r="K8090" s="9"/>
      <c r="L8090" s="9"/>
    </row>
    <row r="8091" s="105" customFormat="1" spans="9:12">
      <c r="I8091" s="225"/>
      <c r="K8091" s="9"/>
      <c r="L8091" s="9"/>
    </row>
    <row r="8092" s="105" customFormat="1" spans="9:12">
      <c r="I8092" s="225"/>
      <c r="K8092" s="9"/>
      <c r="L8092" s="9"/>
    </row>
    <row r="8093" s="105" customFormat="1" spans="9:12">
      <c r="I8093" s="225"/>
      <c r="K8093" s="9"/>
      <c r="L8093" s="9"/>
    </row>
    <row r="8094" s="105" customFormat="1" spans="9:12">
      <c r="I8094" s="225"/>
      <c r="K8094" s="9"/>
      <c r="L8094" s="9"/>
    </row>
    <row r="8095" s="105" customFormat="1" spans="9:12">
      <c r="I8095" s="225"/>
      <c r="K8095" s="9"/>
      <c r="L8095" s="9"/>
    </row>
    <row r="8096" s="105" customFormat="1" spans="9:12">
      <c r="I8096" s="225"/>
      <c r="K8096" s="9"/>
      <c r="L8096" s="9"/>
    </row>
    <row r="8097" s="105" customFormat="1" spans="9:12">
      <c r="I8097" s="225"/>
      <c r="K8097" s="9"/>
      <c r="L8097" s="9"/>
    </row>
    <row r="8098" s="105" customFormat="1" spans="9:12">
      <c r="I8098" s="225"/>
      <c r="K8098" s="9"/>
      <c r="L8098" s="9"/>
    </row>
    <row r="8099" s="105" customFormat="1" spans="9:12">
      <c r="I8099" s="225"/>
      <c r="K8099" s="9"/>
      <c r="L8099" s="9"/>
    </row>
    <row r="8100" s="105" customFormat="1" spans="9:12">
      <c r="I8100" s="225"/>
      <c r="K8100" s="9"/>
      <c r="L8100" s="9"/>
    </row>
    <row r="8101" s="105" customFormat="1" spans="9:12">
      <c r="I8101" s="225"/>
      <c r="K8101" s="9"/>
      <c r="L8101" s="9"/>
    </row>
    <row r="8102" s="105" customFormat="1" spans="9:12">
      <c r="I8102" s="225"/>
      <c r="K8102" s="9"/>
      <c r="L8102" s="9"/>
    </row>
    <row r="8103" s="105" customFormat="1" spans="9:12">
      <c r="I8103" s="225"/>
      <c r="K8103" s="9"/>
      <c r="L8103" s="9"/>
    </row>
    <row r="8104" s="105" customFormat="1" spans="9:12">
      <c r="I8104" s="225"/>
      <c r="K8104" s="9"/>
      <c r="L8104" s="9"/>
    </row>
    <row r="8105" s="105" customFormat="1" spans="9:12">
      <c r="I8105" s="225"/>
      <c r="K8105" s="9"/>
      <c r="L8105" s="9"/>
    </row>
    <row r="8106" s="105" customFormat="1" spans="9:12">
      <c r="I8106" s="225"/>
      <c r="K8106" s="9"/>
      <c r="L8106" s="9"/>
    </row>
    <row r="8107" s="105" customFormat="1" spans="9:12">
      <c r="I8107" s="225"/>
      <c r="K8107" s="9"/>
      <c r="L8107" s="9"/>
    </row>
    <row r="8108" s="105" customFormat="1" spans="9:12">
      <c r="I8108" s="225"/>
      <c r="K8108" s="9"/>
      <c r="L8108" s="9"/>
    </row>
    <row r="8109" s="105" customFormat="1" spans="9:12">
      <c r="I8109" s="225"/>
      <c r="K8109" s="9"/>
      <c r="L8109" s="9"/>
    </row>
    <row r="8110" s="105" customFormat="1" spans="9:12">
      <c r="I8110" s="225"/>
      <c r="K8110" s="9"/>
      <c r="L8110" s="9"/>
    </row>
    <row r="8111" s="105" customFormat="1" spans="9:12">
      <c r="I8111" s="225"/>
      <c r="K8111" s="9"/>
      <c r="L8111" s="9"/>
    </row>
    <row r="8112" s="105" customFormat="1" spans="9:12">
      <c r="I8112" s="225"/>
      <c r="K8112" s="9"/>
      <c r="L8112" s="9"/>
    </row>
    <row r="8113" s="105" customFormat="1" spans="9:12">
      <c r="I8113" s="225"/>
      <c r="K8113" s="9"/>
      <c r="L8113" s="9"/>
    </row>
    <row r="8114" s="105" customFormat="1" spans="9:12">
      <c r="I8114" s="225"/>
      <c r="K8114" s="9"/>
      <c r="L8114" s="9"/>
    </row>
    <row r="8115" s="105" customFormat="1" spans="9:12">
      <c r="I8115" s="225"/>
      <c r="K8115" s="9"/>
      <c r="L8115" s="9"/>
    </row>
    <row r="8116" s="105" customFormat="1" spans="9:12">
      <c r="I8116" s="225"/>
      <c r="K8116" s="9"/>
      <c r="L8116" s="9"/>
    </row>
    <row r="8117" s="105" customFormat="1" spans="9:12">
      <c r="I8117" s="225"/>
      <c r="K8117" s="9"/>
      <c r="L8117" s="9"/>
    </row>
    <row r="8118" s="105" customFormat="1" spans="9:12">
      <c r="I8118" s="225"/>
      <c r="K8118" s="9"/>
      <c r="L8118" s="9"/>
    </row>
    <row r="8119" s="105" customFormat="1" spans="9:12">
      <c r="I8119" s="225"/>
      <c r="K8119" s="9"/>
      <c r="L8119" s="9"/>
    </row>
    <row r="8120" s="105" customFormat="1" spans="9:12">
      <c r="I8120" s="225"/>
      <c r="K8120" s="9"/>
      <c r="L8120" s="9"/>
    </row>
    <row r="8121" s="105" customFormat="1" spans="9:12">
      <c r="I8121" s="225"/>
      <c r="K8121" s="9"/>
      <c r="L8121" s="9"/>
    </row>
    <row r="8122" s="105" customFormat="1" spans="9:12">
      <c r="I8122" s="225"/>
      <c r="K8122" s="9"/>
      <c r="L8122" s="9"/>
    </row>
    <row r="8123" s="105" customFormat="1" spans="9:12">
      <c r="I8123" s="225"/>
      <c r="K8123" s="9"/>
      <c r="L8123" s="9"/>
    </row>
    <row r="8124" s="105" customFormat="1" spans="9:12">
      <c r="I8124" s="225"/>
      <c r="K8124" s="9"/>
      <c r="L8124" s="9"/>
    </row>
    <row r="8125" s="105" customFormat="1" spans="9:12">
      <c r="I8125" s="225"/>
      <c r="K8125" s="9"/>
      <c r="L8125" s="9"/>
    </row>
    <row r="8126" s="105" customFormat="1" spans="9:12">
      <c r="I8126" s="225"/>
      <c r="K8126" s="9"/>
      <c r="L8126" s="9"/>
    </row>
    <row r="8127" s="105" customFormat="1" spans="9:12">
      <c r="I8127" s="225"/>
      <c r="K8127" s="9"/>
      <c r="L8127" s="9"/>
    </row>
    <row r="8128" s="105" customFormat="1" spans="9:12">
      <c r="I8128" s="225"/>
      <c r="K8128" s="9"/>
      <c r="L8128" s="9"/>
    </row>
    <row r="8129" s="105" customFormat="1" spans="9:12">
      <c r="I8129" s="225"/>
      <c r="K8129" s="9"/>
      <c r="L8129" s="9"/>
    </row>
    <row r="8130" s="105" customFormat="1" spans="9:12">
      <c r="I8130" s="225"/>
      <c r="K8130" s="9"/>
      <c r="L8130" s="9"/>
    </row>
    <row r="8131" s="105" customFormat="1" spans="9:12">
      <c r="I8131" s="225"/>
      <c r="K8131" s="9"/>
      <c r="L8131" s="9"/>
    </row>
    <row r="8132" s="105" customFormat="1" spans="9:12">
      <c r="I8132" s="225"/>
      <c r="K8132" s="9"/>
      <c r="L8132" s="9"/>
    </row>
    <row r="8133" s="105" customFormat="1" spans="9:12">
      <c r="I8133" s="225"/>
      <c r="K8133" s="9"/>
      <c r="L8133" s="9"/>
    </row>
    <row r="8134" s="105" customFormat="1" spans="9:12">
      <c r="I8134" s="225"/>
      <c r="K8134" s="9"/>
      <c r="L8134" s="9"/>
    </row>
    <row r="8135" s="105" customFormat="1" spans="9:12">
      <c r="I8135" s="225"/>
      <c r="K8135" s="9"/>
      <c r="L8135" s="9"/>
    </row>
    <row r="8136" s="105" customFormat="1" spans="9:12">
      <c r="I8136" s="225"/>
      <c r="K8136" s="9"/>
      <c r="L8136" s="9"/>
    </row>
    <row r="8137" s="105" customFormat="1" spans="9:12">
      <c r="I8137" s="225"/>
      <c r="K8137" s="9"/>
      <c r="L8137" s="9"/>
    </row>
    <row r="8138" s="105" customFormat="1" spans="9:12">
      <c r="I8138" s="225"/>
      <c r="K8138" s="9"/>
      <c r="L8138" s="9"/>
    </row>
    <row r="8139" s="105" customFormat="1" spans="9:12">
      <c r="I8139" s="225"/>
      <c r="K8139" s="9"/>
      <c r="L8139" s="9"/>
    </row>
    <row r="8140" s="105" customFormat="1" spans="9:12">
      <c r="I8140" s="225"/>
      <c r="K8140" s="9"/>
      <c r="L8140" s="9"/>
    </row>
    <row r="8141" s="105" customFormat="1" spans="9:12">
      <c r="I8141" s="225"/>
      <c r="K8141" s="9"/>
      <c r="L8141" s="9"/>
    </row>
    <row r="8142" s="105" customFormat="1" spans="9:12">
      <c r="I8142" s="225"/>
      <c r="K8142" s="9"/>
      <c r="L8142" s="9"/>
    </row>
    <row r="8143" s="105" customFormat="1" spans="9:12">
      <c r="I8143" s="225"/>
      <c r="K8143" s="9"/>
      <c r="L8143" s="9"/>
    </row>
    <row r="8144" s="105" customFormat="1" spans="9:12">
      <c r="I8144" s="225"/>
      <c r="K8144" s="9"/>
      <c r="L8144" s="9"/>
    </row>
    <row r="8145" s="105" customFormat="1" spans="9:12">
      <c r="I8145" s="225"/>
      <c r="K8145" s="9"/>
      <c r="L8145" s="9"/>
    </row>
    <row r="8146" s="105" customFormat="1" spans="9:12">
      <c r="I8146" s="225"/>
      <c r="K8146" s="9"/>
      <c r="L8146" s="9"/>
    </row>
    <row r="8147" s="105" customFormat="1" spans="9:12">
      <c r="I8147" s="225"/>
      <c r="K8147" s="9"/>
      <c r="L8147" s="9"/>
    </row>
    <row r="8148" s="105" customFormat="1" spans="9:12">
      <c r="I8148" s="225"/>
      <c r="K8148" s="9"/>
      <c r="L8148" s="9"/>
    </row>
    <row r="8149" s="105" customFormat="1" spans="9:12">
      <c r="I8149" s="225"/>
      <c r="K8149" s="9"/>
      <c r="L8149" s="9"/>
    </row>
    <row r="8150" s="105" customFormat="1" spans="9:12">
      <c r="I8150" s="225"/>
      <c r="K8150" s="9"/>
      <c r="L8150" s="9"/>
    </row>
    <row r="8151" s="105" customFormat="1" spans="9:12">
      <c r="I8151" s="225"/>
      <c r="K8151" s="9"/>
      <c r="L8151" s="9"/>
    </row>
    <row r="8152" s="105" customFormat="1" spans="9:12">
      <c r="I8152" s="225"/>
      <c r="K8152" s="9"/>
      <c r="L8152" s="9"/>
    </row>
    <row r="8153" s="105" customFormat="1" spans="9:12">
      <c r="I8153" s="225"/>
      <c r="K8153" s="9"/>
      <c r="L8153" s="9"/>
    </row>
    <row r="8154" s="105" customFormat="1" spans="9:12">
      <c r="I8154" s="225"/>
      <c r="K8154" s="9"/>
      <c r="L8154" s="9"/>
    </row>
    <row r="8155" s="105" customFormat="1" spans="9:12">
      <c r="I8155" s="225"/>
      <c r="K8155" s="9"/>
      <c r="L8155" s="9"/>
    </row>
    <row r="8156" s="105" customFormat="1" spans="9:12">
      <c r="I8156" s="225"/>
      <c r="K8156" s="9"/>
      <c r="L8156" s="9"/>
    </row>
    <row r="8157" s="105" customFormat="1" spans="9:12">
      <c r="I8157" s="225"/>
      <c r="K8157" s="9"/>
      <c r="L8157" s="9"/>
    </row>
    <row r="8158" s="105" customFormat="1" spans="9:12">
      <c r="I8158" s="225"/>
      <c r="K8158" s="9"/>
      <c r="L8158" s="9"/>
    </row>
    <row r="8159" s="105" customFormat="1" spans="9:12">
      <c r="I8159" s="225"/>
      <c r="K8159" s="9"/>
      <c r="L8159" s="9"/>
    </row>
    <row r="8160" s="105" customFormat="1" spans="9:12">
      <c r="I8160" s="225"/>
      <c r="K8160" s="9"/>
      <c r="L8160" s="9"/>
    </row>
    <row r="8161" s="105" customFormat="1" spans="9:12">
      <c r="I8161" s="225"/>
      <c r="K8161" s="9"/>
      <c r="L8161" s="9"/>
    </row>
    <row r="8162" s="105" customFormat="1" spans="9:12">
      <c r="I8162" s="225"/>
      <c r="K8162" s="9"/>
      <c r="L8162" s="9"/>
    </row>
    <row r="8163" s="105" customFormat="1" spans="9:12">
      <c r="I8163" s="225"/>
      <c r="K8163" s="9"/>
      <c r="L8163" s="9"/>
    </row>
    <row r="8164" s="105" customFormat="1" spans="9:12">
      <c r="I8164" s="225"/>
      <c r="K8164" s="9"/>
      <c r="L8164" s="9"/>
    </row>
    <row r="8165" s="105" customFormat="1" spans="9:12">
      <c r="I8165" s="225"/>
      <c r="K8165" s="9"/>
      <c r="L8165" s="9"/>
    </row>
    <row r="8166" s="105" customFormat="1" spans="9:12">
      <c r="I8166" s="225"/>
      <c r="K8166" s="9"/>
      <c r="L8166" s="9"/>
    </row>
    <row r="8167" s="105" customFormat="1" spans="9:12">
      <c r="I8167" s="225"/>
      <c r="K8167" s="9"/>
      <c r="L8167" s="9"/>
    </row>
    <row r="8168" s="105" customFormat="1" spans="9:12">
      <c r="I8168" s="225"/>
      <c r="K8168" s="9"/>
      <c r="L8168" s="9"/>
    </row>
    <row r="8169" s="105" customFormat="1" spans="9:12">
      <c r="I8169" s="225"/>
      <c r="K8169" s="9"/>
      <c r="L8169" s="9"/>
    </row>
    <row r="8170" s="105" customFormat="1" spans="9:12">
      <c r="I8170" s="225"/>
      <c r="K8170" s="9"/>
      <c r="L8170" s="9"/>
    </row>
    <row r="8171" s="105" customFormat="1" spans="9:12">
      <c r="I8171" s="225"/>
      <c r="K8171" s="9"/>
      <c r="L8171" s="9"/>
    </row>
    <row r="8172" s="105" customFormat="1" spans="9:12">
      <c r="I8172" s="225"/>
      <c r="K8172" s="9"/>
      <c r="L8172" s="9"/>
    </row>
    <row r="8173" s="105" customFormat="1" spans="9:12">
      <c r="I8173" s="225"/>
      <c r="K8173" s="9"/>
      <c r="L8173" s="9"/>
    </row>
    <row r="8174" s="105" customFormat="1" spans="9:12">
      <c r="I8174" s="225"/>
      <c r="K8174" s="9"/>
      <c r="L8174" s="9"/>
    </row>
    <row r="8175" s="105" customFormat="1" spans="9:12">
      <c r="I8175" s="225"/>
      <c r="K8175" s="9"/>
      <c r="L8175" s="9"/>
    </row>
    <row r="8176" s="105" customFormat="1" spans="9:12">
      <c r="I8176" s="225"/>
      <c r="K8176" s="9"/>
      <c r="L8176" s="9"/>
    </row>
    <row r="8177" s="105" customFormat="1" spans="9:12">
      <c r="I8177" s="225"/>
      <c r="K8177" s="9"/>
      <c r="L8177" s="9"/>
    </row>
    <row r="8178" s="105" customFormat="1" spans="9:12">
      <c r="I8178" s="225"/>
      <c r="K8178" s="9"/>
      <c r="L8178" s="9"/>
    </row>
    <row r="8179" s="105" customFormat="1" spans="9:12">
      <c r="I8179" s="225"/>
      <c r="K8179" s="9"/>
      <c r="L8179" s="9"/>
    </row>
    <row r="8180" s="105" customFormat="1" spans="9:12">
      <c r="I8180" s="225"/>
      <c r="K8180" s="9"/>
      <c r="L8180" s="9"/>
    </row>
    <row r="8181" s="105" customFormat="1" spans="9:12">
      <c r="I8181" s="225"/>
      <c r="K8181" s="9"/>
      <c r="L8181" s="9"/>
    </row>
    <row r="8182" s="105" customFormat="1" spans="9:12">
      <c r="I8182" s="225"/>
      <c r="K8182" s="9"/>
      <c r="L8182" s="9"/>
    </row>
    <row r="8183" s="105" customFormat="1" spans="9:12">
      <c r="I8183" s="225"/>
      <c r="K8183" s="9"/>
      <c r="L8183" s="9"/>
    </row>
    <row r="8184" s="105" customFormat="1" spans="9:12">
      <c r="I8184" s="225"/>
      <c r="K8184" s="9"/>
      <c r="L8184" s="9"/>
    </row>
    <row r="8185" s="105" customFormat="1" spans="9:12">
      <c r="I8185" s="225"/>
      <c r="K8185" s="9"/>
      <c r="L8185" s="9"/>
    </row>
    <row r="8186" s="105" customFormat="1" spans="9:12">
      <c r="I8186" s="225"/>
      <c r="K8186" s="9"/>
      <c r="L8186" s="9"/>
    </row>
    <row r="8187" s="105" customFormat="1" spans="9:12">
      <c r="I8187" s="225"/>
      <c r="K8187" s="9"/>
      <c r="L8187" s="9"/>
    </row>
    <row r="8188" s="105" customFormat="1" spans="9:12">
      <c r="I8188" s="225"/>
      <c r="K8188" s="9"/>
      <c r="L8188" s="9"/>
    </row>
    <row r="8189" s="105" customFormat="1" spans="9:12">
      <c r="I8189" s="225"/>
      <c r="K8189" s="9"/>
      <c r="L8189" s="9"/>
    </row>
    <row r="8190" s="105" customFormat="1" spans="9:12">
      <c r="I8190" s="225"/>
      <c r="K8190" s="9"/>
      <c r="L8190" s="9"/>
    </row>
    <row r="8191" s="105" customFormat="1" spans="9:12">
      <c r="I8191" s="225"/>
      <c r="K8191" s="9"/>
      <c r="L8191" s="9"/>
    </row>
    <row r="8192" s="105" customFormat="1" spans="9:12">
      <c r="I8192" s="225"/>
      <c r="K8192" s="9"/>
      <c r="L8192" s="9"/>
    </row>
    <row r="8193" s="105" customFormat="1" spans="9:12">
      <c r="I8193" s="225"/>
      <c r="K8193" s="9"/>
      <c r="L8193" s="9"/>
    </row>
    <row r="8194" s="105" customFormat="1" spans="9:12">
      <c r="I8194" s="225"/>
      <c r="K8194" s="9"/>
      <c r="L8194" s="9"/>
    </row>
    <row r="8195" s="105" customFormat="1" spans="9:12">
      <c r="I8195" s="225"/>
      <c r="K8195" s="9"/>
      <c r="L8195" s="9"/>
    </row>
    <row r="8196" s="105" customFormat="1" spans="9:12">
      <c r="I8196" s="225"/>
      <c r="K8196" s="9"/>
      <c r="L8196" s="9"/>
    </row>
    <row r="8197" s="105" customFormat="1" spans="9:12">
      <c r="I8197" s="225"/>
      <c r="K8197" s="9"/>
      <c r="L8197" s="9"/>
    </row>
    <row r="8198" s="105" customFormat="1" spans="9:12">
      <c r="I8198" s="225"/>
      <c r="K8198" s="9"/>
      <c r="L8198" s="9"/>
    </row>
    <row r="8199" s="105" customFormat="1" spans="9:12">
      <c r="I8199" s="225"/>
      <c r="K8199" s="9"/>
      <c r="L8199" s="9"/>
    </row>
    <row r="8200" s="105" customFormat="1" spans="9:12">
      <c r="I8200" s="225"/>
      <c r="K8200" s="9"/>
      <c r="L8200" s="9"/>
    </row>
    <row r="8201" s="105" customFormat="1" spans="9:12">
      <c r="I8201" s="225"/>
      <c r="K8201" s="9"/>
      <c r="L8201" s="9"/>
    </row>
    <row r="8202" s="105" customFormat="1" spans="9:12">
      <c r="I8202" s="225"/>
      <c r="K8202" s="9"/>
      <c r="L8202" s="9"/>
    </row>
    <row r="8203" s="105" customFormat="1" spans="9:12">
      <c r="I8203" s="225"/>
      <c r="K8203" s="9"/>
      <c r="L8203" s="9"/>
    </row>
    <row r="8204" s="105" customFormat="1" spans="9:12">
      <c r="I8204" s="225"/>
      <c r="K8204" s="9"/>
      <c r="L8204" s="9"/>
    </row>
    <row r="8205" s="105" customFormat="1" spans="9:12">
      <c r="I8205" s="225"/>
      <c r="K8205" s="9"/>
      <c r="L8205" s="9"/>
    </row>
    <row r="8206" s="105" customFormat="1" spans="9:12">
      <c r="I8206" s="225"/>
      <c r="K8206" s="9"/>
      <c r="L8206" s="9"/>
    </row>
    <row r="8207" s="105" customFormat="1" spans="9:12">
      <c r="I8207" s="225"/>
      <c r="K8207" s="9"/>
      <c r="L8207" s="9"/>
    </row>
    <row r="8208" s="105" customFormat="1" spans="9:12">
      <c r="I8208" s="225"/>
      <c r="K8208" s="9"/>
      <c r="L8208" s="9"/>
    </row>
    <row r="8209" s="105" customFormat="1" spans="9:12">
      <c r="I8209" s="225"/>
      <c r="K8209" s="9"/>
      <c r="L8209" s="9"/>
    </row>
    <row r="8210" s="105" customFormat="1" spans="9:12">
      <c r="I8210" s="225"/>
      <c r="K8210" s="9"/>
      <c r="L8210" s="9"/>
    </row>
    <row r="8211" s="105" customFormat="1" spans="9:12">
      <c r="I8211" s="225"/>
      <c r="K8211" s="9"/>
      <c r="L8211" s="9"/>
    </row>
    <row r="8212" s="105" customFormat="1" spans="9:12">
      <c r="I8212" s="225"/>
      <c r="K8212" s="9"/>
      <c r="L8212" s="9"/>
    </row>
    <row r="8213" s="105" customFormat="1" spans="9:12">
      <c r="I8213" s="225"/>
      <c r="K8213" s="9"/>
      <c r="L8213" s="9"/>
    </row>
    <row r="8214" s="105" customFormat="1" spans="9:12">
      <c r="I8214" s="225"/>
      <c r="K8214" s="9"/>
      <c r="L8214" s="9"/>
    </row>
    <row r="8215" s="105" customFormat="1" spans="9:12">
      <c r="I8215" s="225"/>
      <c r="K8215" s="9"/>
      <c r="L8215" s="9"/>
    </row>
    <row r="8216" s="105" customFormat="1" spans="9:12">
      <c r="I8216" s="225"/>
      <c r="K8216" s="9"/>
      <c r="L8216" s="9"/>
    </row>
    <row r="8217" s="105" customFormat="1" spans="9:12">
      <c r="I8217" s="225"/>
      <c r="K8217" s="9"/>
      <c r="L8217" s="9"/>
    </row>
    <row r="8218" s="105" customFormat="1" spans="9:12">
      <c r="I8218" s="225"/>
      <c r="K8218" s="9"/>
      <c r="L8218" s="9"/>
    </row>
    <row r="8219" s="105" customFormat="1" spans="9:12">
      <c r="I8219" s="225"/>
      <c r="K8219" s="9"/>
      <c r="L8219" s="9"/>
    </row>
    <row r="8220" s="105" customFormat="1" spans="9:12">
      <c r="I8220" s="225"/>
      <c r="K8220" s="9"/>
      <c r="L8220" s="9"/>
    </row>
    <row r="8221" s="105" customFormat="1" spans="9:12">
      <c r="I8221" s="225"/>
      <c r="K8221" s="9"/>
      <c r="L8221" s="9"/>
    </row>
    <row r="8222" s="105" customFormat="1" spans="9:12">
      <c r="I8222" s="225"/>
      <c r="K8222" s="9"/>
      <c r="L8222" s="9"/>
    </row>
    <row r="8223" s="105" customFormat="1" spans="9:12">
      <c r="I8223" s="225"/>
      <c r="K8223" s="9"/>
      <c r="L8223" s="9"/>
    </row>
    <row r="8224" s="105" customFormat="1" spans="9:12">
      <c r="I8224" s="225"/>
      <c r="K8224" s="9"/>
      <c r="L8224" s="9"/>
    </row>
    <row r="8225" s="105" customFormat="1" spans="9:12">
      <c r="I8225" s="225"/>
      <c r="K8225" s="9"/>
      <c r="L8225" s="9"/>
    </row>
    <row r="8226" s="105" customFormat="1" spans="9:12">
      <c r="I8226" s="225"/>
      <c r="K8226" s="9"/>
      <c r="L8226" s="9"/>
    </row>
    <row r="8227" s="105" customFormat="1" spans="9:12">
      <c r="I8227" s="225"/>
      <c r="K8227" s="9"/>
      <c r="L8227" s="9"/>
    </row>
    <row r="8228" s="105" customFormat="1" spans="9:12">
      <c r="I8228" s="225"/>
      <c r="K8228" s="9"/>
      <c r="L8228" s="9"/>
    </row>
    <row r="8229" s="105" customFormat="1" spans="9:12">
      <c r="I8229" s="225"/>
      <c r="K8229" s="9"/>
      <c r="L8229" s="9"/>
    </row>
    <row r="8230" s="105" customFormat="1" spans="9:12">
      <c r="I8230" s="225"/>
      <c r="K8230" s="9"/>
      <c r="L8230" s="9"/>
    </row>
    <row r="8231" s="105" customFormat="1" spans="9:12">
      <c r="I8231" s="225"/>
      <c r="K8231" s="9"/>
      <c r="L8231" s="9"/>
    </row>
    <row r="8232" s="105" customFormat="1" spans="9:12">
      <c r="I8232" s="225"/>
      <c r="K8232" s="9"/>
      <c r="L8232" s="9"/>
    </row>
    <row r="8233" s="105" customFormat="1" spans="9:12">
      <c r="I8233" s="225"/>
      <c r="K8233" s="9"/>
      <c r="L8233" s="9"/>
    </row>
    <row r="8234" s="105" customFormat="1" spans="9:12">
      <c r="I8234" s="225"/>
      <c r="K8234" s="9"/>
      <c r="L8234" s="9"/>
    </row>
    <row r="8235" s="105" customFormat="1" spans="9:12">
      <c r="I8235" s="225"/>
      <c r="K8235" s="9"/>
      <c r="L8235" s="9"/>
    </row>
    <row r="8236" s="105" customFormat="1" spans="9:12">
      <c r="I8236" s="225"/>
      <c r="K8236" s="9"/>
      <c r="L8236" s="9"/>
    </row>
    <row r="8237" s="105" customFormat="1" spans="9:12">
      <c r="I8237" s="225"/>
      <c r="K8237" s="9"/>
      <c r="L8237" s="9"/>
    </row>
    <row r="8238" s="105" customFormat="1" spans="9:12">
      <c r="I8238" s="225"/>
      <c r="K8238" s="9"/>
      <c r="L8238" s="9"/>
    </row>
    <row r="8239" s="105" customFormat="1" spans="9:12">
      <c r="I8239" s="225"/>
      <c r="K8239" s="9"/>
      <c r="L8239" s="9"/>
    </row>
    <row r="8240" s="105" customFormat="1" spans="9:12">
      <c r="I8240" s="225"/>
      <c r="K8240" s="9"/>
      <c r="L8240" s="9"/>
    </row>
    <row r="8241" s="105" customFormat="1" spans="9:12">
      <c r="I8241" s="225"/>
      <c r="K8241" s="9"/>
      <c r="L8241" s="9"/>
    </row>
    <row r="8242" s="105" customFormat="1" spans="9:12">
      <c r="I8242" s="225"/>
      <c r="K8242" s="9"/>
      <c r="L8242" s="9"/>
    </row>
    <row r="8243" s="105" customFormat="1" spans="9:12">
      <c r="I8243" s="225"/>
      <c r="K8243" s="9"/>
      <c r="L8243" s="9"/>
    </row>
    <row r="8244" s="105" customFormat="1" spans="9:12">
      <c r="I8244" s="225"/>
      <c r="K8244" s="9"/>
      <c r="L8244" s="9"/>
    </row>
    <row r="8245" s="105" customFormat="1" spans="9:12">
      <c r="I8245" s="225"/>
      <c r="K8245" s="9"/>
      <c r="L8245" s="9"/>
    </row>
    <row r="8246" s="105" customFormat="1" spans="9:12">
      <c r="I8246" s="225"/>
      <c r="K8246" s="9"/>
      <c r="L8246" s="9"/>
    </row>
    <row r="8247" s="105" customFormat="1" spans="9:12">
      <c r="I8247" s="225"/>
      <c r="K8247" s="9"/>
      <c r="L8247" s="9"/>
    </row>
    <row r="8248" s="105" customFormat="1" spans="9:12">
      <c r="I8248" s="225"/>
      <c r="K8248" s="9"/>
      <c r="L8248" s="9"/>
    </row>
    <row r="8249" s="105" customFormat="1" spans="9:12">
      <c r="I8249" s="225"/>
      <c r="K8249" s="9"/>
      <c r="L8249" s="9"/>
    </row>
    <row r="8250" s="105" customFormat="1" spans="9:12">
      <c r="I8250" s="225"/>
      <c r="K8250" s="9"/>
      <c r="L8250" s="9"/>
    </row>
    <row r="8251" s="105" customFormat="1" spans="9:12">
      <c r="I8251" s="225"/>
      <c r="K8251" s="9"/>
      <c r="L8251" s="9"/>
    </row>
    <row r="8252" s="105" customFormat="1" spans="9:12">
      <c r="I8252" s="225"/>
      <c r="K8252" s="9"/>
      <c r="L8252" s="9"/>
    </row>
    <row r="8253" s="105" customFormat="1" spans="9:12">
      <c r="I8253" s="225"/>
      <c r="K8253" s="9"/>
      <c r="L8253" s="9"/>
    </row>
    <row r="8254" s="105" customFormat="1" spans="9:12">
      <c r="I8254" s="225"/>
      <c r="K8254" s="9"/>
      <c r="L8254" s="9"/>
    </row>
    <row r="8255" s="105" customFormat="1" spans="9:12">
      <c r="I8255" s="225"/>
      <c r="K8255" s="9"/>
      <c r="L8255" s="9"/>
    </row>
    <row r="8256" s="105" customFormat="1" spans="9:12">
      <c r="I8256" s="225"/>
      <c r="K8256" s="9"/>
      <c r="L8256" s="9"/>
    </row>
    <row r="8257" s="105" customFormat="1" spans="9:12">
      <c r="I8257" s="225"/>
      <c r="K8257" s="9"/>
      <c r="L8257" s="9"/>
    </row>
    <row r="8258" s="105" customFormat="1" spans="9:12">
      <c r="I8258" s="225"/>
      <c r="K8258" s="9"/>
      <c r="L8258" s="9"/>
    </row>
    <row r="8259" s="105" customFormat="1" spans="9:12">
      <c r="I8259" s="225"/>
      <c r="K8259" s="9"/>
      <c r="L8259" s="9"/>
    </row>
    <row r="8260" s="105" customFormat="1" spans="9:12">
      <c r="I8260" s="225"/>
      <c r="K8260" s="9"/>
      <c r="L8260" s="9"/>
    </row>
    <row r="8261" s="105" customFormat="1" spans="9:12">
      <c r="I8261" s="225"/>
      <c r="K8261" s="9"/>
      <c r="L8261" s="9"/>
    </row>
    <row r="8262" s="105" customFormat="1" spans="9:12">
      <c r="I8262" s="225"/>
      <c r="K8262" s="9"/>
      <c r="L8262" s="9"/>
    </row>
    <row r="8263" s="105" customFormat="1" spans="9:12">
      <c r="I8263" s="225"/>
      <c r="K8263" s="9"/>
      <c r="L8263" s="9"/>
    </row>
    <row r="8264" s="105" customFormat="1" spans="9:12">
      <c r="I8264" s="225"/>
      <c r="K8264" s="9"/>
      <c r="L8264" s="9"/>
    </row>
    <row r="8265" s="105" customFormat="1" spans="9:12">
      <c r="I8265" s="225"/>
      <c r="K8265" s="9"/>
      <c r="L8265" s="9"/>
    </row>
    <row r="8266" s="105" customFormat="1" spans="9:12">
      <c r="I8266" s="225"/>
      <c r="K8266" s="9"/>
      <c r="L8266" s="9"/>
    </row>
    <row r="8267" s="105" customFormat="1" spans="9:12">
      <c r="I8267" s="225"/>
      <c r="K8267" s="9"/>
      <c r="L8267" s="9"/>
    </row>
    <row r="8268" s="105" customFormat="1" spans="9:12">
      <c r="I8268" s="225"/>
      <c r="K8268" s="9"/>
      <c r="L8268" s="9"/>
    </row>
    <row r="8269" s="105" customFormat="1" spans="9:12">
      <c r="I8269" s="225"/>
      <c r="K8269" s="9"/>
      <c r="L8269" s="9"/>
    </row>
    <row r="8270" s="105" customFormat="1" spans="9:12">
      <c r="I8270" s="225"/>
      <c r="K8270" s="9"/>
      <c r="L8270" s="9"/>
    </row>
    <row r="8271" s="105" customFormat="1" spans="9:12">
      <c r="I8271" s="225"/>
      <c r="K8271" s="9"/>
      <c r="L8271" s="9"/>
    </row>
    <row r="8272" s="105" customFormat="1" spans="9:12">
      <c r="I8272" s="225"/>
      <c r="K8272" s="9"/>
      <c r="L8272" s="9"/>
    </row>
    <row r="8273" s="105" customFormat="1" spans="9:12">
      <c r="I8273" s="225"/>
      <c r="K8273" s="9"/>
      <c r="L8273" s="9"/>
    </row>
    <row r="8274" s="105" customFormat="1" spans="9:12">
      <c r="I8274" s="225"/>
      <c r="K8274" s="9"/>
      <c r="L8274" s="9"/>
    </row>
    <row r="8275" s="105" customFormat="1" spans="9:12">
      <c r="I8275" s="225"/>
      <c r="K8275" s="9"/>
      <c r="L8275" s="9"/>
    </row>
    <row r="8276" s="105" customFormat="1" spans="9:12">
      <c r="I8276" s="225"/>
      <c r="K8276" s="9"/>
      <c r="L8276" s="9"/>
    </row>
    <row r="8277" s="105" customFormat="1" spans="9:12">
      <c r="I8277" s="225"/>
      <c r="K8277" s="9"/>
      <c r="L8277" s="9"/>
    </row>
    <row r="8278" s="105" customFormat="1" spans="9:12">
      <c r="I8278" s="225"/>
      <c r="K8278" s="9"/>
      <c r="L8278" s="9"/>
    </row>
    <row r="8279" s="105" customFormat="1" spans="9:12">
      <c r="I8279" s="225"/>
      <c r="K8279" s="9"/>
      <c r="L8279" s="9"/>
    </row>
    <row r="8280" s="105" customFormat="1" spans="9:12">
      <c r="I8280" s="225"/>
      <c r="K8280" s="9"/>
      <c r="L8280" s="9"/>
    </row>
    <row r="8281" s="105" customFormat="1" spans="9:12">
      <c r="I8281" s="225"/>
      <c r="K8281" s="9"/>
      <c r="L8281" s="9"/>
    </row>
    <row r="8282" s="105" customFormat="1" spans="9:12">
      <c r="I8282" s="225"/>
      <c r="K8282" s="9"/>
      <c r="L8282" s="9"/>
    </row>
    <row r="8283" s="105" customFormat="1" spans="9:12">
      <c r="I8283" s="225"/>
      <c r="K8283" s="9"/>
      <c r="L8283" s="9"/>
    </row>
    <row r="8284" s="105" customFormat="1" spans="9:12">
      <c r="I8284" s="225"/>
      <c r="K8284" s="9"/>
      <c r="L8284" s="9"/>
    </row>
    <row r="8285" s="105" customFormat="1" spans="9:12">
      <c r="I8285" s="225"/>
      <c r="K8285" s="9"/>
      <c r="L8285" s="9"/>
    </row>
    <row r="8286" s="105" customFormat="1" spans="9:12">
      <c r="I8286" s="225"/>
      <c r="K8286" s="9"/>
      <c r="L8286" s="9"/>
    </row>
    <row r="8287" s="105" customFormat="1" spans="9:12">
      <c r="I8287" s="225"/>
      <c r="K8287" s="9"/>
      <c r="L8287" s="9"/>
    </row>
    <row r="8288" s="105" customFormat="1" spans="9:12">
      <c r="I8288" s="225"/>
      <c r="K8288" s="9"/>
      <c r="L8288" s="9"/>
    </row>
    <row r="8289" s="105" customFormat="1" spans="9:12">
      <c r="I8289" s="225"/>
      <c r="K8289" s="9"/>
      <c r="L8289" s="9"/>
    </row>
    <row r="8290" s="105" customFormat="1" spans="9:12">
      <c r="I8290" s="225"/>
      <c r="K8290" s="9"/>
      <c r="L8290" s="9"/>
    </row>
    <row r="8291" s="105" customFormat="1" spans="9:12">
      <c r="I8291" s="225"/>
      <c r="K8291" s="9"/>
      <c r="L8291" s="9"/>
    </row>
    <row r="8292" s="105" customFormat="1" spans="9:12">
      <c r="I8292" s="225"/>
      <c r="K8292" s="9"/>
      <c r="L8292" s="9"/>
    </row>
    <row r="8293" s="105" customFormat="1" spans="9:12">
      <c r="I8293" s="225"/>
      <c r="K8293" s="9"/>
      <c r="L8293" s="9"/>
    </row>
    <row r="8294" s="105" customFormat="1" spans="9:12">
      <c r="I8294" s="225"/>
      <c r="K8294" s="9"/>
      <c r="L8294" s="9"/>
    </row>
    <row r="8295" s="105" customFormat="1" spans="9:12">
      <c r="I8295" s="225"/>
      <c r="K8295" s="9"/>
      <c r="L8295" s="9"/>
    </row>
    <row r="8296" s="105" customFormat="1" spans="9:12">
      <c r="I8296" s="225"/>
      <c r="K8296" s="9"/>
      <c r="L8296" s="9"/>
    </row>
    <row r="8297" s="105" customFormat="1" spans="9:12">
      <c r="I8297" s="225"/>
      <c r="K8297" s="9"/>
      <c r="L8297" s="9"/>
    </row>
    <row r="8298" s="105" customFormat="1" spans="9:12">
      <c r="I8298" s="225"/>
      <c r="K8298" s="9"/>
      <c r="L8298" s="9"/>
    </row>
    <row r="8299" s="105" customFormat="1" spans="9:12">
      <c r="I8299" s="225"/>
      <c r="K8299" s="9"/>
      <c r="L8299" s="9"/>
    </row>
    <row r="8300" s="105" customFormat="1" spans="9:12">
      <c r="I8300" s="225"/>
      <c r="K8300" s="9"/>
      <c r="L8300" s="9"/>
    </row>
    <row r="8301" s="105" customFormat="1" spans="9:12">
      <c r="I8301" s="225"/>
      <c r="K8301" s="9"/>
      <c r="L8301" s="9"/>
    </row>
    <row r="8302" s="105" customFormat="1" spans="9:12">
      <c r="I8302" s="225"/>
      <c r="K8302" s="9"/>
      <c r="L8302" s="9"/>
    </row>
    <row r="8303" s="105" customFormat="1" spans="9:12">
      <c r="I8303" s="225"/>
      <c r="K8303" s="9"/>
      <c r="L8303" s="9"/>
    </row>
    <row r="8304" s="105" customFormat="1" spans="9:12">
      <c r="I8304" s="225"/>
      <c r="K8304" s="9"/>
      <c r="L8304" s="9"/>
    </row>
    <row r="8305" s="105" customFormat="1" spans="9:12">
      <c r="I8305" s="225"/>
      <c r="K8305" s="9"/>
      <c r="L8305" s="9"/>
    </row>
    <row r="8306" s="105" customFormat="1" spans="9:12">
      <c r="I8306" s="225"/>
      <c r="K8306" s="9"/>
      <c r="L8306" s="9"/>
    </row>
    <row r="8307" s="105" customFormat="1" spans="9:12">
      <c r="I8307" s="225"/>
      <c r="K8307" s="9"/>
      <c r="L8307" s="9"/>
    </row>
    <row r="8308" s="105" customFormat="1" spans="9:12">
      <c r="I8308" s="225"/>
      <c r="K8308" s="9"/>
      <c r="L8308" s="9"/>
    </row>
    <row r="8309" s="105" customFormat="1" spans="9:12">
      <c r="I8309" s="225"/>
      <c r="K8309" s="9"/>
      <c r="L8309" s="9"/>
    </row>
    <row r="8310" s="105" customFormat="1" spans="9:12">
      <c r="I8310" s="225"/>
      <c r="K8310" s="9"/>
      <c r="L8310" s="9"/>
    </row>
    <row r="8311" s="105" customFormat="1" spans="9:12">
      <c r="I8311" s="225"/>
      <c r="K8311" s="9"/>
      <c r="L8311" s="9"/>
    </row>
    <row r="8312" s="105" customFormat="1" spans="9:12">
      <c r="I8312" s="225"/>
      <c r="K8312" s="9"/>
      <c r="L8312" s="9"/>
    </row>
    <row r="8313" s="105" customFormat="1" spans="9:12">
      <c r="I8313" s="225"/>
      <c r="K8313" s="9"/>
      <c r="L8313" s="9"/>
    </row>
    <row r="8314" s="105" customFormat="1" spans="9:12">
      <c r="I8314" s="225"/>
      <c r="K8314" s="9"/>
      <c r="L8314" s="9"/>
    </row>
    <row r="8315" s="105" customFormat="1" spans="9:12">
      <c r="I8315" s="225"/>
      <c r="K8315" s="9"/>
      <c r="L8315" s="9"/>
    </row>
    <row r="8316" s="105" customFormat="1" spans="9:12">
      <c r="I8316" s="225"/>
      <c r="K8316" s="9"/>
      <c r="L8316" s="9"/>
    </row>
    <row r="8317" s="105" customFormat="1" spans="9:12">
      <c r="I8317" s="225"/>
      <c r="K8317" s="9"/>
      <c r="L8317" s="9"/>
    </row>
    <row r="8318" s="105" customFormat="1" spans="9:12">
      <c r="I8318" s="225"/>
      <c r="K8318" s="9"/>
      <c r="L8318" s="9"/>
    </row>
    <row r="8319" s="105" customFormat="1" spans="9:12">
      <c r="I8319" s="225"/>
      <c r="K8319" s="9"/>
      <c r="L8319" s="9"/>
    </row>
    <row r="8320" s="105" customFormat="1" spans="9:12">
      <c r="I8320" s="225"/>
      <c r="K8320" s="9"/>
      <c r="L8320" s="9"/>
    </row>
    <row r="8321" s="105" customFormat="1" spans="9:12">
      <c r="I8321" s="225"/>
      <c r="K8321" s="9"/>
      <c r="L8321" s="9"/>
    </row>
    <row r="8322" s="105" customFormat="1" spans="9:12">
      <c r="I8322" s="225"/>
      <c r="K8322" s="9"/>
      <c r="L8322" s="9"/>
    </row>
    <row r="8323" s="105" customFormat="1" spans="9:12">
      <c r="I8323" s="225"/>
      <c r="K8323" s="9"/>
      <c r="L8323" s="9"/>
    </row>
    <row r="8324" s="105" customFormat="1" spans="9:12">
      <c r="I8324" s="225"/>
      <c r="K8324" s="9"/>
      <c r="L8324" s="9"/>
    </row>
    <row r="8325" s="105" customFormat="1" spans="9:12">
      <c r="I8325" s="225"/>
      <c r="K8325" s="9"/>
      <c r="L8325" s="9"/>
    </row>
    <row r="8326" s="105" customFormat="1" spans="9:12">
      <c r="I8326" s="225"/>
      <c r="K8326" s="9"/>
      <c r="L8326" s="9"/>
    </row>
    <row r="8327" s="105" customFormat="1" spans="9:12">
      <c r="I8327" s="225"/>
      <c r="K8327" s="9"/>
      <c r="L8327" s="9"/>
    </row>
    <row r="8328" s="105" customFormat="1" spans="9:12">
      <c r="I8328" s="225"/>
      <c r="K8328" s="9"/>
      <c r="L8328" s="9"/>
    </row>
    <row r="8329" s="105" customFormat="1" spans="9:12">
      <c r="I8329" s="225"/>
      <c r="K8329" s="9"/>
      <c r="L8329" s="9"/>
    </row>
    <row r="8330" s="105" customFormat="1" spans="9:12">
      <c r="I8330" s="225"/>
      <c r="K8330" s="9"/>
      <c r="L8330" s="9"/>
    </row>
    <row r="8331" s="105" customFormat="1" spans="9:12">
      <c r="I8331" s="225"/>
      <c r="K8331" s="9"/>
      <c r="L8331" s="9"/>
    </row>
    <row r="8332" s="105" customFormat="1" spans="9:12">
      <c r="I8332" s="225"/>
      <c r="K8332" s="9"/>
      <c r="L8332" s="9"/>
    </row>
    <row r="8333" s="105" customFormat="1" spans="9:12">
      <c r="I8333" s="225"/>
      <c r="K8333" s="9"/>
      <c r="L8333" s="9"/>
    </row>
    <row r="8334" s="105" customFormat="1" spans="9:12">
      <c r="I8334" s="225"/>
      <c r="K8334" s="9"/>
      <c r="L8334" s="9"/>
    </row>
    <row r="8335" s="105" customFormat="1" spans="9:12">
      <c r="I8335" s="225"/>
      <c r="K8335" s="9"/>
      <c r="L8335" s="9"/>
    </row>
    <row r="8336" s="105" customFormat="1" spans="9:12">
      <c r="I8336" s="225"/>
      <c r="K8336" s="9"/>
      <c r="L8336" s="9"/>
    </row>
    <row r="8337" s="105" customFormat="1" spans="9:12">
      <c r="I8337" s="225"/>
      <c r="K8337" s="9"/>
      <c r="L8337" s="9"/>
    </row>
    <row r="8338" s="105" customFormat="1" spans="9:12">
      <c r="I8338" s="225"/>
      <c r="K8338" s="9"/>
      <c r="L8338" s="9"/>
    </row>
    <row r="8339" s="105" customFormat="1" spans="9:12">
      <c r="I8339" s="225"/>
      <c r="K8339" s="9"/>
      <c r="L8339" s="9"/>
    </row>
    <row r="8340" s="105" customFormat="1" spans="9:12">
      <c r="I8340" s="225"/>
      <c r="K8340" s="9"/>
      <c r="L8340" s="9"/>
    </row>
    <row r="8341" s="105" customFormat="1" spans="9:12">
      <c r="I8341" s="225"/>
      <c r="K8341" s="9"/>
      <c r="L8341" s="9"/>
    </row>
    <row r="8342" s="105" customFormat="1" spans="9:12">
      <c r="I8342" s="225"/>
      <c r="K8342" s="9"/>
      <c r="L8342" s="9"/>
    </row>
    <row r="8343" s="105" customFormat="1" spans="9:12">
      <c r="I8343" s="225"/>
      <c r="K8343" s="9"/>
      <c r="L8343" s="9"/>
    </row>
    <row r="8344" s="105" customFormat="1" spans="9:12">
      <c r="I8344" s="225"/>
      <c r="K8344" s="9"/>
      <c r="L8344" s="9"/>
    </row>
    <row r="8345" s="105" customFormat="1" spans="9:12">
      <c r="I8345" s="225"/>
      <c r="K8345" s="9"/>
      <c r="L8345" s="9"/>
    </row>
    <row r="8346" s="105" customFormat="1" spans="9:12">
      <c r="I8346" s="225"/>
      <c r="K8346" s="9"/>
      <c r="L8346" s="9"/>
    </row>
    <row r="8347" s="105" customFormat="1" spans="9:12">
      <c r="I8347" s="225"/>
      <c r="K8347" s="9"/>
      <c r="L8347" s="9"/>
    </row>
    <row r="8348" s="105" customFormat="1" spans="9:12">
      <c r="I8348" s="225"/>
      <c r="K8348" s="9"/>
      <c r="L8348" s="9"/>
    </row>
    <row r="8349" s="105" customFormat="1" spans="9:12">
      <c r="I8349" s="225"/>
      <c r="K8349" s="9"/>
      <c r="L8349" s="9"/>
    </row>
    <row r="8350" s="105" customFormat="1" spans="9:12">
      <c r="I8350" s="225"/>
      <c r="K8350" s="9"/>
      <c r="L8350" s="9"/>
    </row>
    <row r="8351" s="105" customFormat="1" spans="9:12">
      <c r="I8351" s="225"/>
      <c r="K8351" s="9"/>
      <c r="L8351" s="9"/>
    </row>
    <row r="8352" s="105" customFormat="1" spans="9:12">
      <c r="I8352" s="225"/>
      <c r="K8352" s="9"/>
      <c r="L8352" s="9"/>
    </row>
    <row r="8353" s="105" customFormat="1" spans="9:12">
      <c r="I8353" s="225"/>
      <c r="K8353" s="9"/>
      <c r="L8353" s="9"/>
    </row>
    <row r="8354" s="105" customFormat="1" spans="9:12">
      <c r="I8354" s="225"/>
      <c r="K8354" s="9"/>
      <c r="L8354" s="9"/>
    </row>
    <row r="8355" s="105" customFormat="1" spans="9:12">
      <c r="I8355" s="225"/>
      <c r="K8355" s="9"/>
      <c r="L8355" s="9"/>
    </row>
    <row r="8356" s="105" customFormat="1" spans="9:12">
      <c r="I8356" s="225"/>
      <c r="K8356" s="9"/>
      <c r="L8356" s="9"/>
    </row>
    <row r="8357" s="105" customFormat="1" spans="9:12">
      <c r="I8357" s="225"/>
      <c r="K8357" s="9"/>
      <c r="L8357" s="9"/>
    </row>
    <row r="8358" s="105" customFormat="1" spans="9:12">
      <c r="I8358" s="225"/>
      <c r="K8358" s="9"/>
      <c r="L8358" s="9"/>
    </row>
    <row r="8359" s="105" customFormat="1" spans="9:12">
      <c r="I8359" s="225"/>
      <c r="K8359" s="9"/>
      <c r="L8359" s="9"/>
    </row>
    <row r="8360" s="105" customFormat="1" spans="9:12">
      <c r="I8360" s="225"/>
      <c r="K8360" s="9"/>
      <c r="L8360" s="9"/>
    </row>
    <row r="8361" s="105" customFormat="1" spans="9:12">
      <c r="I8361" s="225"/>
      <c r="K8361" s="9"/>
      <c r="L8361" s="9"/>
    </row>
    <row r="8362" s="105" customFormat="1" spans="9:12">
      <c r="I8362" s="225"/>
      <c r="K8362" s="9"/>
      <c r="L8362" s="9"/>
    </row>
    <row r="8363" s="105" customFormat="1" spans="9:12">
      <c r="I8363" s="225"/>
      <c r="K8363" s="9"/>
      <c r="L8363" s="9"/>
    </row>
    <row r="8364" s="105" customFormat="1" spans="9:12">
      <c r="I8364" s="225"/>
      <c r="K8364" s="9"/>
      <c r="L8364" s="9"/>
    </row>
    <row r="8365" s="105" customFormat="1" spans="9:12">
      <c r="I8365" s="225"/>
      <c r="K8365" s="9"/>
      <c r="L8365" s="9"/>
    </row>
    <row r="8366" s="105" customFormat="1" spans="9:12">
      <c r="I8366" s="225"/>
      <c r="K8366" s="9"/>
      <c r="L8366" s="9"/>
    </row>
    <row r="8367" s="105" customFormat="1" spans="9:12">
      <c r="I8367" s="225"/>
      <c r="K8367" s="9"/>
      <c r="L8367" s="9"/>
    </row>
    <row r="8368" s="105" customFormat="1" spans="9:12">
      <c r="I8368" s="225"/>
      <c r="K8368" s="9"/>
      <c r="L8368" s="9"/>
    </row>
    <row r="8369" s="105" customFormat="1" spans="9:12">
      <c r="I8369" s="225"/>
      <c r="K8369" s="9"/>
      <c r="L8369" s="9"/>
    </row>
    <row r="8370" s="105" customFormat="1" spans="9:12">
      <c r="I8370" s="225"/>
      <c r="K8370" s="9"/>
      <c r="L8370" s="9"/>
    </row>
    <row r="8371" s="105" customFormat="1" spans="9:12">
      <c r="I8371" s="225"/>
      <c r="K8371" s="9"/>
      <c r="L8371" s="9"/>
    </row>
    <row r="8372" s="105" customFormat="1" spans="9:12">
      <c r="I8372" s="225"/>
      <c r="K8372" s="9"/>
      <c r="L8372" s="9"/>
    </row>
    <row r="8373" s="105" customFormat="1" spans="9:12">
      <c r="I8373" s="225"/>
      <c r="K8373" s="9"/>
      <c r="L8373" s="9"/>
    </row>
    <row r="8374" s="105" customFormat="1" spans="9:12">
      <c r="I8374" s="225"/>
      <c r="K8374" s="9"/>
      <c r="L8374" s="9"/>
    </row>
    <row r="8375" s="105" customFormat="1" spans="9:12">
      <c r="I8375" s="225"/>
      <c r="K8375" s="9"/>
      <c r="L8375" s="9"/>
    </row>
    <row r="8376" s="105" customFormat="1" spans="9:12">
      <c r="I8376" s="225"/>
      <c r="K8376" s="9"/>
      <c r="L8376" s="9"/>
    </row>
    <row r="8377" s="105" customFormat="1" spans="9:12">
      <c r="I8377" s="225"/>
      <c r="K8377" s="9"/>
      <c r="L8377" s="9"/>
    </row>
    <row r="8378" s="105" customFormat="1" spans="9:12">
      <c r="I8378" s="225"/>
      <c r="K8378" s="9"/>
      <c r="L8378" s="9"/>
    </row>
    <row r="8379" s="105" customFormat="1" spans="9:12">
      <c r="I8379" s="225"/>
      <c r="K8379" s="9"/>
      <c r="L8379" s="9"/>
    </row>
    <row r="8380" s="105" customFormat="1" spans="9:12">
      <c r="I8380" s="225"/>
      <c r="K8380" s="9"/>
      <c r="L8380" s="9"/>
    </row>
    <row r="8381" s="105" customFormat="1" spans="9:12">
      <c r="I8381" s="225"/>
      <c r="K8381" s="9"/>
      <c r="L8381" s="9"/>
    </row>
    <row r="8382" s="105" customFormat="1" spans="9:12">
      <c r="I8382" s="225"/>
      <c r="K8382" s="9"/>
      <c r="L8382" s="9"/>
    </row>
    <row r="8383" s="105" customFormat="1" spans="9:12">
      <c r="I8383" s="225"/>
      <c r="K8383" s="9"/>
      <c r="L8383" s="9"/>
    </row>
    <row r="8384" s="105" customFormat="1" spans="9:12">
      <c r="I8384" s="225"/>
      <c r="K8384" s="9"/>
      <c r="L8384" s="9"/>
    </row>
    <row r="8385" s="105" customFormat="1" spans="9:12">
      <c r="I8385" s="225"/>
      <c r="K8385" s="9"/>
      <c r="L8385" s="9"/>
    </row>
    <row r="8386" s="105" customFormat="1" spans="9:12">
      <c r="I8386" s="225"/>
      <c r="K8386" s="9"/>
      <c r="L8386" s="9"/>
    </row>
    <row r="8387" s="105" customFormat="1" spans="9:12">
      <c r="I8387" s="225"/>
      <c r="K8387" s="9"/>
      <c r="L8387" s="9"/>
    </row>
    <row r="8388" s="105" customFormat="1" spans="9:12">
      <c r="I8388" s="225"/>
      <c r="K8388" s="9"/>
      <c r="L8388" s="9"/>
    </row>
    <row r="8389" s="105" customFormat="1" spans="9:12">
      <c r="I8389" s="225"/>
      <c r="K8389" s="9"/>
      <c r="L8389" s="9"/>
    </row>
    <row r="8390" s="105" customFormat="1" spans="9:12">
      <c r="I8390" s="225"/>
      <c r="K8390" s="9"/>
      <c r="L8390" s="9"/>
    </row>
    <row r="8391" s="105" customFormat="1" spans="9:12">
      <c r="I8391" s="225"/>
      <c r="K8391" s="9"/>
      <c r="L8391" s="9"/>
    </row>
    <row r="8392" s="105" customFormat="1" spans="9:12">
      <c r="I8392" s="225"/>
      <c r="K8392" s="9"/>
      <c r="L8392" s="9"/>
    </row>
    <row r="8393" s="105" customFormat="1" spans="9:12">
      <c r="I8393" s="225"/>
      <c r="K8393" s="9"/>
      <c r="L8393" s="9"/>
    </row>
    <row r="8394" s="105" customFormat="1" spans="9:12">
      <c r="I8394" s="225"/>
      <c r="K8394" s="9"/>
      <c r="L8394" s="9"/>
    </row>
    <row r="8395" s="105" customFormat="1" spans="9:12">
      <c r="I8395" s="225"/>
      <c r="K8395" s="9"/>
      <c r="L8395" s="9"/>
    </row>
    <row r="8396" s="105" customFormat="1" spans="9:12">
      <c r="I8396" s="225"/>
      <c r="K8396" s="9"/>
      <c r="L8396" s="9"/>
    </row>
    <row r="8397" s="105" customFormat="1" spans="9:12">
      <c r="I8397" s="225"/>
      <c r="K8397" s="9"/>
      <c r="L8397" s="9"/>
    </row>
    <row r="8398" s="105" customFormat="1" spans="9:12">
      <c r="I8398" s="225"/>
      <c r="K8398" s="9"/>
      <c r="L8398" s="9"/>
    </row>
    <row r="8399" s="105" customFormat="1" spans="9:12">
      <c r="I8399" s="225"/>
      <c r="K8399" s="9"/>
      <c r="L8399" s="9"/>
    </row>
    <row r="8400" s="105" customFormat="1" spans="9:12">
      <c r="I8400" s="225"/>
      <c r="K8400" s="9"/>
      <c r="L8400" s="9"/>
    </row>
    <row r="8401" s="105" customFormat="1" spans="9:12">
      <c r="I8401" s="225"/>
      <c r="K8401" s="9"/>
      <c r="L8401" s="9"/>
    </row>
    <row r="8402" s="105" customFormat="1" spans="9:12">
      <c r="I8402" s="225"/>
      <c r="K8402" s="9"/>
      <c r="L8402" s="9"/>
    </row>
    <row r="8403" s="105" customFormat="1" spans="9:12">
      <c r="I8403" s="225"/>
      <c r="K8403" s="9"/>
      <c r="L8403" s="9"/>
    </row>
    <row r="8404" s="105" customFormat="1" spans="9:12">
      <c r="I8404" s="225"/>
      <c r="K8404" s="9"/>
      <c r="L8404" s="9"/>
    </row>
    <row r="8405" s="105" customFormat="1" spans="9:12">
      <c r="I8405" s="225"/>
      <c r="K8405" s="9"/>
      <c r="L8405" s="9"/>
    </row>
    <row r="8406" s="105" customFormat="1" spans="9:12">
      <c r="I8406" s="225"/>
      <c r="K8406" s="9"/>
      <c r="L8406" s="9"/>
    </row>
    <row r="8407" s="105" customFormat="1" spans="9:12">
      <c r="I8407" s="225"/>
      <c r="K8407" s="9"/>
      <c r="L8407" s="9"/>
    </row>
    <row r="8408" s="105" customFormat="1" spans="9:12">
      <c r="I8408" s="225"/>
      <c r="K8408" s="9"/>
      <c r="L8408" s="9"/>
    </row>
    <row r="8409" s="105" customFormat="1" spans="9:12">
      <c r="I8409" s="225"/>
      <c r="K8409" s="9"/>
      <c r="L8409" s="9"/>
    </row>
    <row r="8410" s="105" customFormat="1" spans="9:12">
      <c r="I8410" s="225"/>
      <c r="K8410" s="9"/>
      <c r="L8410" s="9"/>
    </row>
    <row r="8411" s="105" customFormat="1" spans="9:12">
      <c r="I8411" s="225"/>
      <c r="K8411" s="9"/>
      <c r="L8411" s="9"/>
    </row>
    <row r="8412" s="105" customFormat="1" spans="9:12">
      <c r="I8412" s="225"/>
      <c r="K8412" s="9"/>
      <c r="L8412" s="9"/>
    </row>
    <row r="8413" s="105" customFormat="1" spans="9:12">
      <c r="I8413" s="225"/>
      <c r="K8413" s="9"/>
      <c r="L8413" s="9"/>
    </row>
    <row r="8414" s="105" customFormat="1" spans="9:12">
      <c r="I8414" s="225"/>
      <c r="K8414" s="9"/>
      <c r="L8414" s="9"/>
    </row>
    <row r="8415" s="105" customFormat="1" spans="9:12">
      <c r="I8415" s="225"/>
      <c r="K8415" s="9"/>
      <c r="L8415" s="9"/>
    </row>
    <row r="8416" s="105" customFormat="1" spans="9:12">
      <c r="I8416" s="225"/>
      <c r="K8416" s="9"/>
      <c r="L8416" s="9"/>
    </row>
    <row r="8417" s="105" customFormat="1" spans="9:12">
      <c r="I8417" s="225"/>
      <c r="K8417" s="9"/>
      <c r="L8417" s="9"/>
    </row>
    <row r="8418" s="105" customFormat="1" spans="9:12">
      <c r="I8418" s="225"/>
      <c r="K8418" s="9"/>
      <c r="L8418" s="9"/>
    </row>
    <row r="8419" s="105" customFormat="1" spans="9:12">
      <c r="I8419" s="225"/>
      <c r="K8419" s="9"/>
      <c r="L8419" s="9"/>
    </row>
    <row r="8420" s="105" customFormat="1" spans="9:12">
      <c r="I8420" s="225"/>
      <c r="K8420" s="9"/>
      <c r="L8420" s="9"/>
    </row>
    <row r="8421" s="105" customFormat="1" spans="9:12">
      <c r="I8421" s="225"/>
      <c r="K8421" s="9"/>
      <c r="L8421" s="9"/>
    </row>
    <row r="8422" s="105" customFormat="1" spans="9:12">
      <c r="I8422" s="225"/>
      <c r="K8422" s="9"/>
      <c r="L8422" s="9"/>
    </row>
    <row r="8423" s="105" customFormat="1" spans="9:12">
      <c r="I8423" s="225"/>
      <c r="K8423" s="9"/>
      <c r="L8423" s="9"/>
    </row>
    <row r="8424" s="105" customFormat="1" spans="9:12">
      <c r="I8424" s="225"/>
      <c r="K8424" s="9"/>
      <c r="L8424" s="9"/>
    </row>
    <row r="8425" s="105" customFormat="1" spans="9:12">
      <c r="I8425" s="225"/>
      <c r="K8425" s="9"/>
      <c r="L8425" s="9"/>
    </row>
    <row r="8426" s="105" customFormat="1" spans="9:12">
      <c r="I8426" s="225"/>
      <c r="K8426" s="9"/>
      <c r="L8426" s="9"/>
    </row>
    <row r="8427" s="105" customFormat="1" spans="9:12">
      <c r="I8427" s="225"/>
      <c r="K8427" s="9"/>
      <c r="L8427" s="9"/>
    </row>
    <row r="8428" s="105" customFormat="1" spans="9:12">
      <c r="I8428" s="225"/>
      <c r="K8428" s="9"/>
      <c r="L8428" s="9"/>
    </row>
    <row r="8429" s="105" customFormat="1" spans="9:12">
      <c r="I8429" s="225"/>
      <c r="K8429" s="9"/>
      <c r="L8429" s="9"/>
    </row>
    <row r="8430" s="105" customFormat="1" spans="9:12">
      <c r="I8430" s="225"/>
      <c r="K8430" s="9"/>
      <c r="L8430" s="9"/>
    </row>
    <row r="8431" s="105" customFormat="1" spans="9:12">
      <c r="I8431" s="225"/>
      <c r="K8431" s="9"/>
      <c r="L8431" s="9"/>
    </row>
    <row r="8432" s="105" customFormat="1" spans="9:12">
      <c r="I8432" s="225"/>
      <c r="K8432" s="9"/>
      <c r="L8432" s="9"/>
    </row>
    <row r="8433" s="105" customFormat="1" spans="9:12">
      <c r="I8433" s="225"/>
      <c r="K8433" s="9"/>
      <c r="L8433" s="9"/>
    </row>
    <row r="8434" s="105" customFormat="1" spans="9:12">
      <c r="I8434" s="225"/>
      <c r="K8434" s="9"/>
      <c r="L8434" s="9"/>
    </row>
    <row r="8435" s="105" customFormat="1" spans="9:12">
      <c r="I8435" s="225"/>
      <c r="K8435" s="9"/>
      <c r="L8435" s="9"/>
    </row>
    <row r="8436" s="105" customFormat="1" spans="9:12">
      <c r="I8436" s="225"/>
      <c r="K8436" s="9"/>
      <c r="L8436" s="9"/>
    </row>
    <row r="8437" s="105" customFormat="1" spans="9:12">
      <c r="I8437" s="225"/>
      <c r="K8437" s="9"/>
      <c r="L8437" s="9"/>
    </row>
    <row r="8438" s="105" customFormat="1" spans="9:12">
      <c r="I8438" s="225"/>
      <c r="K8438" s="9"/>
      <c r="L8438" s="9"/>
    </row>
    <row r="8439" s="105" customFormat="1" spans="9:12">
      <c r="I8439" s="225"/>
      <c r="K8439" s="9"/>
      <c r="L8439" s="9"/>
    </row>
    <row r="8440" s="105" customFormat="1" spans="9:12">
      <c r="I8440" s="225"/>
      <c r="K8440" s="9"/>
      <c r="L8440" s="9"/>
    </row>
    <row r="8441" s="105" customFormat="1" spans="9:12">
      <c r="I8441" s="225"/>
      <c r="K8441" s="9"/>
      <c r="L8441" s="9"/>
    </row>
    <row r="8442" s="105" customFormat="1" spans="9:12">
      <c r="I8442" s="225"/>
      <c r="K8442" s="9"/>
      <c r="L8442" s="9"/>
    </row>
    <row r="8443" s="105" customFormat="1" spans="9:12">
      <c r="I8443" s="225"/>
      <c r="K8443" s="9"/>
      <c r="L8443" s="9"/>
    </row>
    <row r="8444" s="105" customFormat="1" spans="9:12">
      <c r="I8444" s="225"/>
      <c r="K8444" s="9"/>
      <c r="L8444" s="9"/>
    </row>
    <row r="8445" s="105" customFormat="1" spans="9:12">
      <c r="I8445" s="225"/>
      <c r="K8445" s="9"/>
      <c r="L8445" s="9"/>
    </row>
    <row r="8446" s="105" customFormat="1" spans="9:12">
      <c r="I8446" s="225"/>
      <c r="K8446" s="9"/>
      <c r="L8446" s="9"/>
    </row>
    <row r="8447" s="105" customFormat="1" spans="9:12">
      <c r="I8447" s="225"/>
      <c r="K8447" s="9"/>
      <c r="L8447" s="9"/>
    </row>
    <row r="8448" s="105" customFormat="1" spans="9:12">
      <c r="I8448" s="225"/>
      <c r="K8448" s="9"/>
      <c r="L8448" s="9"/>
    </row>
    <row r="8449" s="105" customFormat="1" spans="9:12">
      <c r="I8449" s="225"/>
      <c r="K8449" s="9"/>
      <c r="L8449" s="9"/>
    </row>
    <row r="8450" s="105" customFormat="1" spans="9:12">
      <c r="I8450" s="225"/>
      <c r="K8450" s="9"/>
      <c r="L8450" s="9"/>
    </row>
    <row r="8451" s="105" customFormat="1" spans="9:12">
      <c r="I8451" s="225"/>
      <c r="K8451" s="9"/>
      <c r="L8451" s="9"/>
    </row>
    <row r="8452" s="105" customFormat="1" spans="9:12">
      <c r="I8452" s="225"/>
      <c r="K8452" s="9"/>
      <c r="L8452" s="9"/>
    </row>
    <row r="8453" s="105" customFormat="1" spans="9:12">
      <c r="I8453" s="225"/>
      <c r="K8453" s="9"/>
      <c r="L8453" s="9"/>
    </row>
    <row r="8454" s="105" customFormat="1" spans="9:12">
      <c r="I8454" s="225"/>
      <c r="K8454" s="9"/>
      <c r="L8454" s="9"/>
    </row>
    <row r="8455" s="105" customFormat="1" spans="9:12">
      <c r="I8455" s="225"/>
      <c r="K8455" s="9"/>
      <c r="L8455" s="9"/>
    </row>
    <row r="8456" s="105" customFormat="1" spans="9:12">
      <c r="I8456" s="225"/>
      <c r="K8456" s="9"/>
      <c r="L8456" s="9"/>
    </row>
    <row r="8457" s="105" customFormat="1" spans="9:12">
      <c r="I8457" s="225"/>
      <c r="K8457" s="9"/>
      <c r="L8457" s="9"/>
    </row>
    <row r="8458" s="105" customFormat="1" spans="9:12">
      <c r="I8458" s="225"/>
      <c r="K8458" s="9"/>
      <c r="L8458" s="9"/>
    </row>
    <row r="8459" s="105" customFormat="1" spans="9:12">
      <c r="I8459" s="225"/>
      <c r="K8459" s="9"/>
      <c r="L8459" s="9"/>
    </row>
    <row r="8460" s="105" customFormat="1" spans="9:12">
      <c r="I8460" s="225"/>
      <c r="K8460" s="9"/>
      <c r="L8460" s="9"/>
    </row>
    <row r="8461" s="105" customFormat="1" spans="9:12">
      <c r="I8461" s="225"/>
      <c r="K8461" s="9"/>
      <c r="L8461" s="9"/>
    </row>
    <row r="8462" s="105" customFormat="1" spans="9:12">
      <c r="I8462" s="225"/>
      <c r="K8462" s="9"/>
      <c r="L8462" s="9"/>
    </row>
    <row r="8463" s="105" customFormat="1" spans="9:12">
      <c r="I8463" s="225"/>
      <c r="K8463" s="9"/>
      <c r="L8463" s="9"/>
    </row>
    <row r="8464" s="105" customFormat="1" spans="9:12">
      <c r="I8464" s="225"/>
      <c r="K8464" s="9"/>
      <c r="L8464" s="9"/>
    </row>
    <row r="8465" s="105" customFormat="1" spans="9:12">
      <c r="I8465" s="225"/>
      <c r="K8465" s="9"/>
      <c r="L8465" s="9"/>
    </row>
    <row r="8466" s="105" customFormat="1" spans="9:12">
      <c r="I8466" s="225"/>
      <c r="K8466" s="9"/>
      <c r="L8466" s="9"/>
    </row>
    <row r="8467" s="105" customFormat="1" spans="9:12">
      <c r="I8467" s="225"/>
      <c r="K8467" s="9"/>
      <c r="L8467" s="9"/>
    </row>
    <row r="8468" s="105" customFormat="1" spans="9:12">
      <c r="I8468" s="225"/>
      <c r="K8468" s="9"/>
      <c r="L8468" s="9"/>
    </row>
    <row r="8469" s="105" customFormat="1" spans="9:12">
      <c r="I8469" s="225"/>
      <c r="K8469" s="9"/>
      <c r="L8469" s="9"/>
    </row>
    <row r="8470" s="105" customFormat="1" spans="9:12">
      <c r="I8470" s="225"/>
      <c r="K8470" s="9"/>
      <c r="L8470" s="9"/>
    </row>
    <row r="8471" s="105" customFormat="1" spans="9:12">
      <c r="I8471" s="225"/>
      <c r="K8471" s="9"/>
      <c r="L8471" s="9"/>
    </row>
    <row r="8472" s="105" customFormat="1" spans="9:12">
      <c r="I8472" s="225"/>
      <c r="K8472" s="9"/>
      <c r="L8472" s="9"/>
    </row>
    <row r="8473" s="105" customFormat="1" spans="9:12">
      <c r="I8473" s="225"/>
      <c r="K8473" s="9"/>
      <c r="L8473" s="9"/>
    </row>
    <row r="8474" s="105" customFormat="1" spans="9:12">
      <c r="I8474" s="225"/>
      <c r="K8474" s="9"/>
      <c r="L8474" s="9"/>
    </row>
    <row r="8475" s="105" customFormat="1" spans="9:12">
      <c r="I8475" s="225"/>
      <c r="K8475" s="9"/>
      <c r="L8475" s="9"/>
    </row>
    <row r="8476" s="105" customFormat="1" spans="9:12">
      <c r="I8476" s="225"/>
      <c r="K8476" s="9"/>
      <c r="L8476" s="9"/>
    </row>
    <row r="8477" s="105" customFormat="1" spans="9:12">
      <c r="I8477" s="225"/>
      <c r="K8477" s="9"/>
      <c r="L8477" s="9"/>
    </row>
    <row r="8478" s="105" customFormat="1" spans="9:12">
      <c r="I8478" s="225"/>
      <c r="K8478" s="9"/>
      <c r="L8478" s="9"/>
    </row>
    <row r="8479" s="105" customFormat="1" spans="9:12">
      <c r="I8479" s="225"/>
      <c r="K8479" s="9"/>
      <c r="L8479" s="9"/>
    </row>
    <row r="8480" s="105" customFormat="1" spans="9:12">
      <c r="I8480" s="225"/>
      <c r="K8480" s="9"/>
      <c r="L8480" s="9"/>
    </row>
    <row r="8481" s="105" customFormat="1" spans="9:12">
      <c r="I8481" s="225"/>
      <c r="K8481" s="9"/>
      <c r="L8481" s="9"/>
    </row>
    <row r="8482" s="105" customFormat="1" spans="9:12">
      <c r="I8482" s="225"/>
      <c r="K8482" s="9"/>
      <c r="L8482" s="9"/>
    </row>
    <row r="8483" s="105" customFormat="1" spans="9:12">
      <c r="I8483" s="225"/>
      <c r="K8483" s="9"/>
      <c r="L8483" s="9"/>
    </row>
    <row r="8484" s="105" customFormat="1" spans="9:12">
      <c r="I8484" s="225"/>
      <c r="K8484" s="9"/>
      <c r="L8484" s="9"/>
    </row>
    <row r="8485" s="105" customFormat="1" spans="9:12">
      <c r="I8485" s="225"/>
      <c r="K8485" s="9"/>
      <c r="L8485" s="9"/>
    </row>
    <row r="8486" s="105" customFormat="1" spans="9:12">
      <c r="I8486" s="225"/>
      <c r="K8486" s="9"/>
      <c r="L8486" s="9"/>
    </row>
    <row r="8487" s="105" customFormat="1" spans="9:12">
      <c r="I8487" s="225"/>
      <c r="K8487" s="9"/>
      <c r="L8487" s="9"/>
    </row>
    <row r="8488" s="105" customFormat="1" spans="9:12">
      <c r="I8488" s="225"/>
      <c r="K8488" s="9"/>
      <c r="L8488" s="9"/>
    </row>
    <row r="8489" s="105" customFormat="1" spans="9:12">
      <c r="I8489" s="225"/>
      <c r="K8489" s="9"/>
      <c r="L8489" s="9"/>
    </row>
    <row r="8490" s="105" customFormat="1" spans="9:12">
      <c r="I8490" s="225"/>
      <c r="K8490" s="9"/>
      <c r="L8490" s="9"/>
    </row>
    <row r="8491" s="105" customFormat="1" spans="9:12">
      <c r="I8491" s="225"/>
      <c r="K8491" s="9"/>
      <c r="L8491" s="9"/>
    </row>
    <row r="8492" s="105" customFormat="1" spans="9:12">
      <c r="I8492" s="225"/>
      <c r="K8492" s="9"/>
      <c r="L8492" s="9"/>
    </row>
    <row r="8493" s="105" customFormat="1" spans="9:12">
      <c r="I8493" s="225"/>
      <c r="K8493" s="9"/>
      <c r="L8493" s="9"/>
    </row>
    <row r="8494" s="105" customFormat="1" spans="9:12">
      <c r="I8494" s="225"/>
      <c r="K8494" s="9"/>
      <c r="L8494" s="9"/>
    </row>
    <row r="8495" s="105" customFormat="1" spans="9:12">
      <c r="I8495" s="225"/>
      <c r="K8495" s="9"/>
      <c r="L8495" s="9"/>
    </row>
    <row r="8496" s="105" customFormat="1" spans="9:12">
      <c r="I8496" s="225"/>
      <c r="K8496" s="9"/>
      <c r="L8496" s="9"/>
    </row>
    <row r="8497" s="105" customFormat="1" spans="9:12">
      <c r="I8497" s="225"/>
      <c r="K8497" s="9"/>
      <c r="L8497" s="9"/>
    </row>
    <row r="8498" s="105" customFormat="1" spans="9:12">
      <c r="I8498" s="225"/>
      <c r="K8498" s="9"/>
      <c r="L8498" s="9"/>
    </row>
    <row r="8499" s="105" customFormat="1" spans="9:12">
      <c r="I8499" s="225"/>
      <c r="K8499" s="9"/>
      <c r="L8499" s="9"/>
    </row>
    <row r="8500" s="105" customFormat="1" spans="9:12">
      <c r="I8500" s="225"/>
      <c r="K8500" s="9"/>
      <c r="L8500" s="9"/>
    </row>
    <row r="8501" s="105" customFormat="1" spans="9:12">
      <c r="I8501" s="225"/>
      <c r="K8501" s="9"/>
      <c r="L8501" s="9"/>
    </row>
    <row r="8502" s="105" customFormat="1" spans="9:12">
      <c r="I8502" s="225"/>
      <c r="K8502" s="9"/>
      <c r="L8502" s="9"/>
    </row>
    <row r="8503" s="105" customFormat="1" spans="9:12">
      <c r="I8503" s="225"/>
      <c r="K8503" s="9"/>
      <c r="L8503" s="9"/>
    </row>
    <row r="8504" s="105" customFormat="1" spans="9:12">
      <c r="I8504" s="225"/>
      <c r="K8504" s="9"/>
      <c r="L8504" s="9"/>
    </row>
    <row r="8505" s="105" customFormat="1" spans="9:12">
      <c r="I8505" s="225"/>
      <c r="K8505" s="9"/>
      <c r="L8505" s="9"/>
    </row>
    <row r="8506" s="105" customFormat="1" spans="9:12">
      <c r="I8506" s="225"/>
      <c r="K8506" s="9"/>
      <c r="L8506" s="9"/>
    </row>
    <row r="8507" s="105" customFormat="1" spans="9:12">
      <c r="I8507" s="225"/>
      <c r="K8507" s="9"/>
      <c r="L8507" s="9"/>
    </row>
    <row r="8508" s="105" customFormat="1" spans="9:12">
      <c r="I8508" s="225"/>
      <c r="K8508" s="9"/>
      <c r="L8508" s="9"/>
    </row>
    <row r="8509" s="105" customFormat="1" spans="9:12">
      <c r="I8509" s="225"/>
      <c r="K8509" s="9"/>
      <c r="L8509" s="9"/>
    </row>
    <row r="8510" s="105" customFormat="1" spans="9:12">
      <c r="I8510" s="225"/>
      <c r="K8510" s="9"/>
      <c r="L8510" s="9"/>
    </row>
    <row r="8511" s="105" customFormat="1" spans="9:12">
      <c r="I8511" s="225"/>
      <c r="K8511" s="9"/>
      <c r="L8511" s="9"/>
    </row>
    <row r="8512" s="105" customFormat="1" spans="9:12">
      <c r="I8512" s="225"/>
      <c r="K8512" s="9"/>
      <c r="L8512" s="9"/>
    </row>
    <row r="8513" s="105" customFormat="1" spans="9:12">
      <c r="I8513" s="225"/>
      <c r="K8513" s="9"/>
      <c r="L8513" s="9"/>
    </row>
    <row r="8514" s="105" customFormat="1" spans="9:12">
      <c r="I8514" s="225"/>
      <c r="K8514" s="9"/>
      <c r="L8514" s="9"/>
    </row>
    <row r="8515" s="105" customFormat="1" spans="9:12">
      <c r="I8515" s="225"/>
      <c r="K8515" s="9"/>
      <c r="L8515" s="9"/>
    </row>
    <row r="8516" s="105" customFormat="1" spans="9:12">
      <c r="I8516" s="225"/>
      <c r="K8516" s="9"/>
      <c r="L8516" s="9"/>
    </row>
    <row r="8517" s="105" customFormat="1" spans="9:12">
      <c r="I8517" s="225"/>
      <c r="K8517" s="9"/>
      <c r="L8517" s="9"/>
    </row>
    <row r="8518" s="105" customFormat="1" spans="9:12">
      <c r="I8518" s="225"/>
      <c r="K8518" s="9"/>
      <c r="L8518" s="9"/>
    </row>
    <row r="8519" s="105" customFormat="1" spans="9:12">
      <c r="I8519" s="225"/>
      <c r="K8519" s="9"/>
      <c r="L8519" s="9"/>
    </row>
    <row r="8520" s="105" customFormat="1" spans="9:12">
      <c r="I8520" s="225"/>
      <c r="K8520" s="9"/>
      <c r="L8520" s="9"/>
    </row>
    <row r="8521" s="105" customFormat="1" spans="9:12">
      <c r="I8521" s="225"/>
      <c r="K8521" s="9"/>
      <c r="L8521" s="9"/>
    </row>
    <row r="8522" s="105" customFormat="1" spans="9:12">
      <c r="I8522" s="225"/>
      <c r="K8522" s="9"/>
      <c r="L8522" s="9"/>
    </row>
    <row r="8523" s="105" customFormat="1" spans="9:12">
      <c r="I8523" s="225"/>
      <c r="K8523" s="9"/>
      <c r="L8523" s="9"/>
    </row>
    <row r="8524" s="105" customFormat="1" spans="9:12">
      <c r="I8524" s="225"/>
      <c r="K8524" s="9"/>
      <c r="L8524" s="9"/>
    </row>
    <row r="8525" s="105" customFormat="1" spans="9:12">
      <c r="I8525" s="225"/>
      <c r="K8525" s="9"/>
      <c r="L8525" s="9"/>
    </row>
    <row r="8526" s="105" customFormat="1" spans="9:12">
      <c r="I8526" s="225"/>
      <c r="K8526" s="9"/>
      <c r="L8526" s="9"/>
    </row>
    <row r="8527" s="105" customFormat="1" spans="9:12">
      <c r="I8527" s="225"/>
      <c r="K8527" s="9"/>
      <c r="L8527" s="9"/>
    </row>
    <row r="8528" s="105" customFormat="1" spans="9:12">
      <c r="I8528" s="225"/>
      <c r="K8528" s="9"/>
      <c r="L8528" s="9"/>
    </row>
    <row r="8529" s="105" customFormat="1" spans="9:12">
      <c r="I8529" s="225"/>
      <c r="K8529" s="9"/>
      <c r="L8529" s="9"/>
    </row>
    <row r="8530" s="105" customFormat="1" spans="9:12">
      <c r="I8530" s="225"/>
      <c r="K8530" s="9"/>
      <c r="L8530" s="9"/>
    </row>
    <row r="8531" s="105" customFormat="1" spans="9:12">
      <c r="I8531" s="225"/>
      <c r="K8531" s="9"/>
      <c r="L8531" s="9"/>
    </row>
    <row r="8532" s="105" customFormat="1" spans="9:12">
      <c r="I8532" s="225"/>
      <c r="K8532" s="9"/>
      <c r="L8532" s="9"/>
    </row>
    <row r="8533" s="105" customFormat="1" spans="9:12">
      <c r="I8533" s="225"/>
      <c r="K8533" s="9"/>
      <c r="L8533" s="9"/>
    </row>
    <row r="8534" s="105" customFormat="1" spans="9:12">
      <c r="I8534" s="225"/>
      <c r="K8534" s="9"/>
      <c r="L8534" s="9"/>
    </row>
    <row r="8535" s="105" customFormat="1" spans="9:12">
      <c r="I8535" s="225"/>
      <c r="K8535" s="9"/>
      <c r="L8535" s="9"/>
    </row>
    <row r="8536" s="105" customFormat="1" spans="9:12">
      <c r="I8536" s="225"/>
      <c r="K8536" s="9"/>
      <c r="L8536" s="9"/>
    </row>
    <row r="8537" s="105" customFormat="1" spans="9:12">
      <c r="I8537" s="225"/>
      <c r="K8537" s="9"/>
      <c r="L8537" s="9"/>
    </row>
    <row r="8538" s="105" customFormat="1" spans="9:12">
      <c r="I8538" s="225"/>
      <c r="K8538" s="9"/>
      <c r="L8538" s="9"/>
    </row>
    <row r="8539" s="105" customFormat="1" spans="9:12">
      <c r="I8539" s="225"/>
      <c r="K8539" s="9"/>
      <c r="L8539" s="9"/>
    </row>
    <row r="8540" s="105" customFormat="1" spans="9:12">
      <c r="I8540" s="225"/>
      <c r="K8540" s="9"/>
      <c r="L8540" s="9"/>
    </row>
    <row r="8541" s="105" customFormat="1" spans="9:12">
      <c r="I8541" s="225"/>
      <c r="K8541" s="9"/>
      <c r="L8541" s="9"/>
    </row>
    <row r="8542" s="105" customFormat="1" spans="9:12">
      <c r="I8542" s="225"/>
      <c r="K8542" s="9"/>
      <c r="L8542" s="9"/>
    </row>
    <row r="8543" s="105" customFormat="1" spans="9:12">
      <c r="I8543" s="225"/>
      <c r="K8543" s="9"/>
      <c r="L8543" s="9"/>
    </row>
    <row r="8544" s="105" customFormat="1" spans="9:12">
      <c r="I8544" s="225"/>
      <c r="K8544" s="9"/>
      <c r="L8544" s="9"/>
    </row>
    <row r="8545" s="105" customFormat="1" spans="9:12">
      <c r="I8545" s="225"/>
      <c r="K8545" s="9"/>
      <c r="L8545" s="9"/>
    </row>
    <row r="8546" s="105" customFormat="1" spans="9:12">
      <c r="I8546" s="225"/>
      <c r="K8546" s="9"/>
      <c r="L8546" s="9"/>
    </row>
    <row r="8547" s="105" customFormat="1" spans="9:12">
      <c r="I8547" s="225"/>
      <c r="K8547" s="9"/>
      <c r="L8547" s="9"/>
    </row>
    <row r="8548" s="105" customFormat="1" spans="9:12">
      <c r="I8548" s="225"/>
      <c r="K8548" s="9"/>
      <c r="L8548" s="9"/>
    </row>
    <row r="8549" s="105" customFormat="1" spans="9:12">
      <c r="I8549" s="225"/>
      <c r="K8549" s="9"/>
      <c r="L8549" s="9"/>
    </row>
    <row r="8550" s="105" customFormat="1" spans="9:12">
      <c r="I8550" s="225"/>
      <c r="K8550" s="9"/>
      <c r="L8550" s="9"/>
    </row>
    <row r="8551" s="105" customFormat="1" spans="9:12">
      <c r="I8551" s="225"/>
      <c r="K8551" s="9"/>
      <c r="L8551" s="9"/>
    </row>
    <row r="8552" s="105" customFormat="1" spans="9:12">
      <c r="I8552" s="225"/>
      <c r="K8552" s="9"/>
      <c r="L8552" s="9"/>
    </row>
    <row r="8553" s="105" customFormat="1" spans="9:12">
      <c r="I8553" s="225"/>
      <c r="K8553" s="9"/>
      <c r="L8553" s="9"/>
    </row>
    <row r="8554" s="105" customFormat="1" spans="9:12">
      <c r="I8554" s="225"/>
      <c r="K8554" s="9"/>
      <c r="L8554" s="9"/>
    </row>
    <row r="8555" s="105" customFormat="1" spans="9:12">
      <c r="I8555" s="225"/>
      <c r="K8555" s="9"/>
      <c r="L8555" s="9"/>
    </row>
    <row r="8556" s="105" customFormat="1" spans="9:12">
      <c r="I8556" s="225"/>
      <c r="K8556" s="9"/>
      <c r="L8556" s="9"/>
    </row>
    <row r="8557" s="105" customFormat="1" spans="9:12">
      <c r="I8557" s="225"/>
      <c r="K8557" s="9"/>
      <c r="L8557" s="9"/>
    </row>
    <row r="8558" s="105" customFormat="1" spans="9:12">
      <c r="I8558" s="225"/>
      <c r="K8558" s="9"/>
      <c r="L8558" s="9"/>
    </row>
    <row r="8559" s="105" customFormat="1" spans="9:12">
      <c r="I8559" s="225"/>
      <c r="K8559" s="9"/>
      <c r="L8559" s="9"/>
    </row>
    <row r="8560" s="105" customFormat="1" spans="9:12">
      <c r="I8560" s="225"/>
      <c r="K8560" s="9"/>
      <c r="L8560" s="9"/>
    </row>
    <row r="8561" s="105" customFormat="1" spans="9:12">
      <c r="I8561" s="225"/>
      <c r="K8561" s="9"/>
      <c r="L8561" s="9"/>
    </row>
    <row r="8562" s="105" customFormat="1" spans="9:12">
      <c r="I8562" s="225"/>
      <c r="K8562" s="9"/>
      <c r="L8562" s="9"/>
    </row>
    <row r="8563" s="105" customFormat="1" spans="9:12">
      <c r="I8563" s="225"/>
      <c r="K8563" s="9"/>
      <c r="L8563" s="9"/>
    </row>
    <row r="8564" s="105" customFormat="1" spans="9:12">
      <c r="I8564" s="225"/>
      <c r="K8564" s="9"/>
      <c r="L8564" s="9"/>
    </row>
    <row r="8565" s="105" customFormat="1" spans="9:12">
      <c r="I8565" s="225"/>
      <c r="K8565" s="9"/>
      <c r="L8565" s="9"/>
    </row>
    <row r="8566" s="105" customFormat="1" spans="9:12">
      <c r="I8566" s="225"/>
      <c r="K8566" s="9"/>
      <c r="L8566" s="9"/>
    </row>
    <row r="8567" s="105" customFormat="1" spans="9:12">
      <c r="I8567" s="225"/>
      <c r="K8567" s="9"/>
      <c r="L8567" s="9"/>
    </row>
    <row r="8568" s="105" customFormat="1" spans="9:12">
      <c r="I8568" s="225"/>
      <c r="K8568" s="9"/>
      <c r="L8568" s="9"/>
    </row>
    <row r="8569" s="105" customFormat="1" spans="9:12">
      <c r="I8569" s="225"/>
      <c r="K8569" s="9"/>
      <c r="L8569" s="9"/>
    </row>
    <row r="8570" s="105" customFormat="1" spans="9:12">
      <c r="I8570" s="225"/>
      <c r="K8570" s="9"/>
      <c r="L8570" s="9"/>
    </row>
    <row r="8571" s="105" customFormat="1" spans="9:12">
      <c r="I8571" s="225"/>
      <c r="K8571" s="9"/>
      <c r="L8571" s="9"/>
    </row>
    <row r="8572" s="105" customFormat="1" spans="9:12">
      <c r="I8572" s="225"/>
      <c r="K8572" s="9"/>
      <c r="L8572" s="9"/>
    </row>
    <row r="8573" s="105" customFormat="1" spans="9:12">
      <c r="I8573" s="225"/>
      <c r="K8573" s="9"/>
      <c r="L8573" s="9"/>
    </row>
    <row r="8574" s="105" customFormat="1" spans="9:12">
      <c r="I8574" s="225"/>
      <c r="K8574" s="9"/>
      <c r="L8574" s="9"/>
    </row>
    <row r="8575" s="105" customFormat="1" spans="9:12">
      <c r="I8575" s="225"/>
      <c r="K8575" s="9"/>
      <c r="L8575" s="9"/>
    </row>
    <row r="8576" s="105" customFormat="1" spans="9:12">
      <c r="I8576" s="225"/>
      <c r="K8576" s="9"/>
      <c r="L8576" s="9"/>
    </row>
    <row r="8577" s="105" customFormat="1" spans="9:12">
      <c r="I8577" s="225"/>
      <c r="K8577" s="9"/>
      <c r="L8577" s="9"/>
    </row>
    <row r="8578" s="105" customFormat="1" spans="9:12">
      <c r="I8578" s="225"/>
      <c r="K8578" s="9"/>
      <c r="L8578" s="9"/>
    </row>
    <row r="8579" s="105" customFormat="1" spans="9:12">
      <c r="I8579" s="225"/>
      <c r="K8579" s="9"/>
      <c r="L8579" s="9"/>
    </row>
    <row r="8580" s="105" customFormat="1" spans="9:12">
      <c r="I8580" s="225"/>
      <c r="K8580" s="9"/>
      <c r="L8580" s="9"/>
    </row>
    <row r="8581" s="105" customFormat="1" spans="9:12">
      <c r="I8581" s="225"/>
      <c r="K8581" s="9"/>
      <c r="L8581" s="9"/>
    </row>
    <row r="8582" s="105" customFormat="1" spans="9:12">
      <c r="I8582" s="225"/>
      <c r="K8582" s="9"/>
      <c r="L8582" s="9"/>
    </row>
    <row r="8583" s="105" customFormat="1" spans="9:12">
      <c r="I8583" s="225"/>
      <c r="K8583" s="9"/>
      <c r="L8583" s="9"/>
    </row>
    <row r="8584" s="105" customFormat="1" spans="9:12">
      <c r="I8584" s="225"/>
      <c r="K8584" s="9"/>
      <c r="L8584" s="9"/>
    </row>
    <row r="8585" s="105" customFormat="1" spans="9:12">
      <c r="I8585" s="225"/>
      <c r="K8585" s="9"/>
      <c r="L8585" s="9"/>
    </row>
    <row r="8586" s="105" customFormat="1" spans="9:12">
      <c r="I8586" s="225"/>
      <c r="K8586" s="9"/>
      <c r="L8586" s="9"/>
    </row>
    <row r="8587" s="105" customFormat="1" spans="9:12">
      <c r="I8587" s="225"/>
      <c r="K8587" s="9"/>
      <c r="L8587" s="9"/>
    </row>
    <row r="8588" s="105" customFormat="1" spans="9:12">
      <c r="I8588" s="225"/>
      <c r="K8588" s="9"/>
      <c r="L8588" s="9"/>
    </row>
    <row r="8589" s="105" customFormat="1" spans="9:12">
      <c r="I8589" s="225"/>
      <c r="K8589" s="9"/>
      <c r="L8589" s="9"/>
    </row>
    <row r="8590" s="105" customFormat="1" spans="9:12">
      <c r="I8590" s="225"/>
      <c r="K8590" s="9"/>
      <c r="L8590" s="9"/>
    </row>
    <row r="8591" s="105" customFormat="1" spans="9:12">
      <c r="I8591" s="225"/>
      <c r="K8591" s="9"/>
      <c r="L8591" s="9"/>
    </row>
    <row r="8592" s="105" customFormat="1" spans="9:12">
      <c r="I8592" s="225"/>
      <c r="K8592" s="9"/>
      <c r="L8592" s="9"/>
    </row>
    <row r="8593" s="105" customFormat="1" spans="9:12">
      <c r="I8593" s="225"/>
      <c r="K8593" s="9"/>
      <c r="L8593" s="9"/>
    </row>
    <row r="8594" s="105" customFormat="1" spans="9:12">
      <c r="I8594" s="225"/>
      <c r="K8594" s="9"/>
      <c r="L8594" s="9"/>
    </row>
    <row r="8595" s="105" customFormat="1" spans="9:12">
      <c r="I8595" s="225"/>
      <c r="K8595" s="9"/>
      <c r="L8595" s="9"/>
    </row>
    <row r="8596" s="105" customFormat="1" spans="9:12">
      <c r="I8596" s="225"/>
      <c r="K8596" s="9"/>
      <c r="L8596" s="9"/>
    </row>
    <row r="8597" s="105" customFormat="1" spans="9:12">
      <c r="I8597" s="225"/>
      <c r="K8597" s="9"/>
      <c r="L8597" s="9"/>
    </row>
    <row r="8598" s="105" customFormat="1" spans="9:12">
      <c r="I8598" s="225"/>
      <c r="K8598" s="9"/>
      <c r="L8598" s="9"/>
    </row>
    <row r="8599" s="105" customFormat="1" spans="9:12">
      <c r="I8599" s="225"/>
      <c r="K8599" s="9"/>
      <c r="L8599" s="9"/>
    </row>
    <row r="8600" s="105" customFormat="1" spans="9:12">
      <c r="I8600" s="225"/>
      <c r="K8600" s="9"/>
      <c r="L8600" s="9"/>
    </row>
    <row r="8601" s="105" customFormat="1" spans="9:12">
      <c r="I8601" s="225"/>
      <c r="K8601" s="9"/>
      <c r="L8601" s="9"/>
    </row>
    <row r="8602" s="105" customFormat="1" spans="9:12">
      <c r="I8602" s="225"/>
      <c r="K8602" s="9"/>
      <c r="L8602" s="9"/>
    </row>
    <row r="8603" s="105" customFormat="1" spans="9:12">
      <c r="I8603" s="225"/>
      <c r="K8603" s="9"/>
      <c r="L8603" s="9"/>
    </row>
    <row r="8604" s="105" customFormat="1" spans="9:12">
      <c r="I8604" s="225"/>
      <c r="K8604" s="9"/>
      <c r="L8604" s="9"/>
    </row>
    <row r="8605" s="105" customFormat="1" spans="9:12">
      <c r="I8605" s="225"/>
      <c r="K8605" s="9"/>
      <c r="L8605" s="9"/>
    </row>
    <row r="8606" s="105" customFormat="1" spans="9:12">
      <c r="I8606" s="225"/>
      <c r="K8606" s="9"/>
      <c r="L8606" s="9"/>
    </row>
    <row r="8607" s="105" customFormat="1" spans="9:12">
      <c r="I8607" s="225"/>
      <c r="K8607" s="9"/>
      <c r="L8607" s="9"/>
    </row>
    <row r="8608" s="105" customFormat="1" spans="9:12">
      <c r="I8608" s="225"/>
      <c r="K8608" s="9"/>
      <c r="L8608" s="9"/>
    </row>
    <row r="8609" s="105" customFormat="1" spans="9:12">
      <c r="I8609" s="225"/>
      <c r="K8609" s="9"/>
      <c r="L8609" s="9"/>
    </row>
    <row r="8610" s="105" customFormat="1" spans="9:12">
      <c r="I8610" s="225"/>
      <c r="K8610" s="9"/>
      <c r="L8610" s="9"/>
    </row>
    <row r="8611" s="105" customFormat="1" spans="9:12">
      <c r="I8611" s="225"/>
      <c r="K8611" s="9"/>
      <c r="L8611" s="9"/>
    </row>
    <row r="8612" s="105" customFormat="1" spans="9:12">
      <c r="I8612" s="225"/>
      <c r="K8612" s="9"/>
      <c r="L8612" s="9"/>
    </row>
    <row r="8613" s="105" customFormat="1" spans="9:12">
      <c r="I8613" s="225"/>
      <c r="K8613" s="9"/>
      <c r="L8613" s="9"/>
    </row>
    <row r="8614" s="105" customFormat="1" spans="9:12">
      <c r="I8614" s="225"/>
      <c r="K8614" s="9"/>
      <c r="L8614" s="9"/>
    </row>
    <row r="8615" s="105" customFormat="1" spans="9:12">
      <c r="I8615" s="225"/>
      <c r="K8615" s="9"/>
      <c r="L8615" s="9"/>
    </row>
    <row r="8616" s="105" customFormat="1" spans="9:12">
      <c r="I8616" s="225"/>
      <c r="K8616" s="9"/>
      <c r="L8616" s="9"/>
    </row>
    <row r="8617" s="105" customFormat="1" spans="9:12">
      <c r="I8617" s="225"/>
      <c r="K8617" s="9"/>
      <c r="L8617" s="9"/>
    </row>
    <row r="8618" s="105" customFormat="1" spans="9:12">
      <c r="I8618" s="225"/>
      <c r="K8618" s="9"/>
      <c r="L8618" s="9"/>
    </row>
    <row r="8619" s="105" customFormat="1" spans="9:12">
      <c r="I8619" s="225"/>
      <c r="K8619" s="9"/>
      <c r="L8619" s="9"/>
    </row>
    <row r="8620" s="105" customFormat="1" spans="9:12">
      <c r="I8620" s="225"/>
      <c r="K8620" s="9"/>
      <c r="L8620" s="9"/>
    </row>
    <row r="8621" s="105" customFormat="1" spans="9:12">
      <c r="I8621" s="225"/>
      <c r="K8621" s="9"/>
      <c r="L8621" s="9"/>
    </row>
    <row r="8622" s="105" customFormat="1" spans="9:12">
      <c r="I8622" s="225"/>
      <c r="K8622" s="9"/>
      <c r="L8622" s="9"/>
    </row>
    <row r="8623" s="105" customFormat="1" spans="9:12">
      <c r="I8623" s="225"/>
      <c r="K8623" s="9"/>
      <c r="L8623" s="9"/>
    </row>
    <row r="8624" s="105" customFormat="1" spans="9:12">
      <c r="I8624" s="225"/>
      <c r="K8624" s="9"/>
      <c r="L8624" s="9"/>
    </row>
    <row r="8625" s="105" customFormat="1" spans="9:12">
      <c r="I8625" s="225"/>
      <c r="K8625" s="9"/>
      <c r="L8625" s="9"/>
    </row>
    <row r="8626" s="105" customFormat="1" spans="9:12">
      <c r="I8626" s="225"/>
      <c r="K8626" s="9"/>
      <c r="L8626" s="9"/>
    </row>
    <row r="8627" s="105" customFormat="1" spans="9:12">
      <c r="I8627" s="225"/>
      <c r="K8627" s="9"/>
      <c r="L8627" s="9"/>
    </row>
    <row r="8628" s="105" customFormat="1" spans="9:12">
      <c r="I8628" s="225"/>
      <c r="K8628" s="9"/>
      <c r="L8628" s="9"/>
    </row>
    <row r="8629" s="105" customFormat="1" spans="9:12">
      <c r="I8629" s="225"/>
      <c r="K8629" s="9"/>
      <c r="L8629" s="9"/>
    </row>
    <row r="8630" s="105" customFormat="1" spans="9:12">
      <c r="I8630" s="225"/>
      <c r="K8630" s="9"/>
      <c r="L8630" s="9"/>
    </row>
    <row r="8631" s="105" customFormat="1" spans="9:12">
      <c r="I8631" s="225"/>
      <c r="K8631" s="9"/>
      <c r="L8631" s="9"/>
    </row>
    <row r="8632" s="105" customFormat="1" spans="9:12">
      <c r="I8632" s="225"/>
      <c r="K8632" s="9"/>
      <c r="L8632" s="9"/>
    </row>
    <row r="8633" s="105" customFormat="1" spans="9:12">
      <c r="I8633" s="225"/>
      <c r="K8633" s="9"/>
      <c r="L8633" s="9"/>
    </row>
    <row r="8634" s="105" customFormat="1" spans="9:12">
      <c r="I8634" s="225"/>
      <c r="K8634" s="9"/>
      <c r="L8634" s="9"/>
    </row>
    <row r="8635" s="105" customFormat="1" spans="9:12">
      <c r="I8635" s="225"/>
      <c r="K8635" s="9"/>
      <c r="L8635" s="9"/>
    </row>
    <row r="8636" s="105" customFormat="1" spans="9:12">
      <c r="I8636" s="225"/>
      <c r="K8636" s="9"/>
      <c r="L8636" s="9"/>
    </row>
    <row r="8637" s="105" customFormat="1" spans="9:12">
      <c r="I8637" s="225"/>
      <c r="K8637" s="9"/>
      <c r="L8637" s="9"/>
    </row>
    <row r="8638" s="105" customFormat="1" spans="9:12">
      <c r="I8638" s="225"/>
      <c r="K8638" s="9"/>
      <c r="L8638" s="9"/>
    </row>
    <row r="8639" s="105" customFormat="1" spans="9:12">
      <c r="I8639" s="225"/>
      <c r="K8639" s="9"/>
      <c r="L8639" s="9"/>
    </row>
    <row r="8640" s="105" customFormat="1" spans="9:12">
      <c r="I8640" s="225"/>
      <c r="K8640" s="9"/>
      <c r="L8640" s="9"/>
    </row>
    <row r="8641" s="105" customFormat="1" spans="9:12">
      <c r="I8641" s="225"/>
      <c r="K8641" s="9"/>
      <c r="L8641" s="9"/>
    </row>
    <row r="8642" s="105" customFormat="1" spans="9:12">
      <c r="I8642" s="225"/>
      <c r="K8642" s="9"/>
      <c r="L8642" s="9"/>
    </row>
    <row r="8643" s="105" customFormat="1" spans="9:12">
      <c r="I8643" s="225"/>
      <c r="K8643" s="9"/>
      <c r="L8643" s="9"/>
    </row>
    <row r="8644" s="105" customFormat="1" spans="9:12">
      <c r="I8644" s="225"/>
      <c r="K8644" s="9"/>
      <c r="L8644" s="9"/>
    </row>
    <row r="8645" s="105" customFormat="1" spans="9:12">
      <c r="I8645" s="225"/>
      <c r="K8645" s="9"/>
      <c r="L8645" s="9"/>
    </row>
    <row r="8646" s="105" customFormat="1" spans="9:12">
      <c r="I8646" s="225"/>
      <c r="K8646" s="9"/>
      <c r="L8646" s="9"/>
    </row>
    <row r="8647" s="105" customFormat="1" spans="9:12">
      <c r="I8647" s="225"/>
      <c r="K8647" s="9"/>
      <c r="L8647" s="9"/>
    </row>
    <row r="8648" s="105" customFormat="1" spans="9:12">
      <c r="I8648" s="225"/>
      <c r="K8648" s="9"/>
      <c r="L8648" s="9"/>
    </row>
    <row r="8649" s="105" customFormat="1" spans="9:12">
      <c r="I8649" s="225"/>
      <c r="K8649" s="9"/>
      <c r="L8649" s="9"/>
    </row>
    <row r="8650" s="105" customFormat="1" spans="9:12">
      <c r="I8650" s="225"/>
      <c r="K8650" s="9"/>
      <c r="L8650" s="9"/>
    </row>
    <row r="8651" s="105" customFormat="1" spans="9:12">
      <c r="I8651" s="225"/>
      <c r="K8651" s="9"/>
      <c r="L8651" s="9"/>
    </row>
    <row r="8652" s="105" customFormat="1" spans="9:12">
      <c r="I8652" s="225"/>
      <c r="K8652" s="9"/>
      <c r="L8652" s="9"/>
    </row>
    <row r="8653" s="105" customFormat="1" spans="9:12">
      <c r="I8653" s="225"/>
      <c r="K8653" s="9"/>
      <c r="L8653" s="9"/>
    </row>
    <row r="8654" s="105" customFormat="1" spans="9:12">
      <c r="I8654" s="225"/>
      <c r="K8654" s="9"/>
      <c r="L8654" s="9"/>
    </row>
    <row r="8655" s="105" customFormat="1" spans="9:12">
      <c r="I8655" s="225"/>
      <c r="K8655" s="9"/>
      <c r="L8655" s="9"/>
    </row>
    <row r="8656" s="105" customFormat="1" spans="9:12">
      <c r="I8656" s="225"/>
      <c r="K8656" s="9"/>
      <c r="L8656" s="9"/>
    </row>
    <row r="8657" s="105" customFormat="1" spans="9:12">
      <c r="I8657" s="225"/>
      <c r="K8657" s="9"/>
      <c r="L8657" s="9"/>
    </row>
    <row r="8658" s="105" customFormat="1" spans="9:12">
      <c r="I8658" s="225"/>
      <c r="K8658" s="9"/>
      <c r="L8658" s="9"/>
    </row>
    <row r="8659" s="105" customFormat="1" spans="9:12">
      <c r="I8659" s="225"/>
      <c r="K8659" s="9"/>
      <c r="L8659" s="9"/>
    </row>
    <row r="8660" s="105" customFormat="1" spans="9:12">
      <c r="I8660" s="225"/>
      <c r="K8660" s="9"/>
      <c r="L8660" s="9"/>
    </row>
    <row r="8661" s="105" customFormat="1" spans="9:12">
      <c r="I8661" s="225"/>
      <c r="K8661" s="9"/>
      <c r="L8661" s="9"/>
    </row>
    <row r="8662" s="105" customFormat="1" spans="9:12">
      <c r="I8662" s="225"/>
      <c r="K8662" s="9"/>
      <c r="L8662" s="9"/>
    </row>
    <row r="8663" s="105" customFormat="1" spans="9:12">
      <c r="I8663" s="225"/>
      <c r="K8663" s="9"/>
      <c r="L8663" s="9"/>
    </row>
    <row r="8664" s="105" customFormat="1" spans="9:12">
      <c r="I8664" s="225"/>
      <c r="K8664" s="9"/>
      <c r="L8664" s="9"/>
    </row>
    <row r="8665" s="105" customFormat="1" spans="9:12">
      <c r="I8665" s="225"/>
      <c r="K8665" s="9"/>
      <c r="L8665" s="9"/>
    </row>
    <row r="8666" s="105" customFormat="1" spans="9:12">
      <c r="I8666" s="225"/>
      <c r="K8666" s="9"/>
      <c r="L8666" s="9"/>
    </row>
    <row r="8667" s="105" customFormat="1" spans="9:12">
      <c r="I8667" s="225"/>
      <c r="K8667" s="9"/>
      <c r="L8667" s="9"/>
    </row>
    <row r="8668" s="105" customFormat="1" spans="9:12">
      <c r="I8668" s="225"/>
      <c r="K8668" s="9"/>
      <c r="L8668" s="9"/>
    </row>
    <row r="8669" s="105" customFormat="1" spans="9:12">
      <c r="I8669" s="225"/>
      <c r="K8669" s="9"/>
      <c r="L8669" s="9"/>
    </row>
    <row r="8670" s="105" customFormat="1" spans="9:12">
      <c r="I8670" s="225"/>
      <c r="K8670" s="9"/>
      <c r="L8670" s="9"/>
    </row>
    <row r="8671" s="105" customFormat="1" spans="9:12">
      <c r="I8671" s="225"/>
      <c r="K8671" s="9"/>
      <c r="L8671" s="9"/>
    </row>
    <row r="8672" s="105" customFormat="1" spans="9:12">
      <c r="I8672" s="225"/>
      <c r="K8672" s="9"/>
      <c r="L8672" s="9"/>
    </row>
    <row r="8673" s="105" customFormat="1" spans="9:12">
      <c r="I8673" s="225"/>
      <c r="K8673" s="9"/>
      <c r="L8673" s="9"/>
    </row>
    <row r="8674" s="105" customFormat="1" spans="9:12">
      <c r="I8674" s="225"/>
      <c r="K8674" s="9"/>
      <c r="L8674" s="9"/>
    </row>
    <row r="8675" s="105" customFormat="1" spans="9:12">
      <c r="I8675" s="225"/>
      <c r="K8675" s="9"/>
      <c r="L8675" s="9"/>
    </row>
    <row r="8676" s="105" customFormat="1" spans="9:12">
      <c r="I8676" s="225"/>
      <c r="K8676" s="9"/>
      <c r="L8676" s="9"/>
    </row>
    <row r="8677" s="105" customFormat="1" spans="9:12">
      <c r="I8677" s="225"/>
      <c r="K8677" s="9"/>
      <c r="L8677" s="9"/>
    </row>
    <row r="8678" s="105" customFormat="1" spans="9:12">
      <c r="I8678" s="225"/>
      <c r="K8678" s="9"/>
      <c r="L8678" s="9"/>
    </row>
    <row r="8679" s="105" customFormat="1" spans="9:12">
      <c r="I8679" s="225"/>
      <c r="K8679" s="9"/>
      <c r="L8679" s="9"/>
    </row>
    <row r="8680" s="105" customFormat="1" spans="9:12">
      <c r="I8680" s="225"/>
      <c r="K8680" s="9"/>
      <c r="L8680" s="9"/>
    </row>
    <row r="8681" s="105" customFormat="1" spans="9:12">
      <c r="I8681" s="225"/>
      <c r="K8681" s="9"/>
      <c r="L8681" s="9"/>
    </row>
    <row r="8682" s="105" customFormat="1" spans="9:12">
      <c r="I8682" s="225"/>
      <c r="K8682" s="9"/>
      <c r="L8682" s="9"/>
    </row>
    <row r="8683" s="105" customFormat="1" spans="9:12">
      <c r="I8683" s="225"/>
      <c r="K8683" s="9"/>
      <c r="L8683" s="9"/>
    </row>
    <row r="8684" s="105" customFormat="1" spans="9:12">
      <c r="I8684" s="225"/>
      <c r="K8684" s="9"/>
      <c r="L8684" s="9"/>
    </row>
    <row r="8685" s="105" customFormat="1" spans="9:12">
      <c r="I8685" s="225"/>
      <c r="K8685" s="9"/>
      <c r="L8685" s="9"/>
    </row>
    <row r="8686" s="105" customFormat="1" spans="9:12">
      <c r="I8686" s="225"/>
      <c r="K8686" s="9"/>
      <c r="L8686" s="9"/>
    </row>
    <row r="8687" s="105" customFormat="1" spans="9:12">
      <c r="I8687" s="225"/>
      <c r="K8687" s="9"/>
      <c r="L8687" s="9"/>
    </row>
    <row r="8688" s="105" customFormat="1" spans="9:12">
      <c r="I8688" s="225"/>
      <c r="K8688" s="9"/>
      <c r="L8688" s="9"/>
    </row>
    <row r="8689" s="105" customFormat="1" spans="9:12">
      <c r="I8689" s="225"/>
      <c r="K8689" s="9"/>
      <c r="L8689" s="9"/>
    </row>
    <row r="8690" s="105" customFormat="1" spans="9:12">
      <c r="I8690" s="225"/>
      <c r="K8690" s="9"/>
      <c r="L8690" s="9"/>
    </row>
    <row r="8691" s="105" customFormat="1" spans="9:12">
      <c r="I8691" s="225"/>
      <c r="K8691" s="9"/>
      <c r="L8691" s="9"/>
    </row>
    <row r="8692" s="105" customFormat="1" spans="9:12">
      <c r="I8692" s="225"/>
      <c r="K8692" s="9"/>
      <c r="L8692" s="9"/>
    </row>
    <row r="8693" s="105" customFormat="1" spans="9:12">
      <c r="I8693" s="225"/>
      <c r="K8693" s="9"/>
      <c r="L8693" s="9"/>
    </row>
    <row r="8694" s="105" customFormat="1" spans="9:12">
      <c r="I8694" s="225"/>
      <c r="K8694" s="9"/>
      <c r="L8694" s="9"/>
    </row>
    <row r="8695" s="105" customFormat="1" spans="9:12">
      <c r="I8695" s="225"/>
      <c r="K8695" s="9"/>
      <c r="L8695" s="9"/>
    </row>
    <row r="8696" s="105" customFormat="1" spans="9:12">
      <c r="I8696" s="225"/>
      <c r="K8696" s="9"/>
      <c r="L8696" s="9"/>
    </row>
    <row r="8697" s="105" customFormat="1" spans="9:12">
      <c r="I8697" s="225"/>
      <c r="K8697" s="9"/>
      <c r="L8697" s="9"/>
    </row>
    <row r="8698" s="105" customFormat="1" spans="9:12">
      <c r="I8698" s="225"/>
      <c r="K8698" s="9"/>
      <c r="L8698" s="9"/>
    </row>
    <row r="8699" s="105" customFormat="1" spans="9:12">
      <c r="I8699" s="225"/>
      <c r="K8699" s="9"/>
      <c r="L8699" s="9"/>
    </row>
    <row r="8700" s="105" customFormat="1" spans="9:12">
      <c r="I8700" s="225"/>
      <c r="K8700" s="9"/>
      <c r="L8700" s="9"/>
    </row>
    <row r="8701" s="105" customFormat="1" spans="9:12">
      <c r="I8701" s="225"/>
      <c r="K8701" s="9"/>
      <c r="L8701" s="9"/>
    </row>
    <row r="8702" s="105" customFormat="1" spans="9:12">
      <c r="I8702" s="225"/>
      <c r="K8702" s="9"/>
      <c r="L8702" s="9"/>
    </row>
    <row r="8703" s="105" customFormat="1" spans="9:12">
      <c r="I8703" s="225"/>
      <c r="K8703" s="9"/>
      <c r="L8703" s="9"/>
    </row>
    <row r="8704" s="105" customFormat="1" spans="9:12">
      <c r="I8704" s="225"/>
      <c r="K8704" s="9"/>
      <c r="L8704" s="9"/>
    </row>
    <row r="8705" s="105" customFormat="1" spans="9:12">
      <c r="I8705" s="225"/>
      <c r="K8705" s="9"/>
      <c r="L8705" s="9"/>
    </row>
    <row r="8706" s="105" customFormat="1" spans="9:12">
      <c r="I8706" s="225"/>
      <c r="K8706" s="9"/>
      <c r="L8706" s="9"/>
    </row>
    <row r="8707" s="105" customFormat="1" spans="9:12">
      <c r="I8707" s="225"/>
      <c r="K8707" s="9"/>
      <c r="L8707" s="9"/>
    </row>
    <row r="8708" s="105" customFormat="1" spans="9:12">
      <c r="I8708" s="225"/>
      <c r="K8708" s="9"/>
      <c r="L8708" s="9"/>
    </row>
    <row r="8709" s="105" customFormat="1" spans="9:12">
      <c r="I8709" s="225"/>
      <c r="K8709" s="9"/>
      <c r="L8709" s="9"/>
    </row>
    <row r="8710" s="105" customFormat="1" spans="9:12">
      <c r="I8710" s="225"/>
      <c r="K8710" s="9"/>
      <c r="L8710" s="9"/>
    </row>
    <row r="8711" s="105" customFormat="1" spans="9:12">
      <c r="I8711" s="225"/>
      <c r="K8711" s="9"/>
      <c r="L8711" s="9"/>
    </row>
    <row r="8712" s="105" customFormat="1" spans="9:12">
      <c r="I8712" s="225"/>
      <c r="K8712" s="9"/>
      <c r="L8712" s="9"/>
    </row>
    <row r="8713" s="105" customFormat="1" spans="9:12">
      <c r="I8713" s="225"/>
      <c r="K8713" s="9"/>
      <c r="L8713" s="9"/>
    </row>
    <row r="8714" s="105" customFormat="1" spans="9:12">
      <c r="I8714" s="225"/>
      <c r="K8714" s="9"/>
      <c r="L8714" s="9"/>
    </row>
    <row r="8715" s="105" customFormat="1" spans="9:12">
      <c r="I8715" s="225"/>
      <c r="K8715" s="9"/>
      <c r="L8715" s="9"/>
    </row>
    <row r="8716" s="105" customFormat="1" spans="9:12">
      <c r="I8716" s="225"/>
      <c r="K8716" s="9"/>
      <c r="L8716" s="9"/>
    </row>
    <row r="8717" s="105" customFormat="1" spans="9:12">
      <c r="I8717" s="225"/>
      <c r="K8717" s="9"/>
      <c r="L8717" s="9"/>
    </row>
    <row r="8718" s="105" customFormat="1" spans="9:12">
      <c r="I8718" s="225"/>
      <c r="K8718" s="9"/>
      <c r="L8718" s="9"/>
    </row>
    <row r="8719" s="105" customFormat="1" spans="9:12">
      <c r="I8719" s="225"/>
      <c r="K8719" s="9"/>
      <c r="L8719" s="9"/>
    </row>
    <row r="8720" s="105" customFormat="1" spans="9:12">
      <c r="I8720" s="225"/>
      <c r="K8720" s="9"/>
      <c r="L8720" s="9"/>
    </row>
    <row r="8721" s="105" customFormat="1" spans="9:12">
      <c r="I8721" s="225"/>
      <c r="K8721" s="9"/>
      <c r="L8721" s="9"/>
    </row>
    <row r="8722" s="105" customFormat="1" spans="9:12">
      <c r="I8722" s="225"/>
      <c r="K8722" s="9"/>
      <c r="L8722" s="9"/>
    </row>
    <row r="8723" s="105" customFormat="1" spans="9:12">
      <c r="I8723" s="225"/>
      <c r="K8723" s="9"/>
      <c r="L8723" s="9"/>
    </row>
    <row r="8724" s="105" customFormat="1" spans="9:12">
      <c r="I8724" s="225"/>
      <c r="K8724" s="9"/>
      <c r="L8724" s="9"/>
    </row>
    <row r="8725" s="105" customFormat="1" spans="9:12">
      <c r="I8725" s="225"/>
      <c r="K8725" s="9"/>
      <c r="L8725" s="9"/>
    </row>
    <row r="8726" s="105" customFormat="1" spans="9:12">
      <c r="I8726" s="225"/>
      <c r="K8726" s="9"/>
      <c r="L8726" s="9"/>
    </row>
    <row r="8727" s="105" customFormat="1" spans="9:12">
      <c r="I8727" s="225"/>
      <c r="K8727" s="9"/>
      <c r="L8727" s="9"/>
    </row>
    <row r="8728" s="105" customFormat="1" spans="9:12">
      <c r="I8728" s="225"/>
      <c r="K8728" s="9"/>
      <c r="L8728" s="9"/>
    </row>
    <row r="8729" s="105" customFormat="1" spans="9:12">
      <c r="I8729" s="225"/>
      <c r="K8729" s="9"/>
      <c r="L8729" s="9"/>
    </row>
    <row r="8730" s="105" customFormat="1" spans="9:12">
      <c r="I8730" s="225"/>
      <c r="K8730" s="9"/>
      <c r="L8730" s="9"/>
    </row>
    <row r="8731" s="105" customFormat="1" spans="9:12">
      <c r="I8731" s="225"/>
      <c r="K8731" s="9"/>
      <c r="L8731" s="9"/>
    </row>
    <row r="8732" s="105" customFormat="1" spans="9:12">
      <c r="I8732" s="225"/>
      <c r="K8732" s="9"/>
      <c r="L8732" s="9"/>
    </row>
    <row r="8733" s="105" customFormat="1" spans="9:12">
      <c r="I8733" s="225"/>
      <c r="K8733" s="9"/>
      <c r="L8733" s="9"/>
    </row>
    <row r="8734" s="105" customFormat="1" spans="9:12">
      <c r="I8734" s="225"/>
      <c r="K8734" s="9"/>
      <c r="L8734" s="9"/>
    </row>
    <row r="8735" s="105" customFormat="1" spans="9:12">
      <c r="I8735" s="225"/>
      <c r="K8735" s="9"/>
      <c r="L8735" s="9"/>
    </row>
    <row r="8736" s="105" customFormat="1" spans="9:12">
      <c r="I8736" s="225"/>
      <c r="K8736" s="9"/>
      <c r="L8736" s="9"/>
    </row>
    <row r="8737" s="105" customFormat="1" spans="9:12">
      <c r="I8737" s="225"/>
      <c r="K8737" s="9"/>
      <c r="L8737" s="9"/>
    </row>
    <row r="8738" s="105" customFormat="1" spans="9:12">
      <c r="I8738" s="225"/>
      <c r="K8738" s="9"/>
      <c r="L8738" s="9"/>
    </row>
    <row r="8739" s="105" customFormat="1" spans="9:12">
      <c r="I8739" s="225"/>
      <c r="K8739" s="9"/>
      <c r="L8739" s="9"/>
    </row>
    <row r="8740" s="105" customFormat="1" spans="9:12">
      <c r="I8740" s="225"/>
      <c r="K8740" s="9"/>
      <c r="L8740" s="9"/>
    </row>
    <row r="8741" s="105" customFormat="1" spans="9:12">
      <c r="I8741" s="225"/>
      <c r="K8741" s="9"/>
      <c r="L8741" s="9"/>
    </row>
    <row r="8742" s="105" customFormat="1" spans="9:12">
      <c r="I8742" s="225"/>
      <c r="K8742" s="9"/>
      <c r="L8742" s="9"/>
    </row>
    <row r="8743" s="105" customFormat="1" spans="9:12">
      <c r="I8743" s="225"/>
      <c r="K8743" s="9"/>
      <c r="L8743" s="9"/>
    </row>
    <row r="8744" s="105" customFormat="1" spans="9:12">
      <c r="I8744" s="225"/>
      <c r="K8744" s="9"/>
      <c r="L8744" s="9"/>
    </row>
    <row r="8745" s="105" customFormat="1" spans="9:12">
      <c r="I8745" s="225"/>
      <c r="K8745" s="9"/>
      <c r="L8745" s="9"/>
    </row>
    <row r="8746" s="105" customFormat="1" spans="9:12">
      <c r="I8746" s="225"/>
      <c r="K8746" s="9"/>
      <c r="L8746" s="9"/>
    </row>
    <row r="8747" s="105" customFormat="1" spans="9:12">
      <c r="I8747" s="225"/>
      <c r="K8747" s="9"/>
      <c r="L8747" s="9"/>
    </row>
    <row r="8748" s="105" customFormat="1" spans="9:12">
      <c r="I8748" s="225"/>
      <c r="K8748" s="9"/>
      <c r="L8748" s="9"/>
    </row>
    <row r="8749" s="105" customFormat="1" spans="9:12">
      <c r="I8749" s="225"/>
      <c r="K8749" s="9"/>
      <c r="L8749" s="9"/>
    </row>
    <row r="8750" s="105" customFormat="1" spans="9:12">
      <c r="I8750" s="225"/>
      <c r="K8750" s="9"/>
      <c r="L8750" s="9"/>
    </row>
    <row r="8751" s="105" customFormat="1" spans="9:12">
      <c r="I8751" s="225"/>
      <c r="K8751" s="9"/>
      <c r="L8751" s="9"/>
    </row>
    <row r="8752" s="105" customFormat="1" spans="9:12">
      <c r="I8752" s="225"/>
      <c r="K8752" s="9"/>
      <c r="L8752" s="9"/>
    </row>
    <row r="8753" s="105" customFormat="1" spans="9:12">
      <c r="I8753" s="225"/>
      <c r="K8753" s="9"/>
      <c r="L8753" s="9"/>
    </row>
    <row r="8754" s="105" customFormat="1" spans="9:12">
      <c r="I8754" s="225"/>
      <c r="K8754" s="9"/>
      <c r="L8754" s="9"/>
    </row>
    <row r="8755" s="105" customFormat="1" spans="9:12">
      <c r="I8755" s="225"/>
      <c r="K8755" s="9"/>
      <c r="L8755" s="9"/>
    </row>
    <row r="8756" s="105" customFormat="1" spans="9:12">
      <c r="I8756" s="225"/>
      <c r="K8756" s="9"/>
      <c r="L8756" s="9"/>
    </row>
    <row r="8757" s="105" customFormat="1" spans="9:12">
      <c r="I8757" s="225"/>
      <c r="K8757" s="9"/>
      <c r="L8757" s="9"/>
    </row>
    <row r="8758" s="105" customFormat="1" spans="9:12">
      <c r="I8758" s="225"/>
      <c r="K8758" s="9"/>
      <c r="L8758" s="9"/>
    </row>
    <row r="8759" s="105" customFormat="1" spans="9:12">
      <c r="I8759" s="225"/>
      <c r="K8759" s="9"/>
      <c r="L8759" s="9"/>
    </row>
    <row r="8760" s="105" customFormat="1" spans="9:12">
      <c r="I8760" s="225"/>
      <c r="K8760" s="9"/>
      <c r="L8760" s="9"/>
    </row>
    <row r="8761" s="105" customFormat="1" spans="9:12">
      <c r="I8761" s="225"/>
      <c r="K8761" s="9"/>
      <c r="L8761" s="9"/>
    </row>
    <row r="8762" s="105" customFormat="1" spans="9:12">
      <c r="I8762" s="225"/>
      <c r="K8762" s="9"/>
      <c r="L8762" s="9"/>
    </row>
    <row r="8763" s="105" customFormat="1" spans="9:12">
      <c r="I8763" s="225"/>
      <c r="K8763" s="9"/>
      <c r="L8763" s="9"/>
    </row>
    <row r="8764" s="105" customFormat="1" spans="9:12">
      <c r="I8764" s="225"/>
      <c r="K8764" s="9"/>
      <c r="L8764" s="9"/>
    </row>
    <row r="8765" s="105" customFormat="1" spans="9:12">
      <c r="I8765" s="225"/>
      <c r="K8765" s="9"/>
      <c r="L8765" s="9"/>
    </row>
    <row r="8766" s="105" customFormat="1" spans="9:12">
      <c r="I8766" s="225"/>
      <c r="K8766" s="9"/>
      <c r="L8766" s="9"/>
    </row>
    <row r="8767" s="105" customFormat="1" spans="9:12">
      <c r="I8767" s="225"/>
      <c r="K8767" s="9"/>
      <c r="L8767" s="9"/>
    </row>
    <row r="8768" s="105" customFormat="1" spans="9:12">
      <c r="I8768" s="225"/>
      <c r="K8768" s="9"/>
      <c r="L8768" s="9"/>
    </row>
    <row r="8769" s="105" customFormat="1" spans="9:12">
      <c r="I8769" s="225"/>
      <c r="K8769" s="9"/>
      <c r="L8769" s="9"/>
    </row>
    <row r="8770" s="105" customFormat="1" spans="9:12">
      <c r="I8770" s="225"/>
      <c r="K8770" s="9"/>
      <c r="L8770" s="9"/>
    </row>
    <row r="8771" s="105" customFormat="1" spans="9:12">
      <c r="I8771" s="225"/>
      <c r="K8771" s="9"/>
      <c r="L8771" s="9"/>
    </row>
    <row r="8772" s="105" customFormat="1" spans="9:12">
      <c r="I8772" s="225"/>
      <c r="K8772" s="9"/>
      <c r="L8772" s="9"/>
    </row>
    <row r="8773" s="105" customFormat="1" spans="9:12">
      <c r="I8773" s="225"/>
      <c r="K8773" s="9"/>
      <c r="L8773" s="9"/>
    </row>
    <row r="8774" s="105" customFormat="1" spans="9:12">
      <c r="I8774" s="225"/>
      <c r="K8774" s="9"/>
      <c r="L8774" s="9"/>
    </row>
    <row r="8775" s="105" customFormat="1" spans="9:12">
      <c r="I8775" s="225"/>
      <c r="K8775" s="9"/>
      <c r="L8775" s="9"/>
    </row>
    <row r="8776" s="105" customFormat="1" spans="9:12">
      <c r="I8776" s="225"/>
      <c r="K8776" s="9"/>
      <c r="L8776" s="9"/>
    </row>
    <row r="8777" s="105" customFormat="1" spans="9:12">
      <c r="I8777" s="225"/>
      <c r="K8777" s="9"/>
      <c r="L8777" s="9"/>
    </row>
    <row r="8778" s="105" customFormat="1" spans="9:12">
      <c r="I8778" s="225"/>
      <c r="K8778" s="9"/>
      <c r="L8778" s="9"/>
    </row>
    <row r="8779" s="105" customFormat="1" spans="9:12">
      <c r="I8779" s="225"/>
      <c r="K8779" s="9"/>
      <c r="L8779" s="9"/>
    </row>
    <row r="8780" s="105" customFormat="1" spans="9:12">
      <c r="I8780" s="225"/>
      <c r="K8780" s="9"/>
      <c r="L8780" s="9"/>
    </row>
    <row r="8781" s="105" customFormat="1" spans="9:12">
      <c r="I8781" s="225"/>
      <c r="K8781" s="9"/>
      <c r="L8781" s="9"/>
    </row>
    <row r="8782" s="105" customFormat="1" spans="9:12">
      <c r="I8782" s="225"/>
      <c r="K8782" s="9"/>
      <c r="L8782" s="9"/>
    </row>
    <row r="8783" s="105" customFormat="1" spans="9:12">
      <c r="I8783" s="225"/>
      <c r="K8783" s="9"/>
      <c r="L8783" s="9"/>
    </row>
    <row r="8784" s="105" customFormat="1" spans="9:12">
      <c r="I8784" s="225"/>
      <c r="K8784" s="9"/>
      <c r="L8784" s="9"/>
    </row>
    <row r="8785" s="105" customFormat="1" spans="9:12">
      <c r="I8785" s="225"/>
      <c r="K8785" s="9"/>
      <c r="L8785" s="9"/>
    </row>
    <row r="8786" s="105" customFormat="1" spans="9:12">
      <c r="I8786" s="225"/>
      <c r="K8786" s="9"/>
      <c r="L8786" s="9"/>
    </row>
    <row r="8787" s="105" customFormat="1" spans="9:12">
      <c r="I8787" s="225"/>
      <c r="K8787" s="9"/>
      <c r="L8787" s="9"/>
    </row>
    <row r="8788" s="105" customFormat="1" spans="9:12">
      <c r="I8788" s="225"/>
      <c r="K8788" s="9"/>
      <c r="L8788" s="9"/>
    </row>
    <row r="8789" s="105" customFormat="1" spans="9:12">
      <c r="I8789" s="225"/>
      <c r="K8789" s="9"/>
      <c r="L8789" s="9"/>
    </row>
    <row r="8790" s="105" customFormat="1" spans="9:12">
      <c r="I8790" s="225"/>
      <c r="K8790" s="9"/>
      <c r="L8790" s="9"/>
    </row>
    <row r="8791" s="105" customFormat="1" spans="9:12">
      <c r="I8791" s="225"/>
      <c r="K8791" s="9"/>
      <c r="L8791" s="9"/>
    </row>
    <row r="8792" s="105" customFormat="1" spans="9:12">
      <c r="I8792" s="225"/>
      <c r="K8792" s="9"/>
      <c r="L8792" s="9"/>
    </row>
    <row r="8793" s="105" customFormat="1" spans="9:12">
      <c r="I8793" s="225"/>
      <c r="K8793" s="9"/>
      <c r="L8793" s="9"/>
    </row>
    <row r="8794" s="105" customFormat="1" spans="9:12">
      <c r="I8794" s="225"/>
      <c r="K8794" s="9"/>
      <c r="L8794" s="9"/>
    </row>
    <row r="8795" s="105" customFormat="1" spans="9:12">
      <c r="I8795" s="225"/>
      <c r="K8795" s="9"/>
      <c r="L8795" s="9"/>
    </row>
    <row r="8796" s="105" customFormat="1" spans="9:12">
      <c r="I8796" s="225"/>
      <c r="K8796" s="9"/>
      <c r="L8796" s="9"/>
    </row>
    <row r="8797" s="105" customFormat="1" spans="9:12">
      <c r="I8797" s="225"/>
      <c r="K8797" s="9"/>
      <c r="L8797" s="9"/>
    </row>
    <row r="8798" s="105" customFormat="1" spans="9:12">
      <c r="I8798" s="225"/>
      <c r="K8798" s="9"/>
      <c r="L8798" s="9"/>
    </row>
    <row r="8799" s="105" customFormat="1" spans="9:12">
      <c r="I8799" s="225"/>
      <c r="K8799" s="9"/>
      <c r="L8799" s="9"/>
    </row>
    <row r="8800" s="105" customFormat="1" spans="9:12">
      <c r="I8800" s="225"/>
      <c r="K8800" s="9"/>
      <c r="L8800" s="9"/>
    </row>
    <row r="8801" s="105" customFormat="1" spans="9:12">
      <c r="I8801" s="225"/>
      <c r="K8801" s="9"/>
      <c r="L8801" s="9"/>
    </row>
    <row r="8802" s="105" customFormat="1" spans="9:12">
      <c r="I8802" s="225"/>
      <c r="K8802" s="9"/>
      <c r="L8802" s="9"/>
    </row>
    <row r="8803" s="105" customFormat="1" spans="9:12">
      <c r="I8803" s="225"/>
      <c r="K8803" s="9"/>
      <c r="L8803" s="9"/>
    </row>
    <row r="8804" s="105" customFormat="1" spans="9:12">
      <c r="I8804" s="225"/>
      <c r="K8804" s="9"/>
      <c r="L8804" s="9"/>
    </row>
    <row r="8805" s="105" customFormat="1" spans="9:12">
      <c r="I8805" s="225"/>
      <c r="K8805" s="9"/>
      <c r="L8805" s="9"/>
    </row>
    <row r="8806" s="105" customFormat="1" spans="9:12">
      <c r="I8806" s="225"/>
      <c r="K8806" s="9"/>
      <c r="L8806" s="9"/>
    </row>
    <row r="8807" s="105" customFormat="1" spans="9:12">
      <c r="I8807" s="225"/>
      <c r="K8807" s="9"/>
      <c r="L8807" s="9"/>
    </row>
    <row r="8808" s="105" customFormat="1" spans="9:12">
      <c r="I8808" s="225"/>
      <c r="K8808" s="9"/>
      <c r="L8808" s="9"/>
    </row>
    <row r="8809" s="105" customFormat="1" spans="9:12">
      <c r="I8809" s="225"/>
      <c r="K8809" s="9"/>
      <c r="L8809" s="9"/>
    </row>
    <row r="8810" s="105" customFormat="1" spans="9:12">
      <c r="I8810" s="225"/>
      <c r="K8810" s="9"/>
      <c r="L8810" s="9"/>
    </row>
    <row r="8811" s="105" customFormat="1" spans="9:12">
      <c r="I8811" s="225"/>
      <c r="K8811" s="9"/>
      <c r="L8811" s="9"/>
    </row>
    <row r="8812" s="105" customFormat="1" spans="9:12">
      <c r="I8812" s="225"/>
      <c r="K8812" s="9"/>
      <c r="L8812" s="9"/>
    </row>
    <row r="8813" s="105" customFormat="1" spans="9:12">
      <c r="I8813" s="225"/>
      <c r="K8813" s="9"/>
      <c r="L8813" s="9"/>
    </row>
    <row r="8814" s="105" customFormat="1" spans="9:12">
      <c r="I8814" s="225"/>
      <c r="K8814" s="9"/>
      <c r="L8814" s="9"/>
    </row>
    <row r="8815" s="105" customFormat="1" spans="9:12">
      <c r="I8815" s="225"/>
      <c r="K8815" s="9"/>
      <c r="L8815" s="9"/>
    </row>
    <row r="8816" s="105" customFormat="1" spans="9:12">
      <c r="I8816" s="225"/>
      <c r="K8816" s="9"/>
      <c r="L8816" s="9"/>
    </row>
    <row r="8817" s="105" customFormat="1" spans="9:12">
      <c r="I8817" s="225"/>
      <c r="K8817" s="9"/>
      <c r="L8817" s="9"/>
    </row>
    <row r="8818" s="105" customFormat="1" spans="9:12">
      <c r="I8818" s="225"/>
      <c r="K8818" s="9"/>
      <c r="L8818" s="9"/>
    </row>
    <row r="8819" s="105" customFormat="1" spans="9:12">
      <c r="I8819" s="225"/>
      <c r="K8819" s="9"/>
      <c r="L8819" s="9"/>
    </row>
    <row r="8820" s="105" customFormat="1" spans="9:12">
      <c r="I8820" s="225"/>
      <c r="K8820" s="9"/>
      <c r="L8820" s="9"/>
    </row>
    <row r="8821" s="105" customFormat="1" spans="9:12">
      <c r="I8821" s="225"/>
      <c r="K8821" s="9"/>
      <c r="L8821" s="9"/>
    </row>
    <row r="8822" s="105" customFormat="1" spans="9:12">
      <c r="I8822" s="225"/>
      <c r="K8822" s="9"/>
      <c r="L8822" s="9"/>
    </row>
    <row r="8823" s="105" customFormat="1" spans="9:12">
      <c r="I8823" s="225"/>
      <c r="K8823" s="9"/>
      <c r="L8823" s="9"/>
    </row>
    <row r="8824" s="105" customFormat="1" spans="9:12">
      <c r="I8824" s="225"/>
      <c r="K8824" s="9"/>
      <c r="L8824" s="9"/>
    </row>
    <row r="8825" s="105" customFormat="1" spans="9:12">
      <c r="I8825" s="225"/>
      <c r="K8825" s="9"/>
      <c r="L8825" s="9"/>
    </row>
    <row r="8826" s="105" customFormat="1" spans="9:12">
      <c r="I8826" s="225"/>
      <c r="K8826" s="9"/>
      <c r="L8826" s="9"/>
    </row>
    <row r="8827" s="105" customFormat="1" spans="9:12">
      <c r="I8827" s="225"/>
      <c r="K8827" s="9"/>
      <c r="L8827" s="9"/>
    </row>
    <row r="8828" s="105" customFormat="1" spans="9:12">
      <c r="I8828" s="225"/>
      <c r="K8828" s="9"/>
      <c r="L8828" s="9"/>
    </row>
    <row r="8829" s="105" customFormat="1" spans="9:12">
      <c r="I8829" s="225"/>
      <c r="K8829" s="9"/>
      <c r="L8829" s="9"/>
    </row>
    <row r="8830" s="105" customFormat="1" spans="9:12">
      <c r="I8830" s="225"/>
      <c r="K8830" s="9"/>
      <c r="L8830" s="9"/>
    </row>
    <row r="8831" s="105" customFormat="1" spans="9:12">
      <c r="I8831" s="225"/>
      <c r="K8831" s="9"/>
      <c r="L8831" s="9"/>
    </row>
    <row r="8832" s="105" customFormat="1" spans="9:12">
      <c r="I8832" s="225"/>
      <c r="K8832" s="9"/>
      <c r="L8832" s="9"/>
    </row>
    <row r="8833" s="105" customFormat="1" spans="9:12">
      <c r="I8833" s="225"/>
      <c r="K8833" s="9"/>
      <c r="L8833" s="9"/>
    </row>
    <row r="8834" s="105" customFormat="1" spans="9:12">
      <c r="I8834" s="225"/>
      <c r="K8834" s="9"/>
      <c r="L8834" s="9"/>
    </row>
    <row r="8835" s="105" customFormat="1" spans="9:12">
      <c r="I8835" s="225"/>
      <c r="K8835" s="9"/>
      <c r="L8835" s="9"/>
    </row>
    <row r="8836" s="105" customFormat="1" spans="9:12">
      <c r="I8836" s="225"/>
      <c r="K8836" s="9"/>
      <c r="L8836" s="9"/>
    </row>
    <row r="8837" s="105" customFormat="1" spans="9:12">
      <c r="I8837" s="225"/>
      <c r="K8837" s="9"/>
      <c r="L8837" s="9"/>
    </row>
    <row r="8838" s="105" customFormat="1" spans="9:12">
      <c r="I8838" s="225"/>
      <c r="K8838" s="9"/>
      <c r="L8838" s="9"/>
    </row>
    <row r="8839" s="105" customFormat="1" spans="9:12">
      <c r="I8839" s="225"/>
      <c r="K8839" s="9"/>
      <c r="L8839" s="9"/>
    </row>
    <row r="8840" s="105" customFormat="1" spans="9:12">
      <c r="I8840" s="225"/>
      <c r="K8840" s="9"/>
      <c r="L8840" s="9"/>
    </row>
    <row r="8841" s="105" customFormat="1" spans="9:12">
      <c r="I8841" s="225"/>
      <c r="K8841" s="9"/>
      <c r="L8841" s="9"/>
    </row>
    <row r="8842" s="105" customFormat="1" spans="9:12">
      <c r="I8842" s="225"/>
      <c r="K8842" s="9"/>
      <c r="L8842" s="9"/>
    </row>
    <row r="8843" s="105" customFormat="1" spans="9:12">
      <c r="I8843" s="225"/>
      <c r="K8843" s="9"/>
      <c r="L8843" s="9"/>
    </row>
    <row r="8844" s="105" customFormat="1" spans="9:12">
      <c r="I8844" s="225"/>
      <c r="K8844" s="9"/>
      <c r="L8844" s="9"/>
    </row>
    <row r="8845" s="105" customFormat="1" spans="9:12">
      <c r="I8845" s="225"/>
      <c r="K8845" s="9"/>
      <c r="L8845" s="9"/>
    </row>
    <row r="8846" s="105" customFormat="1" spans="9:12">
      <c r="I8846" s="225"/>
      <c r="K8846" s="9"/>
      <c r="L8846" s="9"/>
    </row>
    <row r="8847" s="105" customFormat="1" spans="9:12">
      <c r="I8847" s="225"/>
      <c r="K8847" s="9"/>
      <c r="L8847" s="9"/>
    </row>
    <row r="8848" s="105" customFormat="1" spans="9:12">
      <c r="I8848" s="225"/>
      <c r="K8848" s="9"/>
      <c r="L8848" s="9"/>
    </row>
    <row r="8849" s="105" customFormat="1" spans="9:12">
      <c r="I8849" s="225"/>
      <c r="K8849" s="9"/>
      <c r="L8849" s="9"/>
    </row>
    <row r="8850" s="105" customFormat="1" spans="9:12">
      <c r="I8850" s="225"/>
      <c r="K8850" s="9"/>
      <c r="L8850" s="9"/>
    </row>
    <row r="8851" s="105" customFormat="1" spans="9:12">
      <c r="I8851" s="225"/>
      <c r="K8851" s="9"/>
      <c r="L8851" s="9"/>
    </row>
    <row r="8852" s="105" customFormat="1" spans="9:12">
      <c r="I8852" s="225"/>
      <c r="K8852" s="9"/>
      <c r="L8852" s="9"/>
    </row>
    <row r="8853" s="105" customFormat="1" spans="9:12">
      <c r="I8853" s="225"/>
      <c r="K8853" s="9"/>
      <c r="L8853" s="9"/>
    </row>
    <row r="8854" s="105" customFormat="1" spans="9:12">
      <c r="I8854" s="225"/>
      <c r="K8854" s="9"/>
      <c r="L8854" s="9"/>
    </row>
    <row r="8855" s="105" customFormat="1" spans="9:12">
      <c r="I8855" s="225"/>
      <c r="K8855" s="9"/>
      <c r="L8855" s="9"/>
    </row>
    <row r="8856" s="105" customFormat="1" spans="9:12">
      <c r="I8856" s="225"/>
      <c r="K8856" s="9"/>
      <c r="L8856" s="9"/>
    </row>
    <row r="8857" s="105" customFormat="1" spans="9:12">
      <c r="I8857" s="225"/>
      <c r="K8857" s="9"/>
      <c r="L8857" s="9"/>
    </row>
    <row r="8858" s="105" customFormat="1" spans="9:12">
      <c r="I8858" s="225"/>
      <c r="K8858" s="9"/>
      <c r="L8858" s="9"/>
    </row>
    <row r="8859" s="105" customFormat="1" spans="9:12">
      <c r="I8859" s="225"/>
      <c r="K8859" s="9"/>
      <c r="L8859" s="9"/>
    </row>
    <row r="8860" s="105" customFormat="1" spans="9:12">
      <c r="I8860" s="225"/>
      <c r="K8860" s="9"/>
      <c r="L8860" s="9"/>
    </row>
    <row r="8861" s="105" customFormat="1" spans="9:12">
      <c r="I8861" s="225"/>
      <c r="K8861" s="9"/>
      <c r="L8861" s="9"/>
    </row>
    <row r="8862" s="105" customFormat="1" spans="9:12">
      <c r="I8862" s="225"/>
      <c r="K8862" s="9"/>
      <c r="L8862" s="9"/>
    </row>
    <row r="8863" s="105" customFormat="1" spans="9:12">
      <c r="I8863" s="225"/>
      <c r="K8863" s="9"/>
      <c r="L8863" s="9"/>
    </row>
    <row r="8864" s="105" customFormat="1" spans="9:12">
      <c r="I8864" s="225"/>
      <c r="K8864" s="9"/>
      <c r="L8864" s="9"/>
    </row>
    <row r="8865" s="105" customFormat="1" spans="9:12">
      <c r="I8865" s="225"/>
      <c r="K8865" s="9"/>
      <c r="L8865" s="9"/>
    </row>
    <row r="8866" s="105" customFormat="1" spans="9:12">
      <c r="I8866" s="225"/>
      <c r="K8866" s="9"/>
      <c r="L8866" s="9"/>
    </row>
    <row r="8867" s="105" customFormat="1" spans="9:12">
      <c r="I8867" s="225"/>
      <c r="K8867" s="9"/>
      <c r="L8867" s="9"/>
    </row>
    <row r="8868" s="105" customFormat="1" spans="9:12">
      <c r="I8868" s="225"/>
      <c r="K8868" s="9"/>
      <c r="L8868" s="9"/>
    </row>
    <row r="8869" s="105" customFormat="1" spans="9:12">
      <c r="I8869" s="225"/>
      <c r="K8869" s="9"/>
      <c r="L8869" s="9"/>
    </row>
    <row r="8870" s="105" customFormat="1" spans="9:12">
      <c r="I8870" s="225"/>
      <c r="K8870" s="9"/>
      <c r="L8870" s="9"/>
    </row>
    <row r="8871" s="105" customFormat="1" spans="9:12">
      <c r="I8871" s="225"/>
      <c r="K8871" s="9"/>
      <c r="L8871" s="9"/>
    </row>
    <row r="8872" s="105" customFormat="1" spans="9:12">
      <c r="I8872" s="225"/>
      <c r="K8872" s="9"/>
      <c r="L8872" s="9"/>
    </row>
    <row r="8873" s="105" customFormat="1" spans="9:12">
      <c r="I8873" s="225"/>
      <c r="K8873" s="9"/>
      <c r="L8873" s="9"/>
    </row>
    <row r="8874" s="105" customFormat="1" spans="9:12">
      <c r="I8874" s="225"/>
      <c r="K8874" s="9"/>
      <c r="L8874" s="9"/>
    </row>
    <row r="8875" s="105" customFormat="1" spans="9:12">
      <c r="I8875" s="225"/>
      <c r="K8875" s="9"/>
      <c r="L8875" s="9"/>
    </row>
    <row r="8876" s="105" customFormat="1" spans="9:12">
      <c r="I8876" s="225"/>
      <c r="K8876" s="9"/>
      <c r="L8876" s="9"/>
    </row>
    <row r="8877" s="105" customFormat="1" spans="9:12">
      <c r="I8877" s="225"/>
      <c r="K8877" s="9"/>
      <c r="L8877" s="9"/>
    </row>
    <row r="8878" s="105" customFormat="1" spans="9:12">
      <c r="I8878" s="225"/>
      <c r="K8878" s="9"/>
      <c r="L8878" s="9"/>
    </row>
    <row r="8879" s="105" customFormat="1" spans="9:12">
      <c r="I8879" s="225"/>
      <c r="K8879" s="9"/>
      <c r="L8879" s="9"/>
    </row>
    <row r="8880" s="105" customFormat="1" spans="9:12">
      <c r="I8880" s="225"/>
      <c r="K8880" s="9"/>
      <c r="L8880" s="9"/>
    </row>
    <row r="8881" s="105" customFormat="1" spans="9:12">
      <c r="I8881" s="225"/>
      <c r="K8881" s="9"/>
      <c r="L8881" s="9"/>
    </row>
    <row r="8882" s="105" customFormat="1" spans="9:12">
      <c r="I8882" s="225"/>
      <c r="K8882" s="9"/>
      <c r="L8882" s="9"/>
    </row>
    <row r="8883" s="105" customFormat="1" spans="9:12">
      <c r="I8883" s="225"/>
      <c r="K8883" s="9"/>
      <c r="L8883" s="9"/>
    </row>
    <row r="8884" s="105" customFormat="1" spans="9:12">
      <c r="I8884" s="225"/>
      <c r="K8884" s="9"/>
      <c r="L8884" s="9"/>
    </row>
    <row r="8885" s="105" customFormat="1" spans="9:12">
      <c r="I8885" s="225"/>
      <c r="K8885" s="9"/>
      <c r="L8885" s="9"/>
    </row>
    <row r="8886" s="105" customFormat="1" spans="9:12">
      <c r="I8886" s="225"/>
      <c r="K8886" s="9"/>
      <c r="L8886" s="9"/>
    </row>
    <row r="8887" s="105" customFormat="1" spans="9:12">
      <c r="I8887" s="225"/>
      <c r="K8887" s="9"/>
      <c r="L8887" s="9"/>
    </row>
    <row r="8888" s="105" customFormat="1" spans="9:12">
      <c r="I8888" s="225"/>
      <c r="K8888" s="9"/>
      <c r="L8888" s="9"/>
    </row>
    <row r="8889" s="105" customFormat="1" spans="9:12">
      <c r="I8889" s="225"/>
      <c r="K8889" s="9"/>
      <c r="L8889" s="9"/>
    </row>
    <row r="8890" s="105" customFormat="1" spans="9:12">
      <c r="I8890" s="225"/>
      <c r="K8890" s="9"/>
      <c r="L8890" s="9"/>
    </row>
    <row r="8891" s="105" customFormat="1" spans="9:12">
      <c r="I8891" s="225"/>
      <c r="K8891" s="9"/>
      <c r="L8891" s="9"/>
    </row>
    <row r="8892" s="105" customFormat="1" spans="9:12">
      <c r="I8892" s="225"/>
      <c r="K8892" s="9"/>
      <c r="L8892" s="9"/>
    </row>
    <row r="8893" s="105" customFormat="1" spans="9:12">
      <c r="I8893" s="225"/>
      <c r="K8893" s="9"/>
      <c r="L8893" s="9"/>
    </row>
    <row r="8894" s="105" customFormat="1" spans="9:12">
      <c r="I8894" s="225"/>
      <c r="K8894" s="9"/>
      <c r="L8894" s="9"/>
    </row>
    <row r="8895" s="105" customFormat="1" spans="9:12">
      <c r="I8895" s="225"/>
      <c r="K8895" s="9"/>
      <c r="L8895" s="9"/>
    </row>
    <row r="8896" s="105" customFormat="1" spans="9:12">
      <c r="I8896" s="225"/>
      <c r="K8896" s="9"/>
      <c r="L8896" s="9"/>
    </row>
    <row r="8897" s="105" customFormat="1" spans="9:12">
      <c r="I8897" s="225"/>
      <c r="K8897" s="9"/>
      <c r="L8897" s="9"/>
    </row>
    <row r="8898" s="105" customFormat="1" spans="9:12">
      <c r="I8898" s="225"/>
      <c r="K8898" s="9"/>
      <c r="L8898" s="9"/>
    </row>
    <row r="8899" s="105" customFormat="1" spans="9:12">
      <c r="I8899" s="225"/>
      <c r="K8899" s="9"/>
      <c r="L8899" s="9"/>
    </row>
    <row r="8900" s="105" customFormat="1" spans="9:12">
      <c r="I8900" s="225"/>
      <c r="K8900" s="9"/>
      <c r="L8900" s="9"/>
    </row>
    <row r="8901" s="105" customFormat="1" spans="9:12">
      <c r="I8901" s="225"/>
      <c r="K8901" s="9"/>
      <c r="L8901" s="9"/>
    </row>
    <row r="8902" s="105" customFormat="1" spans="9:12">
      <c r="I8902" s="225"/>
      <c r="K8902" s="9"/>
      <c r="L8902" s="9"/>
    </row>
    <row r="8903" s="105" customFormat="1" spans="9:12">
      <c r="I8903" s="225"/>
      <c r="K8903" s="9"/>
      <c r="L8903" s="9"/>
    </row>
    <row r="8904" s="105" customFormat="1" spans="9:12">
      <c r="I8904" s="225"/>
      <c r="K8904" s="9"/>
      <c r="L8904" s="9"/>
    </row>
    <row r="8905" s="105" customFormat="1" spans="9:12">
      <c r="I8905" s="225"/>
      <c r="K8905" s="9"/>
      <c r="L8905" s="9"/>
    </row>
    <row r="8906" s="105" customFormat="1" spans="9:12">
      <c r="I8906" s="225"/>
      <c r="K8906" s="9"/>
      <c r="L8906" s="9"/>
    </row>
    <row r="8907" s="105" customFormat="1" spans="9:12">
      <c r="I8907" s="225"/>
      <c r="K8907" s="9"/>
      <c r="L8907" s="9"/>
    </row>
    <row r="8908" s="105" customFormat="1" spans="9:12">
      <c r="I8908" s="225"/>
      <c r="K8908" s="9"/>
      <c r="L8908" s="9"/>
    </row>
    <row r="8909" s="105" customFormat="1" spans="9:12">
      <c r="I8909" s="225"/>
      <c r="K8909" s="9"/>
      <c r="L8909" s="9"/>
    </row>
    <row r="8910" s="105" customFormat="1" spans="9:12">
      <c r="I8910" s="225"/>
      <c r="K8910" s="9"/>
      <c r="L8910" s="9"/>
    </row>
    <row r="8911" s="105" customFormat="1" spans="9:12">
      <c r="I8911" s="225"/>
      <c r="K8911" s="9"/>
      <c r="L8911" s="9"/>
    </row>
    <row r="8912" s="105" customFormat="1" spans="9:12">
      <c r="I8912" s="225"/>
      <c r="K8912" s="9"/>
      <c r="L8912" s="9"/>
    </row>
    <row r="8913" s="105" customFormat="1" spans="9:12">
      <c r="I8913" s="225"/>
      <c r="K8913" s="9"/>
      <c r="L8913" s="9"/>
    </row>
    <row r="8914" s="105" customFormat="1" spans="9:12">
      <c r="I8914" s="225"/>
      <c r="K8914" s="9"/>
      <c r="L8914" s="9"/>
    </row>
    <row r="8915" s="105" customFormat="1" spans="9:12">
      <c r="I8915" s="225"/>
      <c r="K8915" s="9"/>
      <c r="L8915" s="9"/>
    </row>
    <row r="8916" s="105" customFormat="1" spans="9:12">
      <c r="I8916" s="225"/>
      <c r="K8916" s="9"/>
      <c r="L8916" s="9"/>
    </row>
    <row r="8917" s="105" customFormat="1" spans="9:12">
      <c r="I8917" s="225"/>
      <c r="K8917" s="9"/>
      <c r="L8917" s="9"/>
    </row>
    <row r="8918" s="105" customFormat="1" spans="9:12">
      <c r="I8918" s="225"/>
      <c r="K8918" s="9"/>
      <c r="L8918" s="9"/>
    </row>
    <row r="8919" s="105" customFormat="1" spans="9:12">
      <c r="I8919" s="225"/>
      <c r="K8919" s="9"/>
      <c r="L8919" s="9"/>
    </row>
    <row r="8920" s="105" customFormat="1" spans="9:12">
      <c r="I8920" s="225"/>
      <c r="K8920" s="9"/>
      <c r="L8920" s="9"/>
    </row>
    <row r="8921" s="105" customFormat="1" spans="9:12">
      <c r="I8921" s="225"/>
      <c r="K8921" s="9"/>
      <c r="L8921" s="9"/>
    </row>
    <row r="8922" s="105" customFormat="1" spans="9:12">
      <c r="I8922" s="225"/>
      <c r="K8922" s="9"/>
      <c r="L8922" s="9"/>
    </row>
    <row r="8923" s="105" customFormat="1" spans="9:12">
      <c r="I8923" s="225"/>
      <c r="K8923" s="9"/>
      <c r="L8923" s="9"/>
    </row>
    <row r="8924" s="105" customFormat="1" spans="9:12">
      <c r="I8924" s="225"/>
      <c r="K8924" s="9"/>
      <c r="L8924" s="9"/>
    </row>
    <row r="8925" s="105" customFormat="1" spans="9:12">
      <c r="I8925" s="225"/>
      <c r="K8925" s="9"/>
      <c r="L8925" s="9"/>
    </row>
    <row r="8926" s="105" customFormat="1" spans="9:12">
      <c r="I8926" s="225"/>
      <c r="K8926" s="9"/>
      <c r="L8926" s="9"/>
    </row>
    <row r="8927" s="105" customFormat="1" spans="9:12">
      <c r="I8927" s="225"/>
      <c r="K8927" s="9"/>
      <c r="L8927" s="9"/>
    </row>
    <row r="8928" s="105" customFormat="1" spans="9:12">
      <c r="I8928" s="225"/>
      <c r="K8928" s="9"/>
      <c r="L8928" s="9"/>
    </row>
    <row r="8929" s="105" customFormat="1" spans="9:12">
      <c r="I8929" s="225"/>
      <c r="K8929" s="9"/>
      <c r="L8929" s="9"/>
    </row>
    <row r="8930" s="105" customFormat="1" spans="9:12">
      <c r="I8930" s="225"/>
      <c r="K8930" s="9"/>
      <c r="L8930" s="9"/>
    </row>
    <row r="8931" s="105" customFormat="1" spans="9:12">
      <c r="I8931" s="225"/>
      <c r="K8931" s="9"/>
      <c r="L8931" s="9"/>
    </row>
    <row r="8932" s="105" customFormat="1" spans="9:12">
      <c r="I8932" s="225"/>
      <c r="K8932" s="9"/>
      <c r="L8932" s="9"/>
    </row>
    <row r="8933" s="105" customFormat="1" spans="9:12">
      <c r="I8933" s="225"/>
      <c r="K8933" s="9"/>
      <c r="L8933" s="9"/>
    </row>
    <row r="8934" s="105" customFormat="1" spans="9:12">
      <c r="I8934" s="225"/>
      <c r="K8934" s="9"/>
      <c r="L8934" s="9"/>
    </row>
    <row r="8935" s="105" customFormat="1" spans="9:12">
      <c r="I8935" s="225"/>
      <c r="K8935" s="9"/>
      <c r="L8935" s="9"/>
    </row>
    <row r="8936" s="105" customFormat="1" spans="9:12">
      <c r="I8936" s="225"/>
      <c r="K8936" s="9"/>
      <c r="L8936" s="9"/>
    </row>
    <row r="8937" s="105" customFormat="1" spans="9:12">
      <c r="I8937" s="225"/>
      <c r="K8937" s="9"/>
      <c r="L8937" s="9"/>
    </row>
    <row r="8938" s="105" customFormat="1" spans="9:12">
      <c r="I8938" s="225"/>
      <c r="K8938" s="9"/>
      <c r="L8938" s="9"/>
    </row>
    <row r="8939" s="105" customFormat="1" spans="9:12">
      <c r="I8939" s="225"/>
      <c r="K8939" s="9"/>
      <c r="L8939" s="9"/>
    </row>
    <row r="8940" s="105" customFormat="1" spans="9:12">
      <c r="I8940" s="225"/>
      <c r="K8940" s="9"/>
      <c r="L8940" s="9"/>
    </row>
    <row r="8941" s="105" customFormat="1" spans="9:12">
      <c r="I8941" s="225"/>
      <c r="K8941" s="9"/>
      <c r="L8941" s="9"/>
    </row>
    <row r="8942" s="105" customFormat="1" spans="9:12">
      <c r="I8942" s="225"/>
      <c r="K8942" s="9"/>
      <c r="L8942" s="9"/>
    </row>
    <row r="8943" s="105" customFormat="1" spans="9:12">
      <c r="I8943" s="225"/>
      <c r="K8943" s="9"/>
      <c r="L8943" s="9"/>
    </row>
    <row r="8944" s="105" customFormat="1" spans="9:12">
      <c r="I8944" s="225"/>
      <c r="K8944" s="9"/>
      <c r="L8944" s="9"/>
    </row>
    <row r="8945" s="105" customFormat="1" spans="9:12">
      <c r="I8945" s="225"/>
      <c r="K8945" s="9"/>
      <c r="L8945" s="9"/>
    </row>
    <row r="8946" s="105" customFormat="1" spans="9:12">
      <c r="I8946" s="225"/>
      <c r="K8946" s="9"/>
      <c r="L8946" s="9"/>
    </row>
    <row r="8947" s="105" customFormat="1" spans="9:12">
      <c r="I8947" s="225"/>
      <c r="K8947" s="9"/>
      <c r="L8947" s="9"/>
    </row>
    <row r="8948" s="105" customFormat="1" spans="9:12">
      <c r="I8948" s="225"/>
      <c r="K8948" s="9"/>
      <c r="L8948" s="9"/>
    </row>
    <row r="8949" s="105" customFormat="1" spans="9:12">
      <c r="I8949" s="225"/>
      <c r="K8949" s="9"/>
      <c r="L8949" s="9"/>
    </row>
    <row r="8950" s="105" customFormat="1" spans="9:12">
      <c r="I8950" s="225"/>
      <c r="K8950" s="9"/>
      <c r="L8950" s="9"/>
    </row>
    <row r="8951" s="105" customFormat="1" spans="9:12">
      <c r="I8951" s="225"/>
      <c r="K8951" s="9"/>
      <c r="L8951" s="9"/>
    </row>
    <row r="8952" s="105" customFormat="1" spans="9:12">
      <c r="I8952" s="225"/>
      <c r="K8952" s="9"/>
      <c r="L8952" s="9"/>
    </row>
    <row r="8953" s="105" customFormat="1" spans="9:12">
      <c r="I8953" s="225"/>
      <c r="K8953" s="9"/>
      <c r="L8953" s="9"/>
    </row>
    <row r="8954" s="105" customFormat="1" spans="9:12">
      <c r="I8954" s="225"/>
      <c r="K8954" s="9"/>
      <c r="L8954" s="9"/>
    </row>
    <row r="8955" s="105" customFormat="1" spans="9:12">
      <c r="I8955" s="225"/>
      <c r="K8955" s="9"/>
      <c r="L8955" s="9"/>
    </row>
    <row r="8956" s="105" customFormat="1" spans="9:12">
      <c r="I8956" s="225"/>
      <c r="K8956" s="9"/>
      <c r="L8956" s="9"/>
    </row>
    <row r="8957" s="105" customFormat="1" spans="9:12">
      <c r="I8957" s="225"/>
      <c r="K8957" s="9"/>
      <c r="L8957" s="9"/>
    </row>
    <row r="8958" s="105" customFormat="1" spans="9:12">
      <c r="I8958" s="225"/>
      <c r="K8958" s="9"/>
      <c r="L8958" s="9"/>
    </row>
    <row r="8959" s="105" customFormat="1" spans="9:12">
      <c r="I8959" s="225"/>
      <c r="K8959" s="9"/>
      <c r="L8959" s="9"/>
    </row>
    <row r="8960" s="105" customFormat="1" spans="9:12">
      <c r="I8960" s="225"/>
      <c r="K8960" s="9"/>
      <c r="L8960" s="9"/>
    </row>
    <row r="8961" s="105" customFormat="1" spans="9:12">
      <c r="I8961" s="225"/>
      <c r="K8961" s="9"/>
      <c r="L8961" s="9"/>
    </row>
    <row r="8962" s="105" customFormat="1" spans="9:12">
      <c r="I8962" s="225"/>
      <c r="K8962" s="9"/>
      <c r="L8962" s="9"/>
    </row>
    <row r="8963" s="105" customFormat="1" spans="9:12">
      <c r="I8963" s="225"/>
      <c r="K8963" s="9"/>
      <c r="L8963" s="9"/>
    </row>
    <row r="8964" s="105" customFormat="1" spans="9:12">
      <c r="I8964" s="225"/>
      <c r="K8964" s="9"/>
      <c r="L8964" s="9"/>
    </row>
    <row r="8965" s="105" customFormat="1" spans="9:12">
      <c r="I8965" s="225"/>
      <c r="K8965" s="9"/>
      <c r="L8965" s="9"/>
    </row>
    <row r="8966" s="105" customFormat="1" spans="9:12">
      <c r="I8966" s="225"/>
      <c r="K8966" s="9"/>
      <c r="L8966" s="9"/>
    </row>
    <row r="8967" s="105" customFormat="1" spans="9:12">
      <c r="I8967" s="225"/>
      <c r="K8967" s="9"/>
      <c r="L8967" s="9"/>
    </row>
    <row r="8968" s="105" customFormat="1" spans="9:12">
      <c r="I8968" s="225"/>
      <c r="K8968" s="9"/>
      <c r="L8968" s="9"/>
    </row>
    <row r="8969" s="105" customFormat="1" spans="9:12">
      <c r="I8969" s="225"/>
      <c r="K8969" s="9"/>
      <c r="L8969" s="9"/>
    </row>
    <row r="8970" s="105" customFormat="1" spans="9:12">
      <c r="I8970" s="225"/>
      <c r="K8970" s="9"/>
      <c r="L8970" s="9"/>
    </row>
    <row r="8971" s="105" customFormat="1" spans="9:12">
      <c r="I8971" s="225"/>
      <c r="K8971" s="9"/>
      <c r="L8971" s="9"/>
    </row>
    <row r="8972" s="105" customFormat="1" spans="9:12">
      <c r="I8972" s="225"/>
      <c r="K8972" s="9"/>
      <c r="L8972" s="9"/>
    </row>
    <row r="8973" s="105" customFormat="1" spans="9:12">
      <c r="I8973" s="225"/>
      <c r="K8973" s="9"/>
      <c r="L8973" s="9"/>
    </row>
    <row r="8974" s="105" customFormat="1" spans="9:12">
      <c r="I8974" s="225"/>
      <c r="K8974" s="9"/>
      <c r="L8974" s="9"/>
    </row>
    <row r="8975" s="105" customFormat="1" spans="9:12">
      <c r="I8975" s="225"/>
      <c r="K8975" s="9"/>
      <c r="L8975" s="9"/>
    </row>
    <row r="8976" s="105" customFormat="1" spans="9:12">
      <c r="I8976" s="225"/>
      <c r="K8976" s="9"/>
      <c r="L8976" s="9"/>
    </row>
    <row r="8977" s="105" customFormat="1" spans="9:12">
      <c r="I8977" s="225"/>
      <c r="K8977" s="9"/>
      <c r="L8977" s="9"/>
    </row>
    <row r="8978" s="105" customFormat="1" spans="9:12">
      <c r="I8978" s="225"/>
      <c r="K8978" s="9"/>
      <c r="L8978" s="9"/>
    </row>
    <row r="8979" s="105" customFormat="1" spans="9:12">
      <c r="I8979" s="225"/>
      <c r="K8979" s="9"/>
      <c r="L8979" s="9"/>
    </row>
    <row r="8980" s="105" customFormat="1" spans="9:12">
      <c r="I8980" s="225"/>
      <c r="K8980" s="9"/>
      <c r="L8980" s="9"/>
    </row>
    <row r="8981" s="105" customFormat="1" spans="9:12">
      <c r="I8981" s="225"/>
      <c r="K8981" s="9"/>
      <c r="L8981" s="9"/>
    </row>
    <row r="8982" s="105" customFormat="1" spans="9:12">
      <c r="I8982" s="225"/>
      <c r="K8982" s="9"/>
      <c r="L8982" s="9"/>
    </row>
    <row r="8983" s="105" customFormat="1" spans="9:12">
      <c r="I8983" s="225"/>
      <c r="K8983" s="9"/>
      <c r="L8983" s="9"/>
    </row>
    <row r="8984" s="105" customFormat="1" spans="9:12">
      <c r="I8984" s="225"/>
      <c r="K8984" s="9"/>
      <c r="L8984" s="9"/>
    </row>
    <row r="8985" s="105" customFormat="1" spans="9:12">
      <c r="I8985" s="225"/>
      <c r="K8985" s="9"/>
      <c r="L8985" s="9"/>
    </row>
    <row r="8986" s="105" customFormat="1" spans="9:12">
      <c r="I8986" s="225"/>
      <c r="K8986" s="9"/>
      <c r="L8986" s="9"/>
    </row>
    <row r="8987" s="105" customFormat="1" spans="9:12">
      <c r="I8987" s="225"/>
      <c r="K8987" s="9"/>
      <c r="L8987" s="9"/>
    </row>
    <row r="8988" s="105" customFormat="1" spans="9:12">
      <c r="I8988" s="225"/>
      <c r="K8988" s="9"/>
      <c r="L8988" s="9"/>
    </row>
    <row r="8989" s="105" customFormat="1" spans="9:12">
      <c r="I8989" s="225"/>
      <c r="K8989" s="9"/>
      <c r="L8989" s="9"/>
    </row>
    <row r="8990" s="105" customFormat="1" spans="9:12">
      <c r="I8990" s="225"/>
      <c r="K8990" s="9"/>
      <c r="L8990" s="9"/>
    </row>
    <row r="8991" s="105" customFormat="1" spans="9:12">
      <c r="I8991" s="225"/>
      <c r="K8991" s="9"/>
      <c r="L8991" s="9"/>
    </row>
    <row r="8992" s="105" customFormat="1" spans="9:12">
      <c r="I8992" s="225"/>
      <c r="K8992" s="9"/>
      <c r="L8992" s="9"/>
    </row>
    <row r="8993" s="105" customFormat="1" spans="9:12">
      <c r="I8993" s="225"/>
      <c r="K8993" s="9"/>
      <c r="L8993" s="9"/>
    </row>
    <row r="8994" s="105" customFormat="1" spans="9:12">
      <c r="I8994" s="225"/>
      <c r="K8994" s="9"/>
      <c r="L8994" s="9"/>
    </row>
    <row r="8995" s="105" customFormat="1" spans="9:12">
      <c r="I8995" s="225"/>
      <c r="K8995" s="9"/>
      <c r="L8995" s="9"/>
    </row>
    <row r="8996" s="105" customFormat="1" spans="9:12">
      <c r="I8996" s="225"/>
      <c r="K8996" s="9"/>
      <c r="L8996" s="9"/>
    </row>
    <row r="8997" s="105" customFormat="1" spans="9:12">
      <c r="I8997" s="225"/>
      <c r="K8997" s="9"/>
      <c r="L8997" s="9"/>
    </row>
    <row r="8998" s="105" customFormat="1" spans="9:12">
      <c r="I8998" s="225"/>
      <c r="K8998" s="9"/>
      <c r="L8998" s="9"/>
    </row>
    <row r="8999" s="105" customFormat="1" spans="9:12">
      <c r="I8999" s="225"/>
      <c r="K8999" s="9"/>
      <c r="L8999" s="9"/>
    </row>
    <row r="9000" s="105" customFormat="1" spans="9:12">
      <c r="I9000" s="225"/>
      <c r="K9000" s="9"/>
      <c r="L9000" s="9"/>
    </row>
    <row r="9001" s="105" customFormat="1" spans="9:12">
      <c r="I9001" s="225"/>
      <c r="K9001" s="9"/>
      <c r="L9001" s="9"/>
    </row>
    <row r="9002" s="105" customFormat="1" spans="9:12">
      <c r="I9002" s="225"/>
      <c r="K9002" s="9"/>
      <c r="L9002" s="9"/>
    </row>
    <row r="9003" s="105" customFormat="1" spans="9:12">
      <c r="I9003" s="225"/>
      <c r="K9003" s="9"/>
      <c r="L9003" s="9"/>
    </row>
    <row r="9004" s="105" customFormat="1" spans="9:12">
      <c r="I9004" s="225"/>
      <c r="K9004" s="9"/>
      <c r="L9004" s="9"/>
    </row>
    <row r="9005" s="105" customFormat="1" spans="9:12">
      <c r="I9005" s="225"/>
      <c r="K9005" s="9"/>
      <c r="L9005" s="9"/>
    </row>
    <row r="9006" s="105" customFormat="1" spans="9:12">
      <c r="I9006" s="225"/>
      <c r="K9006" s="9"/>
      <c r="L9006" s="9"/>
    </row>
    <row r="9007" s="105" customFormat="1" spans="9:12">
      <c r="I9007" s="225"/>
      <c r="K9007" s="9"/>
      <c r="L9007" s="9"/>
    </row>
    <row r="9008" s="105" customFormat="1" spans="9:12">
      <c r="I9008" s="225"/>
      <c r="K9008" s="9"/>
      <c r="L9008" s="9"/>
    </row>
    <row r="9009" s="105" customFormat="1" spans="9:12">
      <c r="I9009" s="225"/>
      <c r="K9009" s="9"/>
      <c r="L9009" s="9"/>
    </row>
    <row r="9010" s="105" customFormat="1" spans="9:12">
      <c r="I9010" s="225"/>
      <c r="K9010" s="9"/>
      <c r="L9010" s="9"/>
    </row>
    <row r="9011" s="105" customFormat="1" spans="9:12">
      <c r="I9011" s="225"/>
      <c r="K9011" s="9"/>
      <c r="L9011" s="9"/>
    </row>
    <row r="9012" s="105" customFormat="1" spans="9:12">
      <c r="I9012" s="225"/>
      <c r="K9012" s="9"/>
      <c r="L9012" s="9"/>
    </row>
    <row r="9013" s="105" customFormat="1" spans="9:12">
      <c r="I9013" s="225"/>
      <c r="K9013" s="9"/>
      <c r="L9013" s="9"/>
    </row>
    <row r="9014" s="105" customFormat="1" spans="9:12">
      <c r="I9014" s="225"/>
      <c r="K9014" s="9"/>
      <c r="L9014" s="9"/>
    </row>
    <row r="9015" s="105" customFormat="1" spans="9:12">
      <c r="I9015" s="225"/>
      <c r="K9015" s="9"/>
      <c r="L9015" s="9"/>
    </row>
    <row r="9016" s="105" customFormat="1" spans="9:12">
      <c r="I9016" s="225"/>
      <c r="K9016" s="9"/>
      <c r="L9016" s="9"/>
    </row>
    <row r="9017" s="105" customFormat="1" spans="9:12">
      <c r="I9017" s="225"/>
      <c r="K9017" s="9"/>
      <c r="L9017" s="9"/>
    </row>
    <row r="9018" s="105" customFormat="1" spans="9:12">
      <c r="I9018" s="225"/>
      <c r="K9018" s="9"/>
      <c r="L9018" s="9"/>
    </row>
    <row r="9019" s="105" customFormat="1" spans="9:12">
      <c r="I9019" s="225"/>
      <c r="K9019" s="9"/>
      <c r="L9019" s="9"/>
    </row>
    <row r="9020" s="105" customFormat="1" spans="9:12">
      <c r="I9020" s="225"/>
      <c r="K9020" s="9"/>
      <c r="L9020" s="9"/>
    </row>
    <row r="9021" s="105" customFormat="1" spans="9:12">
      <c r="I9021" s="225"/>
      <c r="K9021" s="9"/>
      <c r="L9021" s="9"/>
    </row>
    <row r="9022" s="105" customFormat="1" spans="9:12">
      <c r="I9022" s="225"/>
      <c r="K9022" s="9"/>
      <c r="L9022" s="9"/>
    </row>
    <row r="9023" s="105" customFormat="1" spans="9:12">
      <c r="I9023" s="225"/>
      <c r="K9023" s="9"/>
      <c r="L9023" s="9"/>
    </row>
    <row r="9024" s="105" customFormat="1" spans="9:12">
      <c r="I9024" s="225"/>
      <c r="K9024" s="9"/>
      <c r="L9024" s="9"/>
    </row>
    <row r="9025" s="105" customFormat="1" spans="9:12">
      <c r="I9025" s="225"/>
      <c r="K9025" s="9"/>
      <c r="L9025" s="9"/>
    </row>
    <row r="9026" s="105" customFormat="1" spans="9:12">
      <c r="I9026" s="225"/>
      <c r="K9026" s="9"/>
      <c r="L9026" s="9"/>
    </row>
    <row r="9027" s="105" customFormat="1" spans="9:12">
      <c r="I9027" s="225"/>
      <c r="K9027" s="9"/>
      <c r="L9027" s="9"/>
    </row>
    <row r="9028" s="105" customFormat="1" spans="9:12">
      <c r="I9028" s="225"/>
      <c r="K9028" s="9"/>
      <c r="L9028" s="9"/>
    </row>
    <row r="9029" s="105" customFormat="1" spans="9:12">
      <c r="I9029" s="225"/>
      <c r="K9029" s="9"/>
      <c r="L9029" s="9"/>
    </row>
    <row r="9030" s="105" customFormat="1" spans="9:12">
      <c r="I9030" s="225"/>
      <c r="K9030" s="9"/>
      <c r="L9030" s="9"/>
    </row>
    <row r="9031" s="105" customFormat="1" spans="9:12">
      <c r="I9031" s="225"/>
      <c r="K9031" s="9"/>
      <c r="L9031" s="9"/>
    </row>
    <row r="9032" s="105" customFormat="1" spans="9:12">
      <c r="I9032" s="225"/>
      <c r="K9032" s="9"/>
      <c r="L9032" s="9"/>
    </row>
    <row r="9033" s="105" customFormat="1" spans="9:12">
      <c r="I9033" s="225"/>
      <c r="K9033" s="9"/>
      <c r="L9033" s="9"/>
    </row>
    <row r="9034" s="105" customFormat="1" spans="9:12">
      <c r="I9034" s="225"/>
      <c r="K9034" s="9"/>
      <c r="L9034" s="9"/>
    </row>
    <row r="9035" s="105" customFormat="1" spans="9:12">
      <c r="I9035" s="225"/>
      <c r="K9035" s="9"/>
      <c r="L9035" s="9"/>
    </row>
    <row r="9036" s="105" customFormat="1" spans="9:12">
      <c r="I9036" s="225"/>
      <c r="K9036" s="9"/>
      <c r="L9036" s="9"/>
    </row>
    <row r="9037" s="105" customFormat="1" spans="9:12">
      <c r="I9037" s="225"/>
      <c r="K9037" s="9"/>
      <c r="L9037" s="9"/>
    </row>
    <row r="9038" s="105" customFormat="1" spans="9:12">
      <c r="I9038" s="225"/>
      <c r="K9038" s="9"/>
      <c r="L9038" s="9"/>
    </row>
    <row r="9039" s="105" customFormat="1" spans="9:12">
      <c r="I9039" s="225"/>
      <c r="K9039" s="9"/>
      <c r="L9039" s="9"/>
    </row>
    <row r="9040" s="105" customFormat="1" spans="9:12">
      <c r="I9040" s="225"/>
      <c r="K9040" s="9"/>
      <c r="L9040" s="9"/>
    </row>
    <row r="9041" s="105" customFormat="1" spans="9:12">
      <c r="I9041" s="225"/>
      <c r="K9041" s="9"/>
      <c r="L9041" s="9"/>
    </row>
    <row r="9042" s="105" customFormat="1" spans="9:12">
      <c r="I9042" s="225"/>
      <c r="K9042" s="9"/>
      <c r="L9042" s="9"/>
    </row>
    <row r="9043" s="105" customFormat="1" spans="9:12">
      <c r="I9043" s="225"/>
      <c r="K9043" s="9"/>
      <c r="L9043" s="9"/>
    </row>
    <row r="9044" s="105" customFormat="1" spans="9:12">
      <c r="I9044" s="225"/>
      <c r="K9044" s="9"/>
      <c r="L9044" s="9"/>
    </row>
    <row r="9045" s="105" customFormat="1" spans="9:12">
      <c r="I9045" s="225"/>
      <c r="K9045" s="9"/>
      <c r="L9045" s="9"/>
    </row>
    <row r="9046" s="105" customFormat="1" spans="9:12">
      <c r="I9046" s="225"/>
      <c r="K9046" s="9"/>
      <c r="L9046" s="9"/>
    </row>
    <row r="9047" s="105" customFormat="1" spans="9:12">
      <c r="I9047" s="225"/>
      <c r="K9047" s="9"/>
      <c r="L9047" s="9"/>
    </row>
    <row r="9048" s="105" customFormat="1" spans="9:12">
      <c r="I9048" s="225"/>
      <c r="K9048" s="9"/>
      <c r="L9048" s="9"/>
    </row>
    <row r="9049" s="105" customFormat="1" spans="9:12">
      <c r="I9049" s="225"/>
      <c r="K9049" s="9"/>
      <c r="L9049" s="9"/>
    </row>
    <row r="9050" s="105" customFormat="1" spans="9:12">
      <c r="I9050" s="225"/>
      <c r="K9050" s="9"/>
      <c r="L9050" s="9"/>
    </row>
    <row r="9051" s="105" customFormat="1" spans="9:12">
      <c r="I9051" s="225"/>
      <c r="K9051" s="9"/>
      <c r="L9051" s="9"/>
    </row>
    <row r="9052" s="105" customFormat="1" spans="9:12">
      <c r="I9052" s="225"/>
      <c r="K9052" s="9"/>
      <c r="L9052" s="9"/>
    </row>
    <row r="9053" s="105" customFormat="1" spans="9:12">
      <c r="I9053" s="225"/>
      <c r="K9053" s="9"/>
      <c r="L9053" s="9"/>
    </row>
    <row r="9054" s="105" customFormat="1" spans="9:12">
      <c r="I9054" s="225"/>
      <c r="K9054" s="9"/>
      <c r="L9054" s="9"/>
    </row>
    <row r="9055" s="105" customFormat="1" spans="9:12">
      <c r="I9055" s="225"/>
      <c r="K9055" s="9"/>
      <c r="L9055" s="9"/>
    </row>
    <row r="9056" s="105" customFormat="1" spans="9:12">
      <c r="I9056" s="225"/>
      <c r="K9056" s="9"/>
      <c r="L9056" s="9"/>
    </row>
    <row r="9057" s="105" customFormat="1" spans="9:12">
      <c r="I9057" s="225"/>
      <c r="K9057" s="9"/>
      <c r="L9057" s="9"/>
    </row>
    <row r="9058" s="105" customFormat="1" spans="9:12">
      <c r="I9058" s="225"/>
      <c r="K9058" s="9"/>
      <c r="L9058" s="9"/>
    </row>
    <row r="9059" s="105" customFormat="1" spans="9:12">
      <c r="I9059" s="225"/>
      <c r="K9059" s="9"/>
      <c r="L9059" s="9"/>
    </row>
    <row r="9060" s="105" customFormat="1" spans="9:12">
      <c r="I9060" s="225"/>
      <c r="K9060" s="9"/>
      <c r="L9060" s="9"/>
    </row>
    <row r="9061" s="105" customFormat="1" spans="9:12">
      <c r="I9061" s="225"/>
      <c r="K9061" s="9"/>
      <c r="L9061" s="9"/>
    </row>
    <row r="9062" s="105" customFormat="1" spans="9:12">
      <c r="I9062" s="225"/>
      <c r="K9062" s="9"/>
      <c r="L9062" s="9"/>
    </row>
    <row r="9063" s="105" customFormat="1" spans="9:12">
      <c r="I9063" s="225"/>
      <c r="K9063" s="9"/>
      <c r="L9063" s="9"/>
    </row>
    <row r="9064" s="105" customFormat="1" spans="9:12">
      <c r="I9064" s="225"/>
      <c r="K9064" s="9"/>
      <c r="L9064" s="9"/>
    </row>
    <row r="9065" s="105" customFormat="1" spans="9:12">
      <c r="I9065" s="225"/>
      <c r="K9065" s="9"/>
      <c r="L9065" s="9"/>
    </row>
    <row r="9066" s="105" customFormat="1" spans="9:12">
      <c r="I9066" s="225"/>
      <c r="K9066" s="9"/>
      <c r="L9066" s="9"/>
    </row>
    <row r="9067" s="105" customFormat="1" spans="9:12">
      <c r="I9067" s="225"/>
      <c r="K9067" s="9"/>
      <c r="L9067" s="9"/>
    </row>
    <row r="9068" s="105" customFormat="1" spans="9:12">
      <c r="I9068" s="225"/>
      <c r="K9068" s="9"/>
      <c r="L9068" s="9"/>
    </row>
    <row r="9069" s="105" customFormat="1" spans="9:12">
      <c r="I9069" s="225"/>
      <c r="K9069" s="9"/>
      <c r="L9069" s="9"/>
    </row>
    <row r="9070" s="105" customFormat="1" spans="9:12">
      <c r="I9070" s="225"/>
      <c r="K9070" s="9"/>
      <c r="L9070" s="9"/>
    </row>
    <row r="9071" s="105" customFormat="1" spans="9:12">
      <c r="I9071" s="225"/>
      <c r="K9071" s="9"/>
      <c r="L9071" s="9"/>
    </row>
    <row r="9072" s="105" customFormat="1" spans="9:12">
      <c r="I9072" s="225"/>
      <c r="K9072" s="9"/>
      <c r="L9072" s="9"/>
    </row>
    <row r="9073" s="105" customFormat="1" spans="9:12">
      <c r="I9073" s="225"/>
      <c r="K9073" s="9"/>
      <c r="L9073" s="9"/>
    </row>
    <row r="9074" s="105" customFormat="1" spans="9:12">
      <c r="I9074" s="225"/>
      <c r="K9074" s="9"/>
      <c r="L9074" s="9"/>
    </row>
    <row r="9075" s="105" customFormat="1" spans="9:12">
      <c r="I9075" s="225"/>
      <c r="K9075" s="9"/>
      <c r="L9075" s="9"/>
    </row>
    <row r="9076" s="105" customFormat="1" spans="9:12">
      <c r="I9076" s="225"/>
      <c r="K9076" s="9"/>
      <c r="L9076" s="9"/>
    </row>
    <row r="9077" s="105" customFormat="1" spans="9:12">
      <c r="I9077" s="225"/>
      <c r="K9077" s="9"/>
      <c r="L9077" s="9"/>
    </row>
    <row r="9078" s="105" customFormat="1" spans="9:12">
      <c r="I9078" s="225"/>
      <c r="K9078" s="9"/>
      <c r="L9078" s="9"/>
    </row>
    <row r="9079" s="105" customFormat="1" spans="9:12">
      <c r="I9079" s="225"/>
      <c r="K9079" s="9"/>
      <c r="L9079" s="9"/>
    </row>
    <row r="9080" s="105" customFormat="1" spans="9:12">
      <c r="I9080" s="225"/>
      <c r="K9080" s="9"/>
      <c r="L9080" s="9"/>
    </row>
    <row r="9081" s="105" customFormat="1" spans="9:12">
      <c r="I9081" s="225"/>
      <c r="K9081" s="9"/>
      <c r="L9081" s="9"/>
    </row>
    <row r="9082" s="105" customFormat="1" spans="9:12">
      <c r="I9082" s="225"/>
      <c r="K9082" s="9"/>
      <c r="L9082" s="9"/>
    </row>
    <row r="9083" s="105" customFormat="1" spans="9:12">
      <c r="I9083" s="225"/>
      <c r="K9083" s="9"/>
      <c r="L9083" s="9"/>
    </row>
    <row r="9084" s="105" customFormat="1" spans="9:12">
      <c r="I9084" s="225"/>
      <c r="K9084" s="9"/>
      <c r="L9084" s="9"/>
    </row>
    <row r="9085" s="105" customFormat="1" spans="9:12">
      <c r="I9085" s="225"/>
      <c r="K9085" s="9"/>
      <c r="L9085" s="9"/>
    </row>
    <row r="9086" s="105" customFormat="1" spans="9:12">
      <c r="I9086" s="225"/>
      <c r="K9086" s="9"/>
      <c r="L9086" s="9"/>
    </row>
    <row r="9087" s="105" customFormat="1" spans="9:12">
      <c r="I9087" s="225"/>
      <c r="K9087" s="9"/>
      <c r="L9087" s="9"/>
    </row>
    <row r="9088" s="105" customFormat="1" spans="9:12">
      <c r="I9088" s="225"/>
      <c r="K9088" s="9"/>
      <c r="L9088" s="9"/>
    </row>
    <row r="9089" s="105" customFormat="1" spans="9:12">
      <c r="I9089" s="225"/>
      <c r="K9089" s="9"/>
      <c r="L9089" s="9"/>
    </row>
    <row r="9090" s="105" customFormat="1" spans="9:12">
      <c r="I9090" s="225"/>
      <c r="K9090" s="9"/>
      <c r="L9090" s="9"/>
    </row>
    <row r="9091" s="105" customFormat="1" spans="9:12">
      <c r="I9091" s="225"/>
      <c r="K9091" s="9"/>
      <c r="L9091" s="9"/>
    </row>
    <row r="9092" s="105" customFormat="1" spans="9:12">
      <c r="I9092" s="225"/>
      <c r="K9092" s="9"/>
      <c r="L9092" s="9"/>
    </row>
    <row r="9093" s="105" customFormat="1" spans="9:12">
      <c r="I9093" s="225"/>
      <c r="K9093" s="9"/>
      <c r="L9093" s="9"/>
    </row>
    <row r="9094" s="105" customFormat="1" spans="9:12">
      <c r="I9094" s="225"/>
      <c r="K9094" s="9"/>
      <c r="L9094" s="9"/>
    </row>
    <row r="9095" s="105" customFormat="1" spans="9:12">
      <c r="I9095" s="225"/>
      <c r="K9095" s="9"/>
      <c r="L9095" s="9"/>
    </row>
    <row r="9096" s="105" customFormat="1" spans="9:12">
      <c r="I9096" s="225"/>
      <c r="K9096" s="9"/>
      <c r="L9096" s="9"/>
    </row>
    <row r="9097" s="105" customFormat="1" spans="9:12">
      <c r="I9097" s="225"/>
      <c r="K9097" s="9"/>
      <c r="L9097" s="9"/>
    </row>
    <row r="9098" s="105" customFormat="1" spans="9:12">
      <c r="I9098" s="225"/>
      <c r="K9098" s="9"/>
      <c r="L9098" s="9"/>
    </row>
    <row r="9099" s="105" customFormat="1" spans="9:12">
      <c r="I9099" s="225"/>
      <c r="K9099" s="9"/>
      <c r="L9099" s="9"/>
    </row>
    <row r="9100" s="105" customFormat="1" spans="9:12">
      <c r="I9100" s="225"/>
      <c r="K9100" s="9"/>
      <c r="L9100" s="9"/>
    </row>
    <row r="9101" s="105" customFormat="1" spans="9:12">
      <c r="I9101" s="225"/>
      <c r="K9101" s="9"/>
      <c r="L9101" s="9"/>
    </row>
    <row r="9102" s="105" customFormat="1" spans="9:12">
      <c r="I9102" s="225"/>
      <c r="K9102" s="9"/>
      <c r="L9102" s="9"/>
    </row>
    <row r="9103" s="105" customFormat="1" spans="9:12">
      <c r="I9103" s="225"/>
      <c r="K9103" s="9"/>
      <c r="L9103" s="9"/>
    </row>
    <row r="9104" s="105" customFormat="1" spans="9:12">
      <c r="I9104" s="225"/>
      <c r="K9104" s="9"/>
      <c r="L9104" s="9"/>
    </row>
    <row r="9105" s="105" customFormat="1" spans="9:12">
      <c r="I9105" s="225"/>
      <c r="K9105" s="9"/>
      <c r="L9105" s="9"/>
    </row>
    <row r="9106" s="105" customFormat="1" spans="9:12">
      <c r="I9106" s="225"/>
      <c r="K9106" s="9"/>
      <c r="L9106" s="9"/>
    </row>
    <row r="9107" s="105" customFormat="1" spans="9:12">
      <c r="I9107" s="225"/>
      <c r="K9107" s="9"/>
      <c r="L9107" s="9"/>
    </row>
    <row r="9108" s="105" customFormat="1" spans="9:12">
      <c r="I9108" s="225"/>
      <c r="K9108" s="9"/>
      <c r="L9108" s="9"/>
    </row>
    <row r="9109" s="105" customFormat="1" spans="9:12">
      <c r="I9109" s="225"/>
      <c r="K9109" s="9"/>
      <c r="L9109" s="9"/>
    </row>
    <row r="9110" s="105" customFormat="1" spans="9:12">
      <c r="I9110" s="225"/>
      <c r="K9110" s="9"/>
      <c r="L9110" s="9"/>
    </row>
    <row r="9111" s="105" customFormat="1" spans="9:12">
      <c r="I9111" s="225"/>
      <c r="K9111" s="9"/>
      <c r="L9111" s="9"/>
    </row>
    <row r="9112" s="105" customFormat="1" spans="9:12">
      <c r="I9112" s="225"/>
      <c r="K9112" s="9"/>
      <c r="L9112" s="9"/>
    </row>
    <row r="9113" s="105" customFormat="1" spans="9:12">
      <c r="I9113" s="225"/>
      <c r="K9113" s="9"/>
      <c r="L9113" s="9"/>
    </row>
    <row r="9114" s="105" customFormat="1" spans="9:12">
      <c r="I9114" s="225"/>
      <c r="K9114" s="9"/>
      <c r="L9114" s="9"/>
    </row>
    <row r="9115" s="105" customFormat="1" spans="9:12">
      <c r="I9115" s="225"/>
      <c r="K9115" s="9"/>
      <c r="L9115" s="9"/>
    </row>
    <row r="9116" s="105" customFormat="1" spans="9:12">
      <c r="I9116" s="225"/>
      <c r="K9116" s="9"/>
      <c r="L9116" s="9"/>
    </row>
    <row r="9117" s="105" customFormat="1" spans="9:12">
      <c r="I9117" s="225"/>
      <c r="K9117" s="9"/>
      <c r="L9117" s="9"/>
    </row>
    <row r="9118" s="105" customFormat="1" spans="9:12">
      <c r="I9118" s="225"/>
      <c r="K9118" s="9"/>
      <c r="L9118" s="9"/>
    </row>
    <row r="9119" s="105" customFormat="1" spans="9:12">
      <c r="I9119" s="225"/>
      <c r="K9119" s="9"/>
      <c r="L9119" s="9"/>
    </row>
    <row r="9120" s="105" customFormat="1" spans="9:12">
      <c r="I9120" s="225"/>
      <c r="K9120" s="9"/>
      <c r="L9120" s="9"/>
    </row>
    <row r="9121" s="105" customFormat="1" spans="9:12">
      <c r="I9121" s="225"/>
      <c r="K9121" s="9"/>
      <c r="L9121" s="9"/>
    </row>
    <row r="9122" s="105" customFormat="1" spans="9:12">
      <c r="I9122" s="225"/>
      <c r="K9122" s="9"/>
      <c r="L9122" s="9"/>
    </row>
    <row r="9123" s="105" customFormat="1" spans="9:12">
      <c r="I9123" s="225"/>
      <c r="K9123" s="9"/>
      <c r="L9123" s="9"/>
    </row>
    <row r="9124" s="105" customFormat="1" spans="9:12">
      <c r="I9124" s="225"/>
      <c r="K9124" s="9"/>
      <c r="L9124" s="9"/>
    </row>
    <row r="9125" s="105" customFormat="1" spans="9:12">
      <c r="I9125" s="225"/>
      <c r="K9125" s="9"/>
      <c r="L9125" s="9"/>
    </row>
    <row r="9126" s="105" customFormat="1" spans="9:12">
      <c r="I9126" s="225"/>
      <c r="K9126" s="9"/>
      <c r="L9126" s="9"/>
    </row>
    <row r="9127" s="105" customFormat="1" spans="9:12">
      <c r="I9127" s="225"/>
      <c r="K9127" s="9"/>
      <c r="L9127" s="9"/>
    </row>
    <row r="9128" s="105" customFormat="1" spans="9:12">
      <c r="I9128" s="225"/>
      <c r="K9128" s="9"/>
      <c r="L9128" s="9"/>
    </row>
    <row r="9129" s="105" customFormat="1" spans="9:12">
      <c r="I9129" s="225"/>
      <c r="K9129" s="9"/>
      <c r="L9129" s="9"/>
    </row>
    <row r="9130" s="105" customFormat="1" spans="9:12">
      <c r="I9130" s="225"/>
      <c r="K9130" s="9"/>
      <c r="L9130" s="9"/>
    </row>
    <row r="9131" s="105" customFormat="1" spans="9:12">
      <c r="I9131" s="225"/>
      <c r="K9131" s="9"/>
      <c r="L9131" s="9"/>
    </row>
    <row r="9132" s="105" customFormat="1" spans="9:12">
      <c r="I9132" s="225"/>
      <c r="K9132" s="9"/>
      <c r="L9132" s="9"/>
    </row>
    <row r="9133" s="105" customFormat="1" spans="9:12">
      <c r="I9133" s="225"/>
      <c r="K9133" s="9"/>
      <c r="L9133" s="9"/>
    </row>
    <row r="9134" s="105" customFormat="1" spans="9:12">
      <c r="I9134" s="225"/>
      <c r="K9134" s="9"/>
      <c r="L9134" s="9"/>
    </row>
    <row r="9135" s="105" customFormat="1" spans="9:12">
      <c r="I9135" s="225"/>
      <c r="K9135" s="9"/>
      <c r="L9135" s="9"/>
    </row>
    <row r="9136" s="105" customFormat="1" spans="9:12">
      <c r="I9136" s="225"/>
      <c r="K9136" s="9"/>
      <c r="L9136" s="9"/>
    </row>
    <row r="9137" s="105" customFormat="1" spans="9:12">
      <c r="I9137" s="225"/>
      <c r="K9137" s="9"/>
      <c r="L9137" s="9"/>
    </row>
    <row r="9138" s="105" customFormat="1" spans="9:12">
      <c r="I9138" s="225"/>
      <c r="K9138" s="9"/>
      <c r="L9138" s="9"/>
    </row>
    <row r="9139" s="105" customFormat="1" spans="9:12">
      <c r="I9139" s="225"/>
      <c r="K9139" s="9"/>
      <c r="L9139" s="9"/>
    </row>
    <row r="9140" s="105" customFormat="1" spans="9:12">
      <c r="I9140" s="225"/>
      <c r="K9140" s="9"/>
      <c r="L9140" s="9"/>
    </row>
    <row r="9141" s="105" customFormat="1" spans="9:12">
      <c r="I9141" s="225"/>
      <c r="K9141" s="9"/>
      <c r="L9141" s="9"/>
    </row>
    <row r="9142" s="105" customFormat="1" spans="9:12">
      <c r="I9142" s="225"/>
      <c r="K9142" s="9"/>
      <c r="L9142" s="9"/>
    </row>
    <row r="9143" s="105" customFormat="1" spans="9:12">
      <c r="I9143" s="225"/>
      <c r="K9143" s="9"/>
      <c r="L9143" s="9"/>
    </row>
    <row r="9144" s="105" customFormat="1" spans="9:12">
      <c r="I9144" s="225"/>
      <c r="K9144" s="9"/>
      <c r="L9144" s="9"/>
    </row>
    <row r="9145" s="105" customFormat="1" spans="9:12">
      <c r="I9145" s="225"/>
      <c r="K9145" s="9"/>
      <c r="L9145" s="9"/>
    </row>
    <row r="9146" s="105" customFormat="1" spans="9:12">
      <c r="I9146" s="225"/>
      <c r="K9146" s="9"/>
      <c r="L9146" s="9"/>
    </row>
    <row r="9147" s="105" customFormat="1" spans="9:12">
      <c r="I9147" s="225"/>
      <c r="K9147" s="9"/>
      <c r="L9147" s="9"/>
    </row>
    <row r="9148" s="105" customFormat="1" spans="9:12">
      <c r="I9148" s="225"/>
      <c r="K9148" s="9"/>
      <c r="L9148" s="9"/>
    </row>
    <row r="9149" s="105" customFormat="1" spans="9:12">
      <c r="I9149" s="225"/>
      <c r="K9149" s="9"/>
      <c r="L9149" s="9"/>
    </row>
    <row r="9150" s="105" customFormat="1" spans="9:12">
      <c r="I9150" s="225"/>
      <c r="K9150" s="9"/>
      <c r="L9150" s="9"/>
    </row>
    <row r="9151" s="105" customFormat="1" spans="9:12">
      <c r="I9151" s="225"/>
      <c r="K9151" s="9"/>
      <c r="L9151" s="9"/>
    </row>
    <row r="9152" s="105" customFormat="1" spans="9:12">
      <c r="I9152" s="225"/>
      <c r="K9152" s="9"/>
      <c r="L9152" s="9"/>
    </row>
    <row r="9153" s="105" customFormat="1" spans="9:12">
      <c r="I9153" s="225"/>
      <c r="K9153" s="9"/>
      <c r="L9153" s="9"/>
    </row>
    <row r="9154" s="105" customFormat="1" spans="9:12">
      <c r="I9154" s="225"/>
      <c r="K9154" s="9"/>
      <c r="L9154" s="9"/>
    </row>
    <row r="9155" s="105" customFormat="1" spans="9:12">
      <c r="I9155" s="225"/>
      <c r="K9155" s="9"/>
      <c r="L9155" s="9"/>
    </row>
    <row r="9156" s="105" customFormat="1" spans="9:12">
      <c r="I9156" s="225"/>
      <c r="K9156" s="9"/>
      <c r="L9156" s="9"/>
    </row>
    <row r="9157" s="105" customFormat="1" spans="9:12">
      <c r="I9157" s="225"/>
      <c r="K9157" s="9"/>
      <c r="L9157" s="9"/>
    </row>
    <row r="9158" s="105" customFormat="1" spans="9:12">
      <c r="I9158" s="225"/>
      <c r="K9158" s="9"/>
      <c r="L9158" s="9"/>
    </row>
    <row r="9159" s="105" customFormat="1" spans="9:12">
      <c r="I9159" s="225"/>
      <c r="K9159" s="9"/>
      <c r="L9159" s="9"/>
    </row>
    <row r="9160" s="105" customFormat="1" spans="9:12">
      <c r="I9160" s="225"/>
      <c r="K9160" s="9"/>
      <c r="L9160" s="9"/>
    </row>
    <row r="9161" s="105" customFormat="1" spans="9:12">
      <c r="I9161" s="225"/>
      <c r="K9161" s="9"/>
      <c r="L9161" s="9"/>
    </row>
    <row r="9162" s="105" customFormat="1" spans="9:12">
      <c r="I9162" s="225"/>
      <c r="K9162" s="9"/>
      <c r="L9162" s="9"/>
    </row>
    <row r="9163" s="105" customFormat="1" spans="9:12">
      <c r="I9163" s="225"/>
      <c r="K9163" s="9"/>
      <c r="L9163" s="9"/>
    </row>
    <row r="9164" s="105" customFormat="1" spans="9:12">
      <c r="I9164" s="225"/>
      <c r="K9164" s="9"/>
      <c r="L9164" s="9"/>
    </row>
    <row r="9165" s="105" customFormat="1" spans="9:12">
      <c r="I9165" s="225"/>
      <c r="K9165" s="9"/>
      <c r="L9165" s="9"/>
    </row>
    <row r="9166" s="105" customFormat="1" spans="9:12">
      <c r="I9166" s="225"/>
      <c r="K9166" s="9"/>
      <c r="L9166" s="9"/>
    </row>
    <row r="9167" s="105" customFormat="1" spans="9:12">
      <c r="I9167" s="225"/>
      <c r="K9167" s="9"/>
      <c r="L9167" s="9"/>
    </row>
    <row r="9168" s="105" customFormat="1" spans="9:12">
      <c r="I9168" s="225"/>
      <c r="K9168" s="9"/>
      <c r="L9168" s="9"/>
    </row>
    <row r="9169" s="105" customFormat="1" spans="9:12">
      <c r="I9169" s="225"/>
      <c r="K9169" s="9"/>
      <c r="L9169" s="9"/>
    </row>
    <row r="9170" s="105" customFormat="1" spans="9:12">
      <c r="I9170" s="225"/>
      <c r="K9170" s="9"/>
      <c r="L9170" s="9"/>
    </row>
    <row r="9171" s="105" customFormat="1" spans="9:12">
      <c r="I9171" s="225"/>
      <c r="K9171" s="9"/>
      <c r="L9171" s="9"/>
    </row>
    <row r="9172" s="105" customFormat="1" spans="9:12">
      <c r="I9172" s="225"/>
      <c r="K9172" s="9"/>
      <c r="L9172" s="9"/>
    </row>
    <row r="9173" s="105" customFormat="1" spans="9:12">
      <c r="I9173" s="225"/>
      <c r="K9173" s="9"/>
      <c r="L9173" s="9"/>
    </row>
    <row r="9174" s="105" customFormat="1" spans="9:12">
      <c r="I9174" s="225"/>
      <c r="K9174" s="9"/>
      <c r="L9174" s="9"/>
    </row>
    <row r="9175" s="105" customFormat="1" spans="9:12">
      <c r="I9175" s="225"/>
      <c r="K9175" s="9"/>
      <c r="L9175" s="9"/>
    </row>
    <row r="9176" s="105" customFormat="1" spans="9:12">
      <c r="I9176" s="225"/>
      <c r="K9176" s="9"/>
      <c r="L9176" s="9"/>
    </row>
    <row r="9177" s="105" customFormat="1" spans="9:12">
      <c r="I9177" s="225"/>
      <c r="K9177" s="9"/>
      <c r="L9177" s="9"/>
    </row>
    <row r="9178" s="105" customFormat="1" spans="9:12">
      <c r="I9178" s="225"/>
      <c r="K9178" s="9"/>
      <c r="L9178" s="9"/>
    </row>
    <row r="9179" s="105" customFormat="1" spans="9:12">
      <c r="I9179" s="225"/>
      <c r="K9179" s="9"/>
      <c r="L9179" s="9"/>
    </row>
    <row r="9180" s="105" customFormat="1" spans="9:12">
      <c r="I9180" s="225"/>
      <c r="K9180" s="9"/>
      <c r="L9180" s="9"/>
    </row>
    <row r="9181" s="105" customFormat="1" spans="9:12">
      <c r="I9181" s="225"/>
      <c r="K9181" s="9"/>
      <c r="L9181" s="9"/>
    </row>
    <row r="9182" s="105" customFormat="1" spans="9:12">
      <c r="I9182" s="225"/>
      <c r="K9182" s="9"/>
      <c r="L9182" s="9"/>
    </row>
    <row r="9183" s="105" customFormat="1" spans="9:12">
      <c r="I9183" s="225"/>
      <c r="K9183" s="9"/>
      <c r="L9183" s="9"/>
    </row>
    <row r="9184" s="105" customFormat="1" spans="9:12">
      <c r="I9184" s="225"/>
      <c r="K9184" s="9"/>
      <c r="L9184" s="9"/>
    </row>
    <row r="9185" s="105" customFormat="1" spans="9:12">
      <c r="I9185" s="225"/>
      <c r="K9185" s="9"/>
      <c r="L9185" s="9"/>
    </row>
    <row r="9186" s="105" customFormat="1" spans="9:12">
      <c r="I9186" s="225"/>
      <c r="K9186" s="9"/>
      <c r="L9186" s="9"/>
    </row>
    <row r="9187" s="105" customFormat="1" spans="9:12">
      <c r="I9187" s="225"/>
      <c r="K9187" s="9"/>
      <c r="L9187" s="9"/>
    </row>
    <row r="9188" s="105" customFormat="1" spans="9:12">
      <c r="I9188" s="225"/>
      <c r="K9188" s="9"/>
      <c r="L9188" s="9"/>
    </row>
    <row r="9189" s="105" customFormat="1" spans="9:12">
      <c r="I9189" s="225"/>
      <c r="K9189" s="9"/>
      <c r="L9189" s="9"/>
    </row>
    <row r="9190" s="105" customFormat="1" spans="9:12">
      <c r="I9190" s="225"/>
      <c r="K9190" s="9"/>
      <c r="L9190" s="9"/>
    </row>
    <row r="9191" s="105" customFormat="1" spans="9:12">
      <c r="I9191" s="225"/>
      <c r="K9191" s="9"/>
      <c r="L9191" s="9"/>
    </row>
    <row r="9192" s="105" customFormat="1" spans="9:12">
      <c r="I9192" s="225"/>
      <c r="K9192" s="9"/>
      <c r="L9192" s="9"/>
    </row>
    <row r="9193" s="105" customFormat="1" spans="9:12">
      <c r="I9193" s="225"/>
      <c r="K9193" s="9"/>
      <c r="L9193" s="9"/>
    </row>
    <row r="9194" s="105" customFormat="1" spans="9:12">
      <c r="I9194" s="225"/>
      <c r="K9194" s="9"/>
      <c r="L9194" s="9"/>
    </row>
    <row r="9195" s="105" customFormat="1" spans="9:12">
      <c r="I9195" s="225"/>
      <c r="K9195" s="9"/>
      <c r="L9195" s="9"/>
    </row>
    <row r="9196" s="105" customFormat="1" spans="9:12">
      <c r="I9196" s="225"/>
      <c r="K9196" s="9"/>
      <c r="L9196" s="9"/>
    </row>
    <row r="9197" s="105" customFormat="1" spans="9:12">
      <c r="I9197" s="225"/>
      <c r="K9197" s="9"/>
      <c r="L9197" s="9"/>
    </row>
    <row r="9198" s="105" customFormat="1" spans="9:12">
      <c r="I9198" s="225"/>
      <c r="K9198" s="9"/>
      <c r="L9198" s="9"/>
    </row>
    <row r="9199" s="105" customFormat="1" spans="9:12">
      <c r="I9199" s="225"/>
      <c r="K9199" s="9"/>
      <c r="L9199" s="9"/>
    </row>
    <row r="9200" s="105" customFormat="1" spans="9:12">
      <c r="I9200" s="225"/>
      <c r="K9200" s="9"/>
      <c r="L9200" s="9"/>
    </row>
    <row r="9201" s="105" customFormat="1" spans="9:12">
      <c r="I9201" s="225"/>
      <c r="K9201" s="9"/>
      <c r="L9201" s="9"/>
    </row>
    <row r="9202" s="105" customFormat="1" spans="9:12">
      <c r="I9202" s="225"/>
      <c r="K9202" s="9"/>
      <c r="L9202" s="9"/>
    </row>
    <row r="9203" s="105" customFormat="1" spans="9:12">
      <c r="I9203" s="225"/>
      <c r="K9203" s="9"/>
      <c r="L9203" s="9"/>
    </row>
    <row r="9204" s="105" customFormat="1" spans="9:12">
      <c r="I9204" s="225"/>
      <c r="K9204" s="9"/>
      <c r="L9204" s="9"/>
    </row>
    <row r="9205" s="105" customFormat="1" spans="9:12">
      <c r="I9205" s="225"/>
      <c r="K9205" s="9"/>
      <c r="L9205" s="9"/>
    </row>
    <row r="9206" s="105" customFormat="1" spans="9:12">
      <c r="I9206" s="225"/>
      <c r="K9206" s="9"/>
      <c r="L9206" s="9"/>
    </row>
    <row r="9207" s="105" customFormat="1" spans="9:12">
      <c r="I9207" s="225"/>
      <c r="K9207" s="9"/>
      <c r="L9207" s="9"/>
    </row>
    <row r="9208" s="105" customFormat="1" spans="9:12">
      <c r="I9208" s="225"/>
      <c r="K9208" s="9"/>
      <c r="L9208" s="9"/>
    </row>
    <row r="9209" s="105" customFormat="1" spans="9:12">
      <c r="I9209" s="225"/>
      <c r="K9209" s="9"/>
      <c r="L9209" s="9"/>
    </row>
    <row r="9210" s="105" customFormat="1" spans="9:12">
      <c r="I9210" s="225"/>
      <c r="K9210" s="9"/>
      <c r="L9210" s="9"/>
    </row>
    <row r="9211" s="105" customFormat="1" spans="9:12">
      <c r="I9211" s="225"/>
      <c r="K9211" s="9"/>
      <c r="L9211" s="9"/>
    </row>
    <row r="9212" s="105" customFormat="1" spans="9:12">
      <c r="I9212" s="225"/>
      <c r="K9212" s="9"/>
      <c r="L9212" s="9"/>
    </row>
    <row r="9213" s="105" customFormat="1" spans="9:12">
      <c r="I9213" s="225"/>
      <c r="K9213" s="9"/>
      <c r="L9213" s="9"/>
    </row>
    <row r="9214" s="105" customFormat="1" spans="9:12">
      <c r="I9214" s="225"/>
      <c r="K9214" s="9"/>
      <c r="L9214" s="9"/>
    </row>
    <row r="9215" s="105" customFormat="1" spans="9:12">
      <c r="I9215" s="225"/>
      <c r="K9215" s="9"/>
      <c r="L9215" s="9"/>
    </row>
    <row r="9216" s="105" customFormat="1" spans="9:12">
      <c r="I9216" s="225"/>
      <c r="K9216" s="9"/>
      <c r="L9216" s="9"/>
    </row>
    <row r="9217" s="105" customFormat="1" spans="9:12">
      <c r="I9217" s="225"/>
      <c r="K9217" s="9"/>
      <c r="L9217" s="9"/>
    </row>
    <row r="9218" s="105" customFormat="1" spans="9:12">
      <c r="I9218" s="225"/>
      <c r="K9218" s="9"/>
      <c r="L9218" s="9"/>
    </row>
    <row r="9219" s="105" customFormat="1" spans="9:12">
      <c r="I9219" s="225"/>
      <c r="K9219" s="9"/>
      <c r="L9219" s="9"/>
    </row>
    <row r="9220" s="105" customFormat="1" spans="9:12">
      <c r="I9220" s="225"/>
      <c r="K9220" s="9"/>
      <c r="L9220" s="9"/>
    </row>
    <row r="9221" s="105" customFormat="1" spans="9:12">
      <c r="I9221" s="225"/>
      <c r="K9221" s="9"/>
      <c r="L9221" s="9"/>
    </row>
    <row r="9222" s="105" customFormat="1" spans="9:12">
      <c r="I9222" s="225"/>
      <c r="K9222" s="9"/>
      <c r="L9222" s="9"/>
    </row>
    <row r="9223" s="105" customFormat="1" spans="9:12">
      <c r="I9223" s="225"/>
      <c r="K9223" s="9"/>
      <c r="L9223" s="9"/>
    </row>
    <row r="9224" s="105" customFormat="1" spans="9:12">
      <c r="I9224" s="225"/>
      <c r="K9224" s="9"/>
      <c r="L9224" s="9"/>
    </row>
    <row r="9225" s="105" customFormat="1" spans="9:12">
      <c r="I9225" s="225"/>
      <c r="K9225" s="9"/>
      <c r="L9225" s="9"/>
    </row>
    <row r="9226" s="105" customFormat="1" spans="9:12">
      <c r="I9226" s="225"/>
      <c r="K9226" s="9"/>
      <c r="L9226" s="9"/>
    </row>
    <row r="9227" s="105" customFormat="1" spans="9:12">
      <c r="I9227" s="225"/>
      <c r="K9227" s="9"/>
      <c r="L9227" s="9"/>
    </row>
    <row r="9228" s="105" customFormat="1" spans="9:12">
      <c r="I9228" s="225"/>
      <c r="K9228" s="9"/>
      <c r="L9228" s="9"/>
    </row>
    <row r="9229" s="105" customFormat="1" spans="9:12">
      <c r="I9229" s="225"/>
      <c r="K9229" s="9"/>
      <c r="L9229" s="9"/>
    </row>
    <row r="9230" s="105" customFormat="1" spans="9:12">
      <c r="I9230" s="225"/>
      <c r="K9230" s="9"/>
      <c r="L9230" s="9"/>
    </row>
    <row r="9231" s="105" customFormat="1" spans="9:12">
      <c r="I9231" s="225"/>
      <c r="K9231" s="9"/>
      <c r="L9231" s="9"/>
    </row>
    <row r="9232" s="105" customFormat="1" spans="9:12">
      <c r="I9232" s="225"/>
      <c r="K9232" s="9"/>
      <c r="L9232" s="9"/>
    </row>
    <row r="9233" s="105" customFormat="1" spans="9:12">
      <c r="I9233" s="225"/>
      <c r="K9233" s="9"/>
      <c r="L9233" s="9"/>
    </row>
    <row r="9234" s="105" customFormat="1" spans="9:12">
      <c r="I9234" s="225"/>
      <c r="K9234" s="9"/>
      <c r="L9234" s="9"/>
    </row>
    <row r="9235" s="105" customFormat="1" spans="9:12">
      <c r="I9235" s="225"/>
      <c r="K9235" s="9"/>
      <c r="L9235" s="9"/>
    </row>
    <row r="9236" s="105" customFormat="1" spans="9:12">
      <c r="I9236" s="225"/>
      <c r="K9236" s="9"/>
      <c r="L9236" s="9"/>
    </row>
    <row r="9237" s="105" customFormat="1" spans="9:12">
      <c r="I9237" s="225"/>
      <c r="K9237" s="9"/>
      <c r="L9237" s="9"/>
    </row>
    <row r="9238" s="105" customFormat="1" spans="9:12">
      <c r="I9238" s="225"/>
      <c r="K9238" s="9"/>
      <c r="L9238" s="9"/>
    </row>
    <row r="9239" s="105" customFormat="1" spans="9:12">
      <c r="I9239" s="225"/>
      <c r="K9239" s="9"/>
      <c r="L9239" s="9"/>
    </row>
    <row r="9240" s="105" customFormat="1" spans="9:12">
      <c r="I9240" s="225"/>
      <c r="K9240" s="9"/>
      <c r="L9240" s="9"/>
    </row>
    <row r="9241" s="105" customFormat="1" spans="9:12">
      <c r="I9241" s="225"/>
      <c r="K9241" s="9"/>
      <c r="L9241" s="9"/>
    </row>
    <row r="9242" s="105" customFormat="1" spans="9:12">
      <c r="I9242" s="225"/>
      <c r="K9242" s="9"/>
      <c r="L9242" s="9"/>
    </row>
    <row r="9243" s="105" customFormat="1" spans="9:12">
      <c r="I9243" s="225"/>
      <c r="K9243" s="9"/>
      <c r="L9243" s="9"/>
    </row>
    <row r="9244" s="105" customFormat="1" spans="9:12">
      <c r="I9244" s="225"/>
      <c r="K9244" s="9"/>
      <c r="L9244" s="9"/>
    </row>
    <row r="9245" s="105" customFormat="1" spans="9:12">
      <c r="I9245" s="225"/>
      <c r="K9245" s="9"/>
      <c r="L9245" s="9"/>
    </row>
    <row r="9246" s="105" customFormat="1" spans="9:12">
      <c r="I9246" s="225"/>
      <c r="K9246" s="9"/>
      <c r="L9246" s="9"/>
    </row>
    <row r="9247" s="105" customFormat="1" spans="9:12">
      <c r="I9247" s="225"/>
      <c r="K9247" s="9"/>
      <c r="L9247" s="9"/>
    </row>
    <row r="9248" s="105" customFormat="1" spans="9:12">
      <c r="I9248" s="225"/>
      <c r="K9248" s="9"/>
      <c r="L9248" s="9"/>
    </row>
    <row r="9249" s="105" customFormat="1" spans="9:12">
      <c r="I9249" s="225"/>
      <c r="K9249" s="9"/>
      <c r="L9249" s="9"/>
    </row>
    <row r="9250" s="105" customFormat="1" spans="9:12">
      <c r="I9250" s="225"/>
      <c r="K9250" s="9"/>
      <c r="L9250" s="9"/>
    </row>
    <row r="9251" s="105" customFormat="1" spans="9:12">
      <c r="I9251" s="225"/>
      <c r="K9251" s="9"/>
      <c r="L9251" s="9"/>
    </row>
    <row r="9252" s="105" customFormat="1" spans="9:12">
      <c r="I9252" s="225"/>
      <c r="K9252" s="9"/>
      <c r="L9252" s="9"/>
    </row>
    <row r="9253" s="105" customFormat="1" spans="9:12">
      <c r="I9253" s="225"/>
      <c r="K9253" s="9"/>
      <c r="L9253" s="9"/>
    </row>
    <row r="9254" s="105" customFormat="1" spans="9:12">
      <c r="I9254" s="225"/>
      <c r="K9254" s="9"/>
      <c r="L9254" s="9"/>
    </row>
    <row r="9255" s="105" customFormat="1" spans="9:12">
      <c r="I9255" s="225"/>
      <c r="K9255" s="9"/>
      <c r="L9255" s="9"/>
    </row>
    <row r="9256" s="105" customFormat="1" spans="9:12">
      <c r="I9256" s="225"/>
      <c r="K9256" s="9"/>
      <c r="L9256" s="9"/>
    </row>
    <row r="9257" s="105" customFormat="1" spans="9:12">
      <c r="I9257" s="225"/>
      <c r="K9257" s="9"/>
      <c r="L9257" s="9"/>
    </row>
    <row r="9258" s="105" customFormat="1" spans="9:12">
      <c r="I9258" s="225"/>
      <c r="K9258" s="9"/>
      <c r="L9258" s="9"/>
    </row>
    <row r="9259" s="105" customFormat="1" spans="9:12">
      <c r="I9259" s="225"/>
      <c r="K9259" s="9"/>
      <c r="L9259" s="9"/>
    </row>
    <row r="9260" s="105" customFormat="1" spans="9:12">
      <c r="I9260" s="225"/>
      <c r="K9260" s="9"/>
      <c r="L9260" s="9"/>
    </row>
    <row r="9261" s="105" customFormat="1" spans="9:12">
      <c r="I9261" s="225"/>
      <c r="K9261" s="9"/>
      <c r="L9261" s="9"/>
    </row>
    <row r="9262" s="105" customFormat="1" spans="9:12">
      <c r="I9262" s="225"/>
      <c r="K9262" s="9"/>
      <c r="L9262" s="9"/>
    </row>
    <row r="9263" s="105" customFormat="1" spans="9:12">
      <c r="I9263" s="225"/>
      <c r="K9263" s="9"/>
      <c r="L9263" s="9"/>
    </row>
    <row r="9264" s="105" customFormat="1" spans="9:12">
      <c r="I9264" s="225"/>
      <c r="K9264" s="9"/>
      <c r="L9264" s="9"/>
    </row>
    <row r="9265" s="105" customFormat="1" spans="9:12">
      <c r="I9265" s="225"/>
      <c r="K9265" s="9"/>
      <c r="L9265" s="9"/>
    </row>
    <row r="9266" s="105" customFormat="1" spans="9:12">
      <c r="I9266" s="225"/>
      <c r="K9266" s="9"/>
      <c r="L9266" s="9"/>
    </row>
    <row r="9267" s="105" customFormat="1" spans="9:12">
      <c r="I9267" s="225"/>
      <c r="K9267" s="9"/>
      <c r="L9267" s="9"/>
    </row>
    <row r="9268" s="105" customFormat="1" spans="9:12">
      <c r="I9268" s="225"/>
      <c r="K9268" s="9"/>
      <c r="L9268" s="9"/>
    </row>
    <row r="9269" s="105" customFormat="1" spans="9:12">
      <c r="I9269" s="225"/>
      <c r="K9269" s="9"/>
      <c r="L9269" s="9"/>
    </row>
    <row r="9270" s="105" customFormat="1" spans="9:12">
      <c r="I9270" s="225"/>
      <c r="K9270" s="9"/>
      <c r="L9270" s="9"/>
    </row>
    <row r="9271" s="105" customFormat="1" spans="9:12">
      <c r="I9271" s="225"/>
      <c r="K9271" s="9"/>
      <c r="L9271" s="9"/>
    </row>
    <row r="9272" s="105" customFormat="1" spans="9:12">
      <c r="I9272" s="225"/>
      <c r="K9272" s="9"/>
      <c r="L9272" s="9"/>
    </row>
    <row r="9273" s="105" customFormat="1" spans="9:12">
      <c r="I9273" s="225"/>
      <c r="K9273" s="9"/>
      <c r="L9273" s="9"/>
    </row>
    <row r="9274" s="105" customFormat="1" spans="9:12">
      <c r="I9274" s="225"/>
      <c r="K9274" s="9"/>
      <c r="L9274" s="9"/>
    </row>
    <row r="9275" s="105" customFormat="1" spans="9:12">
      <c r="I9275" s="225"/>
      <c r="K9275" s="9"/>
      <c r="L9275" s="9"/>
    </row>
    <row r="9276" s="105" customFormat="1" spans="9:12">
      <c r="I9276" s="225"/>
      <c r="K9276" s="9"/>
      <c r="L9276" s="9"/>
    </row>
    <row r="9277" s="105" customFormat="1" spans="9:12">
      <c r="I9277" s="225"/>
      <c r="K9277" s="9"/>
      <c r="L9277" s="9"/>
    </row>
    <row r="9278" s="105" customFormat="1" spans="9:12">
      <c r="I9278" s="225"/>
      <c r="K9278" s="9"/>
      <c r="L9278" s="9"/>
    </row>
    <row r="9279" s="105" customFormat="1" spans="9:12">
      <c r="I9279" s="225"/>
      <c r="K9279" s="9"/>
      <c r="L9279" s="9"/>
    </row>
    <row r="9280" s="105" customFormat="1" spans="9:12">
      <c r="I9280" s="225"/>
      <c r="K9280" s="9"/>
      <c r="L9280" s="9"/>
    </row>
    <row r="9281" s="105" customFormat="1" spans="9:12">
      <c r="I9281" s="225"/>
      <c r="K9281" s="9"/>
      <c r="L9281" s="9"/>
    </row>
    <row r="9282" s="105" customFormat="1" spans="9:12">
      <c r="I9282" s="225"/>
      <c r="K9282" s="9"/>
      <c r="L9282" s="9"/>
    </row>
    <row r="9283" s="105" customFormat="1" spans="9:12">
      <c r="I9283" s="225"/>
      <c r="K9283" s="9"/>
      <c r="L9283" s="9"/>
    </row>
    <row r="9284" s="105" customFormat="1" spans="9:12">
      <c r="I9284" s="225"/>
      <c r="K9284" s="9"/>
      <c r="L9284" s="9"/>
    </row>
    <row r="9285" s="105" customFormat="1" spans="9:12">
      <c r="I9285" s="225"/>
      <c r="K9285" s="9"/>
      <c r="L9285" s="9"/>
    </row>
    <row r="9286" s="105" customFormat="1" spans="9:12">
      <c r="I9286" s="225"/>
      <c r="K9286" s="9"/>
      <c r="L9286" s="9"/>
    </row>
    <row r="9287" s="105" customFormat="1" spans="9:12">
      <c r="I9287" s="225"/>
      <c r="K9287" s="9"/>
      <c r="L9287" s="9"/>
    </row>
    <row r="9288" s="105" customFormat="1" spans="9:12">
      <c r="I9288" s="225"/>
      <c r="K9288" s="9"/>
      <c r="L9288" s="9"/>
    </row>
    <row r="9289" s="105" customFormat="1" spans="9:12">
      <c r="I9289" s="225"/>
      <c r="K9289" s="9"/>
      <c r="L9289" s="9"/>
    </row>
    <row r="9290" s="105" customFormat="1" spans="9:12">
      <c r="I9290" s="225"/>
      <c r="K9290" s="9"/>
      <c r="L9290" s="9"/>
    </row>
    <row r="9291" s="105" customFormat="1" spans="9:12">
      <c r="I9291" s="225"/>
      <c r="K9291" s="9"/>
      <c r="L9291" s="9"/>
    </row>
    <row r="9292" s="105" customFormat="1" spans="9:12">
      <c r="I9292" s="225"/>
      <c r="K9292" s="9"/>
      <c r="L9292" s="9"/>
    </row>
    <row r="9293" s="105" customFormat="1" spans="9:12">
      <c r="I9293" s="225"/>
      <c r="K9293" s="9"/>
      <c r="L9293" s="9"/>
    </row>
    <row r="9294" s="105" customFormat="1" spans="9:12">
      <c r="I9294" s="225"/>
      <c r="K9294" s="9"/>
      <c r="L9294" s="9"/>
    </row>
    <row r="9295" s="105" customFormat="1" spans="9:12">
      <c r="I9295" s="225"/>
      <c r="K9295" s="9"/>
      <c r="L9295" s="9"/>
    </row>
    <row r="9296" s="105" customFormat="1" spans="9:12">
      <c r="I9296" s="225"/>
      <c r="K9296" s="9"/>
      <c r="L9296" s="9"/>
    </row>
    <row r="9297" s="105" customFormat="1" spans="9:12">
      <c r="I9297" s="225"/>
      <c r="K9297" s="9"/>
      <c r="L9297" s="9"/>
    </row>
    <row r="9298" s="105" customFormat="1" spans="9:12">
      <c r="I9298" s="225"/>
      <c r="K9298" s="9"/>
      <c r="L9298" s="9"/>
    </row>
    <row r="9299" s="105" customFormat="1" spans="9:12">
      <c r="I9299" s="225"/>
      <c r="K9299" s="9"/>
      <c r="L9299" s="9"/>
    </row>
    <row r="9300" s="105" customFormat="1" spans="9:12">
      <c r="I9300" s="225"/>
      <c r="K9300" s="9"/>
      <c r="L9300" s="9"/>
    </row>
    <row r="9301" s="105" customFormat="1" spans="9:12">
      <c r="I9301" s="225"/>
      <c r="K9301" s="9"/>
      <c r="L9301" s="9"/>
    </row>
    <row r="9302" s="105" customFormat="1" spans="9:12">
      <c r="I9302" s="225"/>
      <c r="K9302" s="9"/>
      <c r="L9302" s="9"/>
    </row>
    <row r="9303" s="105" customFormat="1" spans="9:12">
      <c r="I9303" s="225"/>
      <c r="K9303" s="9"/>
      <c r="L9303" s="9"/>
    </row>
    <row r="9304" s="105" customFormat="1" spans="9:12">
      <c r="I9304" s="225"/>
      <c r="K9304" s="9"/>
      <c r="L9304" s="9"/>
    </row>
    <row r="9305" s="105" customFormat="1" spans="9:12">
      <c r="I9305" s="225"/>
      <c r="K9305" s="9"/>
      <c r="L9305" s="9"/>
    </row>
    <row r="9306" s="105" customFormat="1" spans="9:12">
      <c r="I9306" s="225"/>
      <c r="K9306" s="9"/>
      <c r="L9306" s="9"/>
    </row>
    <row r="9307" s="105" customFormat="1" spans="9:12">
      <c r="I9307" s="225"/>
      <c r="K9307" s="9"/>
      <c r="L9307" s="9"/>
    </row>
    <row r="9308" s="105" customFormat="1" spans="9:12">
      <c r="I9308" s="225"/>
      <c r="K9308" s="9"/>
      <c r="L9308" s="9"/>
    </row>
    <row r="9309" s="105" customFormat="1" spans="9:12">
      <c r="I9309" s="225"/>
      <c r="K9309" s="9"/>
      <c r="L9309" s="9"/>
    </row>
    <row r="9310" s="105" customFormat="1" spans="9:12">
      <c r="I9310" s="225"/>
      <c r="K9310" s="9"/>
      <c r="L9310" s="9"/>
    </row>
    <row r="9311" s="105" customFormat="1" spans="9:12">
      <c r="I9311" s="225"/>
      <c r="K9311" s="9"/>
      <c r="L9311" s="9"/>
    </row>
    <row r="9312" s="105" customFormat="1" spans="9:12">
      <c r="I9312" s="225"/>
      <c r="K9312" s="9"/>
      <c r="L9312" s="9"/>
    </row>
    <row r="9313" s="105" customFormat="1" spans="9:12">
      <c r="I9313" s="225"/>
      <c r="K9313" s="9"/>
      <c r="L9313" s="9"/>
    </row>
    <row r="9314" s="105" customFormat="1" spans="9:12">
      <c r="I9314" s="225"/>
      <c r="K9314" s="9"/>
      <c r="L9314" s="9"/>
    </row>
    <row r="9315" s="105" customFormat="1" spans="9:12">
      <c r="I9315" s="225"/>
      <c r="K9315" s="9"/>
      <c r="L9315" s="9"/>
    </row>
    <row r="9316" s="105" customFormat="1" spans="9:12">
      <c r="I9316" s="225"/>
      <c r="K9316" s="9"/>
      <c r="L9316" s="9"/>
    </row>
    <row r="9317" s="105" customFormat="1" spans="9:12">
      <c r="I9317" s="225"/>
      <c r="K9317" s="9"/>
      <c r="L9317" s="9"/>
    </row>
    <row r="9318" s="105" customFormat="1" spans="9:12">
      <c r="I9318" s="225"/>
      <c r="K9318" s="9"/>
      <c r="L9318" s="9"/>
    </row>
    <row r="9319" s="105" customFormat="1" spans="9:12">
      <c r="I9319" s="225"/>
      <c r="K9319" s="9"/>
      <c r="L9319" s="9"/>
    </row>
    <row r="9320" s="105" customFormat="1" spans="9:12">
      <c r="I9320" s="225"/>
      <c r="K9320" s="9"/>
      <c r="L9320" s="9"/>
    </row>
    <row r="9321" s="105" customFormat="1" spans="9:12">
      <c r="I9321" s="225"/>
      <c r="K9321" s="9"/>
      <c r="L9321" s="9"/>
    </row>
    <row r="9322" s="105" customFormat="1" spans="9:12">
      <c r="I9322" s="225"/>
      <c r="K9322" s="9"/>
      <c r="L9322" s="9"/>
    </row>
    <row r="9323" s="105" customFormat="1" spans="9:12">
      <c r="I9323" s="225"/>
      <c r="K9323" s="9"/>
      <c r="L9323" s="9"/>
    </row>
    <row r="9324" s="105" customFormat="1" spans="9:12">
      <c r="I9324" s="225"/>
      <c r="K9324" s="9"/>
      <c r="L9324" s="9"/>
    </row>
    <row r="9325" s="105" customFormat="1" spans="9:12">
      <c r="I9325" s="225"/>
      <c r="K9325" s="9"/>
      <c r="L9325" s="9"/>
    </row>
    <row r="9326" s="105" customFormat="1" spans="9:12">
      <c r="I9326" s="225"/>
      <c r="K9326" s="9"/>
      <c r="L9326" s="9"/>
    </row>
    <row r="9327" s="105" customFormat="1" spans="9:12">
      <c r="I9327" s="225"/>
      <c r="K9327" s="9"/>
      <c r="L9327" s="9"/>
    </row>
    <row r="9328" s="105" customFormat="1" spans="9:12">
      <c r="I9328" s="225"/>
      <c r="K9328" s="9"/>
      <c r="L9328" s="9"/>
    </row>
    <row r="9329" s="105" customFormat="1" spans="9:12">
      <c r="I9329" s="225"/>
      <c r="K9329" s="9"/>
      <c r="L9329" s="9"/>
    </row>
    <row r="9330" s="105" customFormat="1" spans="9:12">
      <c r="I9330" s="225"/>
      <c r="K9330" s="9"/>
      <c r="L9330" s="9"/>
    </row>
    <row r="9331" s="105" customFormat="1" spans="9:12">
      <c r="I9331" s="225"/>
      <c r="K9331" s="9"/>
      <c r="L9331" s="9"/>
    </row>
    <row r="9332" s="105" customFormat="1" spans="9:12">
      <c r="I9332" s="225"/>
      <c r="K9332" s="9"/>
      <c r="L9332" s="9"/>
    </row>
    <row r="9333" s="105" customFormat="1" spans="9:12">
      <c r="I9333" s="225"/>
      <c r="K9333" s="9"/>
      <c r="L9333" s="9"/>
    </row>
    <row r="9334" s="105" customFormat="1" spans="9:12">
      <c r="I9334" s="225"/>
      <c r="K9334" s="9"/>
      <c r="L9334" s="9"/>
    </row>
    <row r="9335" s="105" customFormat="1" spans="9:12">
      <c r="I9335" s="225"/>
      <c r="K9335" s="9"/>
      <c r="L9335" s="9"/>
    </row>
    <row r="9336" s="105" customFormat="1" spans="9:12">
      <c r="I9336" s="225"/>
      <c r="K9336" s="9"/>
      <c r="L9336" s="9"/>
    </row>
    <row r="9337" s="105" customFormat="1" spans="9:12">
      <c r="I9337" s="225"/>
      <c r="K9337" s="9"/>
      <c r="L9337" s="9"/>
    </row>
    <row r="9338" s="105" customFormat="1" spans="9:12">
      <c r="I9338" s="225"/>
      <c r="K9338" s="9"/>
      <c r="L9338" s="9"/>
    </row>
    <row r="9339" s="105" customFormat="1" spans="9:12">
      <c r="I9339" s="225"/>
      <c r="K9339" s="9"/>
      <c r="L9339" s="9"/>
    </row>
    <row r="9340" s="105" customFormat="1" spans="9:12">
      <c r="I9340" s="225"/>
      <c r="K9340" s="9"/>
      <c r="L9340" s="9"/>
    </row>
    <row r="9341" s="105" customFormat="1" spans="9:12">
      <c r="I9341" s="225"/>
      <c r="K9341" s="9"/>
      <c r="L9341" s="9"/>
    </row>
    <row r="9342" s="105" customFormat="1" spans="9:12">
      <c r="I9342" s="225"/>
      <c r="K9342" s="9"/>
      <c r="L9342" s="9"/>
    </row>
    <row r="9343" s="105" customFormat="1" spans="9:12">
      <c r="I9343" s="225"/>
      <c r="K9343" s="9"/>
      <c r="L9343" s="9"/>
    </row>
    <row r="9344" s="105" customFormat="1" spans="9:12">
      <c r="I9344" s="225"/>
      <c r="K9344" s="9"/>
      <c r="L9344" s="9"/>
    </row>
    <row r="9345" s="105" customFormat="1" spans="9:12">
      <c r="I9345" s="225"/>
      <c r="K9345" s="9"/>
      <c r="L9345" s="9"/>
    </row>
    <row r="9346" s="105" customFormat="1" spans="9:12">
      <c r="I9346" s="225"/>
      <c r="K9346" s="9"/>
      <c r="L9346" s="9"/>
    </row>
    <row r="9347" s="105" customFormat="1" spans="9:12">
      <c r="I9347" s="225"/>
      <c r="K9347" s="9"/>
      <c r="L9347" s="9"/>
    </row>
    <row r="9348" s="105" customFormat="1" spans="9:12">
      <c r="I9348" s="225"/>
      <c r="K9348" s="9"/>
      <c r="L9348" s="9"/>
    </row>
    <row r="9349" s="105" customFormat="1" spans="9:12">
      <c r="I9349" s="225"/>
      <c r="K9349" s="9"/>
      <c r="L9349" s="9"/>
    </row>
    <row r="9350" s="105" customFormat="1" spans="9:12">
      <c r="I9350" s="225"/>
      <c r="K9350" s="9"/>
      <c r="L9350" s="9"/>
    </row>
    <row r="9351" s="105" customFormat="1" spans="9:12">
      <c r="I9351" s="225"/>
      <c r="K9351" s="9"/>
      <c r="L9351" s="9"/>
    </row>
    <row r="9352" s="105" customFormat="1" spans="9:12">
      <c r="I9352" s="225"/>
      <c r="K9352" s="9"/>
      <c r="L9352" s="9"/>
    </row>
    <row r="9353" s="105" customFormat="1" spans="9:12">
      <c r="I9353" s="225"/>
      <c r="K9353" s="9"/>
      <c r="L9353" s="9"/>
    </row>
    <row r="9354" s="105" customFormat="1" spans="9:12">
      <c r="I9354" s="225"/>
      <c r="K9354" s="9"/>
      <c r="L9354" s="9"/>
    </row>
    <row r="9355" s="105" customFormat="1" spans="9:12">
      <c r="I9355" s="225"/>
      <c r="K9355" s="9"/>
      <c r="L9355" s="9"/>
    </row>
    <row r="9356" s="105" customFormat="1" spans="9:12">
      <c r="I9356" s="225"/>
      <c r="K9356" s="9"/>
      <c r="L9356" s="9"/>
    </row>
    <row r="9357" s="105" customFormat="1" spans="9:12">
      <c r="I9357" s="225"/>
      <c r="K9357" s="9"/>
      <c r="L9357" s="9"/>
    </row>
    <row r="9358" s="105" customFormat="1" spans="9:12">
      <c r="I9358" s="225"/>
      <c r="K9358" s="9"/>
      <c r="L9358" s="9"/>
    </row>
    <row r="9359" s="105" customFormat="1" spans="9:12">
      <c r="I9359" s="225"/>
      <c r="K9359" s="9"/>
      <c r="L9359" s="9"/>
    </row>
    <row r="9360" s="105" customFormat="1" spans="9:12">
      <c r="I9360" s="225"/>
      <c r="K9360" s="9"/>
      <c r="L9360" s="9"/>
    </row>
    <row r="9361" s="105" customFormat="1" spans="9:12">
      <c r="I9361" s="225"/>
      <c r="K9361" s="9"/>
      <c r="L9361" s="9"/>
    </row>
    <row r="9362" s="105" customFormat="1" spans="9:12">
      <c r="I9362" s="225"/>
      <c r="K9362" s="9"/>
      <c r="L9362" s="9"/>
    </row>
    <row r="9363" s="105" customFormat="1" spans="9:12">
      <c r="I9363" s="225"/>
      <c r="K9363" s="9"/>
      <c r="L9363" s="9"/>
    </row>
    <row r="9364" s="105" customFormat="1" spans="9:12">
      <c r="I9364" s="225"/>
      <c r="K9364" s="9"/>
      <c r="L9364" s="9"/>
    </row>
    <row r="9365" s="105" customFormat="1" spans="9:12">
      <c r="I9365" s="225"/>
      <c r="K9365" s="9"/>
      <c r="L9365" s="9"/>
    </row>
    <row r="9366" s="105" customFormat="1" spans="9:12">
      <c r="I9366" s="225"/>
      <c r="K9366" s="9"/>
      <c r="L9366" s="9"/>
    </row>
    <row r="9367" s="105" customFormat="1" spans="9:12">
      <c r="I9367" s="225"/>
      <c r="K9367" s="9"/>
      <c r="L9367" s="9"/>
    </row>
    <row r="9368" s="105" customFormat="1" spans="9:12">
      <c r="I9368" s="225"/>
      <c r="K9368" s="9"/>
      <c r="L9368" s="9"/>
    </row>
    <row r="9369" s="105" customFormat="1" spans="9:12">
      <c r="I9369" s="225"/>
      <c r="K9369" s="9"/>
      <c r="L9369" s="9"/>
    </row>
    <row r="9370" s="105" customFormat="1" spans="9:12">
      <c r="I9370" s="225"/>
      <c r="K9370" s="9"/>
      <c r="L9370" s="9"/>
    </row>
    <row r="9371" s="105" customFormat="1" spans="9:12">
      <c r="I9371" s="225"/>
      <c r="K9371" s="9"/>
      <c r="L9371" s="9"/>
    </row>
    <row r="9372" s="105" customFormat="1" spans="9:12">
      <c r="I9372" s="225"/>
      <c r="K9372" s="9"/>
      <c r="L9372" s="9"/>
    </row>
    <row r="9373" s="105" customFormat="1" spans="9:12">
      <c r="I9373" s="225"/>
      <c r="K9373" s="9"/>
      <c r="L9373" s="9"/>
    </row>
    <row r="9374" s="105" customFormat="1" spans="9:12">
      <c r="I9374" s="225"/>
      <c r="K9374" s="9"/>
      <c r="L9374" s="9"/>
    </row>
    <row r="9375" s="105" customFormat="1" spans="9:12">
      <c r="I9375" s="225"/>
      <c r="K9375" s="9"/>
      <c r="L9375" s="9"/>
    </row>
    <row r="9376" s="105" customFormat="1" spans="9:12">
      <c r="I9376" s="225"/>
      <c r="K9376" s="9"/>
      <c r="L9376" s="9"/>
    </row>
    <row r="9377" s="105" customFormat="1" spans="9:12">
      <c r="I9377" s="225"/>
      <c r="K9377" s="9"/>
      <c r="L9377" s="9"/>
    </row>
    <row r="9378" s="105" customFormat="1" spans="9:12">
      <c r="I9378" s="225"/>
      <c r="K9378" s="9"/>
      <c r="L9378" s="9"/>
    </row>
    <row r="9379" s="105" customFormat="1" spans="9:12">
      <c r="I9379" s="225"/>
      <c r="K9379" s="9"/>
      <c r="L9379" s="9"/>
    </row>
    <row r="9380" s="105" customFormat="1" spans="9:12">
      <c r="I9380" s="225"/>
      <c r="K9380" s="9"/>
      <c r="L9380" s="9"/>
    </row>
    <row r="9381" s="105" customFormat="1" spans="9:12">
      <c r="I9381" s="225"/>
      <c r="K9381" s="9"/>
      <c r="L9381" s="9"/>
    </row>
    <row r="9382" s="105" customFormat="1" spans="9:12">
      <c r="I9382" s="225"/>
      <c r="K9382" s="9"/>
      <c r="L9382" s="9"/>
    </row>
    <row r="9383" s="105" customFormat="1" spans="9:12">
      <c r="I9383" s="225"/>
      <c r="K9383" s="9"/>
      <c r="L9383" s="9"/>
    </row>
    <row r="9384" s="105" customFormat="1" spans="9:12">
      <c r="I9384" s="225"/>
      <c r="K9384" s="9"/>
      <c r="L9384" s="9"/>
    </row>
    <row r="9385" s="105" customFormat="1" spans="9:12">
      <c r="I9385" s="225"/>
      <c r="K9385" s="9"/>
      <c r="L9385" s="9"/>
    </row>
    <row r="9386" s="105" customFormat="1" spans="9:12">
      <c r="I9386" s="225"/>
      <c r="K9386" s="9"/>
      <c r="L9386" s="9"/>
    </row>
    <row r="9387" s="105" customFormat="1" spans="9:12">
      <c r="I9387" s="225"/>
      <c r="K9387" s="9"/>
      <c r="L9387" s="9"/>
    </row>
    <row r="9388" s="105" customFormat="1" spans="9:12">
      <c r="I9388" s="225"/>
      <c r="K9388" s="9"/>
      <c r="L9388" s="9"/>
    </row>
    <row r="9389" s="105" customFormat="1" spans="9:12">
      <c r="I9389" s="225"/>
      <c r="K9389" s="9"/>
      <c r="L9389" s="9"/>
    </row>
    <row r="9390" s="105" customFormat="1" spans="9:12">
      <c r="I9390" s="225"/>
      <c r="K9390" s="9"/>
      <c r="L9390" s="9"/>
    </row>
    <row r="9391" s="105" customFormat="1" spans="9:12">
      <c r="I9391" s="225"/>
      <c r="K9391" s="9"/>
      <c r="L9391" s="9"/>
    </row>
    <row r="9392" s="105" customFormat="1" spans="9:12">
      <c r="I9392" s="225"/>
      <c r="K9392" s="9"/>
      <c r="L9392" s="9"/>
    </row>
    <row r="9393" s="105" customFormat="1" spans="9:12">
      <c r="I9393" s="225"/>
      <c r="K9393" s="9"/>
      <c r="L9393" s="9"/>
    </row>
    <row r="9394" s="105" customFormat="1" spans="9:12">
      <c r="I9394" s="225"/>
      <c r="K9394" s="9"/>
      <c r="L9394" s="9"/>
    </row>
    <row r="9395" s="105" customFormat="1" spans="9:12">
      <c r="I9395" s="225"/>
      <c r="K9395" s="9"/>
      <c r="L9395" s="9"/>
    </row>
    <row r="9396" s="105" customFormat="1" spans="9:12">
      <c r="I9396" s="225"/>
      <c r="K9396" s="9"/>
      <c r="L9396" s="9"/>
    </row>
    <row r="9397" s="105" customFormat="1" spans="9:12">
      <c r="I9397" s="225"/>
      <c r="K9397" s="9"/>
      <c r="L9397" s="9"/>
    </row>
    <row r="9398" s="105" customFormat="1" spans="9:12">
      <c r="I9398" s="225"/>
      <c r="K9398" s="9"/>
      <c r="L9398" s="9"/>
    </row>
    <row r="9399" s="105" customFormat="1" spans="9:12">
      <c r="I9399" s="225"/>
      <c r="K9399" s="9"/>
      <c r="L9399" s="9"/>
    </row>
    <row r="9400" s="105" customFormat="1" spans="9:12">
      <c r="I9400" s="225"/>
      <c r="K9400" s="9"/>
      <c r="L9400" s="9"/>
    </row>
    <row r="9401" s="105" customFormat="1" spans="9:12">
      <c r="I9401" s="225"/>
      <c r="K9401" s="9"/>
      <c r="L9401" s="9"/>
    </row>
    <row r="9402" s="105" customFormat="1" spans="9:12">
      <c r="I9402" s="225"/>
      <c r="K9402" s="9"/>
      <c r="L9402" s="9"/>
    </row>
    <row r="9403" s="105" customFormat="1" spans="9:12">
      <c r="I9403" s="225"/>
      <c r="K9403" s="9"/>
      <c r="L9403" s="9"/>
    </row>
    <row r="9404" s="105" customFormat="1" spans="9:12">
      <c r="I9404" s="225"/>
      <c r="K9404" s="9"/>
      <c r="L9404" s="9"/>
    </row>
    <row r="9405" s="105" customFormat="1" spans="9:12">
      <c r="I9405" s="225"/>
      <c r="K9405" s="9"/>
      <c r="L9405" s="9"/>
    </row>
    <row r="9406" s="105" customFormat="1" spans="9:12">
      <c r="I9406" s="225"/>
      <c r="K9406" s="9"/>
      <c r="L9406" s="9"/>
    </row>
    <row r="9407" s="105" customFormat="1" spans="9:12">
      <c r="I9407" s="225"/>
      <c r="K9407" s="9"/>
      <c r="L9407" s="9"/>
    </row>
    <row r="9408" s="105" customFormat="1" spans="9:12">
      <c r="I9408" s="225"/>
      <c r="K9408" s="9"/>
      <c r="L9408" s="9"/>
    </row>
    <row r="9409" s="105" customFormat="1" spans="9:12">
      <c r="I9409" s="225"/>
      <c r="K9409" s="9"/>
      <c r="L9409" s="9"/>
    </row>
    <row r="9410" s="105" customFormat="1" spans="9:12">
      <c r="I9410" s="225"/>
      <c r="K9410" s="9"/>
      <c r="L9410" s="9"/>
    </row>
    <row r="9411" s="105" customFormat="1" spans="9:12">
      <c r="I9411" s="225"/>
      <c r="K9411" s="9"/>
      <c r="L9411" s="9"/>
    </row>
    <row r="9412" s="105" customFormat="1" spans="9:12">
      <c r="I9412" s="225"/>
      <c r="K9412" s="9"/>
      <c r="L9412" s="9"/>
    </row>
    <row r="9413" s="105" customFormat="1" spans="9:12">
      <c r="I9413" s="225"/>
      <c r="K9413" s="9"/>
      <c r="L9413" s="9"/>
    </row>
    <row r="9414" s="105" customFormat="1" spans="9:12">
      <c r="I9414" s="225"/>
      <c r="K9414" s="9"/>
      <c r="L9414" s="9"/>
    </row>
    <row r="9415" s="105" customFormat="1" spans="9:12">
      <c r="I9415" s="225"/>
      <c r="K9415" s="9"/>
      <c r="L9415" s="9"/>
    </row>
    <row r="9416" s="105" customFormat="1" spans="9:12">
      <c r="I9416" s="225"/>
      <c r="K9416" s="9"/>
      <c r="L9416" s="9"/>
    </row>
    <row r="9417" s="105" customFormat="1" spans="9:12">
      <c r="I9417" s="225"/>
      <c r="K9417" s="9"/>
      <c r="L9417" s="9"/>
    </row>
    <row r="9418" s="105" customFormat="1" spans="9:12">
      <c r="I9418" s="225"/>
      <c r="K9418" s="9"/>
      <c r="L9418" s="9"/>
    </row>
    <row r="9419" s="105" customFormat="1" spans="9:12">
      <c r="I9419" s="225"/>
      <c r="K9419" s="9"/>
      <c r="L9419" s="9"/>
    </row>
    <row r="9420" s="105" customFormat="1" spans="9:12">
      <c r="I9420" s="225"/>
      <c r="K9420" s="9"/>
      <c r="L9420" s="9"/>
    </row>
    <row r="9421" s="105" customFormat="1" spans="9:12">
      <c r="I9421" s="225"/>
      <c r="K9421" s="9"/>
      <c r="L9421" s="9"/>
    </row>
    <row r="9422" s="105" customFormat="1" spans="9:12">
      <c r="I9422" s="225"/>
      <c r="K9422" s="9"/>
      <c r="L9422" s="9"/>
    </row>
    <row r="9423" s="105" customFormat="1" spans="9:12">
      <c r="I9423" s="225"/>
      <c r="K9423" s="9"/>
      <c r="L9423" s="9"/>
    </row>
    <row r="9424" s="105" customFormat="1" spans="9:12">
      <c r="I9424" s="225"/>
      <c r="K9424" s="9"/>
      <c r="L9424" s="9"/>
    </row>
    <row r="9425" s="105" customFormat="1" spans="9:12">
      <c r="I9425" s="225"/>
      <c r="K9425" s="9"/>
      <c r="L9425" s="9"/>
    </row>
    <row r="9426" s="105" customFormat="1" spans="9:12">
      <c r="I9426" s="225"/>
      <c r="K9426" s="9"/>
      <c r="L9426" s="9"/>
    </row>
    <row r="9427" s="105" customFormat="1" spans="9:12">
      <c r="I9427" s="225"/>
      <c r="K9427" s="9"/>
      <c r="L9427" s="9"/>
    </row>
    <row r="9428" s="105" customFormat="1" spans="9:12">
      <c r="I9428" s="225"/>
      <c r="K9428" s="9"/>
      <c r="L9428" s="9"/>
    </row>
    <row r="9429" s="105" customFormat="1" spans="9:12">
      <c r="I9429" s="225"/>
      <c r="K9429" s="9"/>
      <c r="L9429" s="9"/>
    </row>
    <row r="9430" s="105" customFormat="1" spans="9:12">
      <c r="I9430" s="225"/>
      <c r="K9430" s="9"/>
      <c r="L9430" s="9"/>
    </row>
    <row r="9431" s="105" customFormat="1" spans="9:12">
      <c r="I9431" s="225"/>
      <c r="K9431" s="9"/>
      <c r="L9431" s="9"/>
    </row>
    <row r="9432" s="105" customFormat="1" spans="9:12">
      <c r="I9432" s="225"/>
      <c r="K9432" s="9"/>
      <c r="L9432" s="9"/>
    </row>
    <row r="9433" s="105" customFormat="1" spans="9:12">
      <c r="I9433" s="225"/>
      <c r="K9433" s="9"/>
      <c r="L9433" s="9"/>
    </row>
    <row r="9434" s="105" customFormat="1" spans="9:12">
      <c r="I9434" s="225"/>
      <c r="K9434" s="9"/>
      <c r="L9434" s="9"/>
    </row>
    <row r="9435" s="105" customFormat="1" spans="9:12">
      <c r="I9435" s="225"/>
      <c r="K9435" s="9"/>
      <c r="L9435" s="9"/>
    </row>
    <row r="9436" s="105" customFormat="1" spans="9:12">
      <c r="I9436" s="225"/>
      <c r="K9436" s="9"/>
      <c r="L9436" s="9"/>
    </row>
    <row r="9437" s="105" customFormat="1" spans="9:12">
      <c r="I9437" s="225"/>
      <c r="K9437" s="9"/>
      <c r="L9437" s="9"/>
    </row>
    <row r="9438" s="105" customFormat="1" spans="9:12">
      <c r="I9438" s="225"/>
      <c r="K9438" s="9"/>
      <c r="L9438" s="9"/>
    </row>
    <row r="9439" s="105" customFormat="1" spans="9:12">
      <c r="I9439" s="225"/>
      <c r="K9439" s="9"/>
      <c r="L9439" s="9"/>
    </row>
    <row r="9440" s="105" customFormat="1" spans="9:12">
      <c r="I9440" s="225"/>
      <c r="K9440" s="9"/>
      <c r="L9440" s="9"/>
    </row>
    <row r="9441" s="105" customFormat="1" spans="9:12">
      <c r="I9441" s="225"/>
      <c r="K9441" s="9"/>
      <c r="L9441" s="9"/>
    </row>
    <row r="9442" s="105" customFormat="1" spans="9:12">
      <c r="I9442" s="225"/>
      <c r="K9442" s="9"/>
      <c r="L9442" s="9"/>
    </row>
    <row r="9443" s="105" customFormat="1" spans="9:12">
      <c r="I9443" s="225"/>
      <c r="K9443" s="9"/>
      <c r="L9443" s="9"/>
    </row>
    <row r="9444" s="105" customFormat="1" spans="9:12">
      <c r="I9444" s="225"/>
      <c r="K9444" s="9"/>
      <c r="L9444" s="9"/>
    </row>
    <row r="9445" s="105" customFormat="1" spans="9:12">
      <c r="I9445" s="225"/>
      <c r="K9445" s="9"/>
      <c r="L9445" s="9"/>
    </row>
    <row r="9446" s="105" customFormat="1" spans="9:12">
      <c r="I9446" s="225"/>
      <c r="K9446" s="9"/>
      <c r="L9446" s="9"/>
    </row>
    <row r="9447" s="105" customFormat="1" spans="9:12">
      <c r="I9447" s="225"/>
      <c r="K9447" s="9"/>
      <c r="L9447" s="9"/>
    </row>
    <row r="9448" s="105" customFormat="1" spans="9:12">
      <c r="I9448" s="225"/>
      <c r="K9448" s="9"/>
      <c r="L9448" s="9"/>
    </row>
    <row r="9449" s="105" customFormat="1" spans="9:12">
      <c r="I9449" s="225"/>
      <c r="K9449" s="9"/>
      <c r="L9449" s="9"/>
    </row>
    <row r="9450" s="105" customFormat="1" spans="9:12">
      <c r="I9450" s="225"/>
      <c r="K9450" s="9"/>
      <c r="L9450" s="9"/>
    </row>
    <row r="9451" s="105" customFormat="1" spans="9:12">
      <c r="I9451" s="225"/>
      <c r="K9451" s="9"/>
      <c r="L9451" s="9"/>
    </row>
    <row r="9452" s="105" customFormat="1" spans="9:12">
      <c r="I9452" s="225"/>
      <c r="K9452" s="9"/>
      <c r="L9452" s="9"/>
    </row>
    <row r="9453" s="105" customFormat="1" spans="9:12">
      <c r="I9453" s="225"/>
      <c r="K9453" s="9"/>
      <c r="L9453" s="9"/>
    </row>
    <row r="9454" s="105" customFormat="1" spans="9:12">
      <c r="I9454" s="225"/>
      <c r="K9454" s="9"/>
      <c r="L9454" s="9"/>
    </row>
    <row r="9455" s="105" customFormat="1" spans="9:12">
      <c r="I9455" s="225"/>
      <c r="K9455" s="9"/>
      <c r="L9455" s="9"/>
    </row>
    <row r="9456" s="105" customFormat="1" spans="9:12">
      <c r="I9456" s="225"/>
      <c r="K9456" s="9"/>
      <c r="L9456" s="9"/>
    </row>
    <row r="9457" s="105" customFormat="1" spans="9:12">
      <c r="I9457" s="225"/>
      <c r="K9457" s="9"/>
      <c r="L9457" s="9"/>
    </row>
    <row r="9458" s="105" customFormat="1" spans="9:12">
      <c r="I9458" s="225"/>
      <c r="K9458" s="9"/>
      <c r="L9458" s="9"/>
    </row>
    <row r="9459" s="105" customFormat="1" spans="9:12">
      <c r="I9459" s="225"/>
      <c r="K9459" s="9"/>
      <c r="L9459" s="9"/>
    </row>
    <row r="9460" s="105" customFormat="1" spans="9:12">
      <c r="I9460" s="225"/>
      <c r="K9460" s="9"/>
      <c r="L9460" s="9"/>
    </row>
    <row r="9461" s="105" customFormat="1" spans="9:12">
      <c r="I9461" s="225"/>
      <c r="K9461" s="9"/>
      <c r="L9461" s="9"/>
    </row>
    <row r="9462" s="105" customFormat="1" spans="9:12">
      <c r="I9462" s="225"/>
      <c r="K9462" s="9"/>
      <c r="L9462" s="9"/>
    </row>
    <row r="9463" s="105" customFormat="1" spans="9:12">
      <c r="I9463" s="225"/>
      <c r="K9463" s="9"/>
      <c r="L9463" s="9"/>
    </row>
    <row r="9464" s="105" customFormat="1" spans="9:12">
      <c r="I9464" s="225"/>
      <c r="K9464" s="9"/>
      <c r="L9464" s="9"/>
    </row>
    <row r="9465" s="105" customFormat="1" spans="9:12">
      <c r="I9465" s="225"/>
      <c r="K9465" s="9"/>
      <c r="L9465" s="9"/>
    </row>
    <row r="9466" s="105" customFormat="1" spans="9:12">
      <c r="I9466" s="225"/>
      <c r="K9466" s="9"/>
      <c r="L9466" s="9"/>
    </row>
    <row r="9467" s="105" customFormat="1" spans="9:12">
      <c r="I9467" s="225"/>
      <c r="K9467" s="9"/>
      <c r="L9467" s="9"/>
    </row>
    <row r="9468" s="105" customFormat="1" spans="9:12">
      <c r="I9468" s="225"/>
      <c r="K9468" s="9"/>
      <c r="L9468" s="9"/>
    </row>
    <row r="9469" s="105" customFormat="1" spans="9:12">
      <c r="I9469" s="225"/>
      <c r="K9469" s="9"/>
      <c r="L9469" s="9"/>
    </row>
    <row r="9470" s="105" customFormat="1" spans="9:12">
      <c r="I9470" s="225"/>
      <c r="K9470" s="9"/>
      <c r="L9470" s="9"/>
    </row>
    <row r="9471" s="105" customFormat="1" spans="9:12">
      <c r="I9471" s="225"/>
      <c r="K9471" s="9"/>
      <c r="L9471" s="9"/>
    </row>
    <row r="9472" s="105" customFormat="1" spans="9:12">
      <c r="I9472" s="225"/>
      <c r="K9472" s="9"/>
      <c r="L9472" s="9"/>
    </row>
    <row r="9473" s="105" customFormat="1" spans="9:12">
      <c r="I9473" s="225"/>
      <c r="K9473" s="9"/>
      <c r="L9473" s="9"/>
    </row>
    <row r="9474" s="105" customFormat="1" spans="9:12">
      <c r="I9474" s="225"/>
      <c r="K9474" s="9"/>
      <c r="L9474" s="9"/>
    </row>
    <row r="9475" s="105" customFormat="1" spans="9:12">
      <c r="I9475" s="225"/>
      <c r="K9475" s="9"/>
      <c r="L9475" s="9"/>
    </row>
    <row r="9476" s="105" customFormat="1" spans="9:12">
      <c r="I9476" s="225"/>
      <c r="K9476" s="9"/>
      <c r="L9476" s="9"/>
    </row>
    <row r="9477" s="105" customFormat="1" spans="9:12">
      <c r="I9477" s="225"/>
      <c r="K9477" s="9"/>
      <c r="L9477" s="9"/>
    </row>
    <row r="9478" s="105" customFormat="1" spans="9:12">
      <c r="I9478" s="225"/>
      <c r="K9478" s="9"/>
      <c r="L9478" s="9"/>
    </row>
    <row r="9479" s="105" customFormat="1" spans="9:12">
      <c r="I9479" s="225"/>
      <c r="K9479" s="9"/>
      <c r="L9479" s="9"/>
    </row>
    <row r="9480" s="105" customFormat="1" spans="9:12">
      <c r="I9480" s="225"/>
      <c r="K9480" s="9"/>
      <c r="L9480" s="9"/>
    </row>
    <row r="9481" s="105" customFormat="1" spans="9:12">
      <c r="I9481" s="225"/>
      <c r="K9481" s="9"/>
      <c r="L9481" s="9"/>
    </row>
    <row r="9482" s="105" customFormat="1" spans="9:12">
      <c r="I9482" s="225"/>
      <c r="K9482" s="9"/>
      <c r="L9482" s="9"/>
    </row>
    <row r="9483" s="105" customFormat="1" spans="9:12">
      <c r="I9483" s="225"/>
      <c r="K9483" s="9"/>
      <c r="L9483" s="9"/>
    </row>
    <row r="9484" s="105" customFormat="1" spans="9:12">
      <c r="I9484" s="225"/>
      <c r="K9484" s="9"/>
      <c r="L9484" s="9"/>
    </row>
    <row r="9485" s="105" customFormat="1" spans="9:12">
      <c r="I9485" s="225"/>
      <c r="K9485" s="9"/>
      <c r="L9485" s="9"/>
    </row>
    <row r="9486" s="105" customFormat="1" spans="9:12">
      <c r="I9486" s="225"/>
      <c r="K9486" s="9"/>
      <c r="L9486" s="9"/>
    </row>
    <row r="9487" s="105" customFormat="1" spans="9:12">
      <c r="I9487" s="225"/>
      <c r="K9487" s="9"/>
      <c r="L9487" s="9"/>
    </row>
    <row r="9488" s="105" customFormat="1" spans="9:12">
      <c r="I9488" s="225"/>
      <c r="K9488" s="9"/>
      <c r="L9488" s="9"/>
    </row>
    <row r="9489" s="105" customFormat="1" spans="9:12">
      <c r="I9489" s="225"/>
      <c r="K9489" s="9"/>
      <c r="L9489" s="9"/>
    </row>
    <row r="9490" s="105" customFormat="1" spans="9:12">
      <c r="I9490" s="225"/>
      <c r="K9490" s="9"/>
      <c r="L9490" s="9"/>
    </row>
    <row r="9491" s="105" customFormat="1" spans="9:12">
      <c r="I9491" s="225"/>
      <c r="K9491" s="9"/>
      <c r="L9491" s="9"/>
    </row>
    <row r="9492" s="105" customFormat="1" spans="9:12">
      <c r="I9492" s="225"/>
      <c r="K9492" s="9"/>
      <c r="L9492" s="9"/>
    </row>
    <row r="9493" s="105" customFormat="1" spans="9:12">
      <c r="I9493" s="225"/>
      <c r="K9493" s="9"/>
      <c r="L9493" s="9"/>
    </row>
    <row r="9494" s="105" customFormat="1" spans="9:12">
      <c r="I9494" s="225"/>
      <c r="K9494" s="9"/>
      <c r="L9494" s="9"/>
    </row>
    <row r="9495" s="105" customFormat="1" spans="9:12">
      <c r="I9495" s="225"/>
      <c r="K9495" s="9"/>
      <c r="L9495" s="9"/>
    </row>
    <row r="9496" s="105" customFormat="1" spans="9:12">
      <c r="I9496" s="225"/>
      <c r="K9496" s="9"/>
      <c r="L9496" s="9"/>
    </row>
    <row r="9497" s="105" customFormat="1" spans="9:12">
      <c r="I9497" s="225"/>
      <c r="K9497" s="9"/>
      <c r="L9497" s="9"/>
    </row>
    <row r="9498" s="105" customFormat="1" spans="9:12">
      <c r="I9498" s="225"/>
      <c r="K9498" s="9"/>
      <c r="L9498" s="9"/>
    </row>
    <row r="9499" s="105" customFormat="1" spans="9:12">
      <c r="I9499" s="225"/>
      <c r="K9499" s="9"/>
      <c r="L9499" s="9"/>
    </row>
    <row r="9500" s="105" customFormat="1" spans="9:12">
      <c r="I9500" s="225"/>
      <c r="K9500" s="9"/>
      <c r="L9500" s="9"/>
    </row>
    <row r="9501" s="105" customFormat="1" spans="9:12">
      <c r="I9501" s="225"/>
      <c r="K9501" s="9"/>
      <c r="L9501" s="9"/>
    </row>
    <row r="9502" s="105" customFormat="1" spans="9:12">
      <c r="I9502" s="225"/>
      <c r="K9502" s="9"/>
      <c r="L9502" s="9"/>
    </row>
    <row r="9503" s="105" customFormat="1" spans="9:12">
      <c r="I9503" s="225"/>
      <c r="K9503" s="9"/>
      <c r="L9503" s="9"/>
    </row>
    <row r="9504" s="105" customFormat="1" spans="9:12">
      <c r="I9504" s="225"/>
      <c r="K9504" s="9"/>
      <c r="L9504" s="9"/>
    </row>
    <row r="9505" s="105" customFormat="1" spans="9:12">
      <c r="I9505" s="225"/>
      <c r="K9505" s="9"/>
      <c r="L9505" s="9"/>
    </row>
    <row r="9506" s="105" customFormat="1" spans="9:12">
      <c r="I9506" s="225"/>
      <c r="K9506" s="9"/>
      <c r="L9506" s="9"/>
    </row>
    <row r="9507" s="105" customFormat="1" spans="9:12">
      <c r="I9507" s="225"/>
      <c r="K9507" s="9"/>
      <c r="L9507" s="9"/>
    </row>
    <row r="9508" s="105" customFormat="1" spans="9:12">
      <c r="I9508" s="225"/>
      <c r="K9508" s="9"/>
      <c r="L9508" s="9"/>
    </row>
    <row r="9509" s="105" customFormat="1" spans="9:12">
      <c r="I9509" s="225"/>
      <c r="K9509" s="9"/>
      <c r="L9509" s="9"/>
    </row>
    <row r="9510" s="105" customFormat="1" spans="9:12">
      <c r="I9510" s="225"/>
      <c r="K9510" s="9"/>
      <c r="L9510" s="9"/>
    </row>
    <row r="9511" s="105" customFormat="1" spans="9:12">
      <c r="I9511" s="225"/>
      <c r="K9511" s="9"/>
      <c r="L9511" s="9"/>
    </row>
    <row r="9512" s="105" customFormat="1" spans="9:12">
      <c r="I9512" s="225"/>
      <c r="K9512" s="9"/>
      <c r="L9512" s="9"/>
    </row>
    <row r="9513" s="105" customFormat="1" spans="9:12">
      <c r="I9513" s="225"/>
      <c r="K9513" s="9"/>
      <c r="L9513" s="9"/>
    </row>
    <row r="9514" s="105" customFormat="1" spans="9:12">
      <c r="I9514" s="225"/>
      <c r="K9514" s="9"/>
      <c r="L9514" s="9"/>
    </row>
    <row r="9515" s="105" customFormat="1" spans="9:12">
      <c r="I9515" s="225"/>
      <c r="K9515" s="9"/>
      <c r="L9515" s="9"/>
    </row>
    <row r="9516" s="105" customFormat="1" spans="9:12">
      <c r="I9516" s="225"/>
      <c r="K9516" s="9"/>
      <c r="L9516" s="9"/>
    </row>
    <row r="9517" s="105" customFormat="1" spans="9:12">
      <c r="I9517" s="225"/>
      <c r="K9517" s="9"/>
      <c r="L9517" s="9"/>
    </row>
    <row r="9518" s="105" customFormat="1" spans="9:12">
      <c r="I9518" s="225"/>
      <c r="K9518" s="9"/>
      <c r="L9518" s="9"/>
    </row>
    <row r="9519" s="105" customFormat="1" spans="9:12">
      <c r="I9519" s="225"/>
      <c r="K9519" s="9"/>
      <c r="L9519" s="9"/>
    </row>
    <row r="9520" s="105" customFormat="1" spans="9:12">
      <c r="I9520" s="225"/>
      <c r="K9520" s="9"/>
      <c r="L9520" s="9"/>
    </row>
    <row r="9521" s="105" customFormat="1" spans="9:12">
      <c r="I9521" s="225"/>
      <c r="K9521" s="9"/>
      <c r="L9521" s="9"/>
    </row>
    <row r="9522" s="105" customFormat="1" spans="9:12">
      <c r="I9522" s="225"/>
      <c r="K9522" s="9"/>
      <c r="L9522" s="9"/>
    </row>
    <row r="9523" s="105" customFormat="1" spans="9:12">
      <c r="I9523" s="225"/>
      <c r="K9523" s="9"/>
      <c r="L9523" s="9"/>
    </row>
    <row r="9524" s="105" customFormat="1" spans="9:12">
      <c r="I9524" s="225"/>
      <c r="K9524" s="9"/>
      <c r="L9524" s="9"/>
    </row>
    <row r="9525" s="105" customFormat="1" spans="9:12">
      <c r="I9525" s="225"/>
      <c r="K9525" s="9"/>
      <c r="L9525" s="9"/>
    </row>
    <row r="9526" s="105" customFormat="1" spans="9:12">
      <c r="I9526" s="225"/>
      <c r="K9526" s="9"/>
      <c r="L9526" s="9"/>
    </row>
    <row r="9527" s="105" customFormat="1" spans="9:12">
      <c r="I9527" s="225"/>
      <c r="K9527" s="9"/>
      <c r="L9527" s="9"/>
    </row>
    <row r="9528" s="105" customFormat="1" spans="9:12">
      <c r="I9528" s="225"/>
      <c r="K9528" s="9"/>
      <c r="L9528" s="9"/>
    </row>
    <row r="9529" s="105" customFormat="1" spans="9:12">
      <c r="I9529" s="225"/>
      <c r="K9529" s="9"/>
      <c r="L9529" s="9"/>
    </row>
    <row r="9530" s="105" customFormat="1" spans="9:12">
      <c r="I9530" s="225"/>
      <c r="K9530" s="9"/>
      <c r="L9530" s="9"/>
    </row>
    <row r="9531" s="105" customFormat="1" spans="9:12">
      <c r="I9531" s="225"/>
      <c r="K9531" s="9"/>
      <c r="L9531" s="9"/>
    </row>
    <row r="9532" s="105" customFormat="1" spans="9:12">
      <c r="I9532" s="225"/>
      <c r="K9532" s="9"/>
      <c r="L9532" s="9"/>
    </row>
    <row r="9533" s="105" customFormat="1" spans="9:12">
      <c r="I9533" s="225"/>
      <c r="K9533" s="9"/>
      <c r="L9533" s="9"/>
    </row>
    <row r="9534" s="105" customFormat="1" spans="9:12">
      <c r="I9534" s="225"/>
      <c r="K9534" s="9"/>
      <c r="L9534" s="9"/>
    </row>
    <row r="9535" s="105" customFormat="1" spans="9:12">
      <c r="I9535" s="225"/>
      <c r="K9535" s="9"/>
      <c r="L9535" s="9"/>
    </row>
    <row r="9536" s="105" customFormat="1" spans="9:12">
      <c r="I9536" s="225"/>
      <c r="K9536" s="9"/>
      <c r="L9536" s="9"/>
    </row>
    <row r="9537" s="105" customFormat="1" spans="9:12">
      <c r="I9537" s="225"/>
      <c r="K9537" s="9"/>
      <c r="L9537" s="9"/>
    </row>
    <row r="9538" s="105" customFormat="1" spans="9:12">
      <c r="I9538" s="225"/>
      <c r="K9538" s="9"/>
      <c r="L9538" s="9"/>
    </row>
    <row r="9539" s="105" customFormat="1" spans="9:12">
      <c r="I9539" s="225"/>
      <c r="K9539" s="9"/>
      <c r="L9539" s="9"/>
    </row>
    <row r="9540" s="105" customFormat="1" spans="9:12">
      <c r="I9540" s="225"/>
      <c r="K9540" s="9"/>
      <c r="L9540" s="9"/>
    </row>
    <row r="9541" s="105" customFormat="1" spans="9:12">
      <c r="I9541" s="225"/>
      <c r="K9541" s="9"/>
      <c r="L9541" s="9"/>
    </row>
    <row r="9542" s="105" customFormat="1" spans="9:12">
      <c r="I9542" s="225"/>
      <c r="K9542" s="9"/>
      <c r="L9542" s="9"/>
    </row>
    <row r="9543" s="105" customFormat="1" spans="9:12">
      <c r="I9543" s="225"/>
      <c r="K9543" s="9"/>
      <c r="L9543" s="9"/>
    </row>
    <row r="9544" s="105" customFormat="1" spans="9:12">
      <c r="I9544" s="225"/>
      <c r="K9544" s="9"/>
      <c r="L9544" s="9"/>
    </row>
    <row r="9545" s="105" customFormat="1" spans="9:12">
      <c r="I9545" s="225"/>
      <c r="K9545" s="9"/>
      <c r="L9545" s="9"/>
    </row>
    <row r="9546" s="105" customFormat="1" spans="9:12">
      <c r="I9546" s="225"/>
      <c r="K9546" s="9"/>
      <c r="L9546" s="9"/>
    </row>
    <row r="9547" s="105" customFormat="1" spans="9:12">
      <c r="I9547" s="225"/>
      <c r="K9547" s="9"/>
      <c r="L9547" s="9"/>
    </row>
    <row r="9548" s="105" customFormat="1" spans="9:12">
      <c r="I9548" s="225"/>
      <c r="K9548" s="9"/>
      <c r="L9548" s="9"/>
    </row>
    <row r="9549" s="105" customFormat="1" spans="9:12">
      <c r="I9549" s="225"/>
      <c r="K9549" s="9"/>
      <c r="L9549" s="9"/>
    </row>
    <row r="9550" s="105" customFormat="1" spans="9:12">
      <c r="I9550" s="225"/>
      <c r="K9550" s="9"/>
      <c r="L9550" s="9"/>
    </row>
    <row r="9551" s="105" customFormat="1" spans="9:12">
      <c r="I9551" s="225"/>
      <c r="K9551" s="9"/>
      <c r="L9551" s="9"/>
    </row>
    <row r="9552" s="105" customFormat="1" spans="9:12">
      <c r="I9552" s="225"/>
      <c r="K9552" s="9"/>
      <c r="L9552" s="9"/>
    </row>
    <row r="9553" s="105" customFormat="1" spans="9:12">
      <c r="I9553" s="225"/>
      <c r="K9553" s="9"/>
      <c r="L9553" s="9"/>
    </row>
    <row r="9554" s="105" customFormat="1" spans="9:12">
      <c r="I9554" s="225"/>
      <c r="K9554" s="9"/>
      <c r="L9554" s="9"/>
    </row>
    <row r="9555" s="105" customFormat="1" spans="9:12">
      <c r="I9555" s="225"/>
      <c r="K9555" s="9"/>
      <c r="L9555" s="9"/>
    </row>
    <row r="9556" s="105" customFormat="1" spans="9:12">
      <c r="I9556" s="225"/>
      <c r="K9556" s="9"/>
      <c r="L9556" s="9"/>
    </row>
    <row r="9557" s="105" customFormat="1" spans="9:12">
      <c r="I9557" s="225"/>
      <c r="K9557" s="9"/>
      <c r="L9557" s="9"/>
    </row>
    <row r="9558" s="105" customFormat="1" spans="9:12">
      <c r="I9558" s="225"/>
      <c r="K9558" s="9"/>
      <c r="L9558" s="9"/>
    </row>
    <row r="9559" s="105" customFormat="1" spans="9:12">
      <c r="I9559" s="225"/>
      <c r="K9559" s="9"/>
      <c r="L9559" s="9"/>
    </row>
    <row r="9560" s="105" customFormat="1" spans="9:12">
      <c r="I9560" s="225"/>
      <c r="K9560" s="9"/>
      <c r="L9560" s="9"/>
    </row>
    <row r="9561" s="105" customFormat="1" spans="9:12">
      <c r="I9561" s="225"/>
      <c r="K9561" s="9"/>
      <c r="L9561" s="9"/>
    </row>
    <row r="9562" s="105" customFormat="1" spans="9:12">
      <c r="I9562" s="225"/>
      <c r="K9562" s="9"/>
      <c r="L9562" s="9"/>
    </row>
    <row r="9563" s="105" customFormat="1" spans="9:12">
      <c r="I9563" s="225"/>
      <c r="K9563" s="9"/>
      <c r="L9563" s="9"/>
    </row>
    <row r="9564" s="105" customFormat="1" spans="9:12">
      <c r="I9564" s="225"/>
      <c r="K9564" s="9"/>
      <c r="L9564" s="9"/>
    </row>
    <row r="9565" s="105" customFormat="1" spans="9:12">
      <c r="I9565" s="225"/>
      <c r="K9565" s="9"/>
      <c r="L9565" s="9"/>
    </row>
    <row r="9566" s="105" customFormat="1" spans="9:12">
      <c r="I9566" s="225"/>
      <c r="K9566" s="9"/>
      <c r="L9566" s="9"/>
    </row>
    <row r="9567" s="105" customFormat="1" spans="9:12">
      <c r="I9567" s="225"/>
      <c r="K9567" s="9"/>
      <c r="L9567" s="9"/>
    </row>
    <row r="9568" s="105" customFormat="1" spans="9:12">
      <c r="I9568" s="225"/>
      <c r="K9568" s="9"/>
      <c r="L9568" s="9"/>
    </row>
    <row r="9569" s="105" customFormat="1" spans="9:12">
      <c r="I9569" s="225"/>
      <c r="K9569" s="9"/>
      <c r="L9569" s="9"/>
    </row>
    <row r="9570" s="105" customFormat="1" spans="9:12">
      <c r="I9570" s="225"/>
      <c r="K9570" s="9"/>
      <c r="L9570" s="9"/>
    </row>
    <row r="9571" s="105" customFormat="1" spans="9:12">
      <c r="I9571" s="225"/>
      <c r="K9571" s="9"/>
      <c r="L9571" s="9"/>
    </row>
    <row r="9572" s="105" customFormat="1" spans="9:12">
      <c r="I9572" s="225"/>
      <c r="K9572" s="9"/>
      <c r="L9572" s="9"/>
    </row>
    <row r="9573" s="105" customFormat="1" spans="9:12">
      <c r="I9573" s="225"/>
      <c r="K9573" s="9"/>
      <c r="L9573" s="9"/>
    </row>
    <row r="9574" s="105" customFormat="1" spans="9:12">
      <c r="I9574" s="225"/>
      <c r="K9574" s="9"/>
      <c r="L9574" s="9"/>
    </row>
    <row r="9575" s="105" customFormat="1" spans="9:12">
      <c r="I9575" s="225"/>
      <c r="K9575" s="9"/>
      <c r="L9575" s="9"/>
    </row>
    <row r="9576" s="105" customFormat="1" spans="9:12">
      <c r="I9576" s="225"/>
      <c r="K9576" s="9"/>
      <c r="L9576" s="9"/>
    </row>
    <row r="9577" s="105" customFormat="1" spans="9:12">
      <c r="I9577" s="225"/>
      <c r="K9577" s="9"/>
      <c r="L9577" s="9"/>
    </row>
    <row r="9578" s="105" customFormat="1" spans="9:12">
      <c r="I9578" s="225"/>
      <c r="K9578" s="9"/>
      <c r="L9578" s="9"/>
    </row>
    <row r="9579" s="105" customFormat="1" spans="9:12">
      <c r="I9579" s="225"/>
      <c r="K9579" s="9"/>
      <c r="L9579" s="9"/>
    </row>
    <row r="9580" s="105" customFormat="1" spans="9:12">
      <c r="I9580" s="225"/>
      <c r="K9580" s="9"/>
      <c r="L9580" s="9"/>
    </row>
    <row r="9581" s="105" customFormat="1" spans="9:12">
      <c r="I9581" s="225"/>
      <c r="K9581" s="9"/>
      <c r="L9581" s="9"/>
    </row>
    <row r="9582" s="105" customFormat="1" spans="9:12">
      <c r="I9582" s="225"/>
      <c r="K9582" s="9"/>
      <c r="L9582" s="9"/>
    </row>
    <row r="9583" s="105" customFormat="1" spans="9:12">
      <c r="I9583" s="225"/>
      <c r="K9583" s="9"/>
      <c r="L9583" s="9"/>
    </row>
    <row r="9584" s="105" customFormat="1" spans="9:12">
      <c r="I9584" s="225"/>
      <c r="K9584" s="9"/>
      <c r="L9584" s="9"/>
    </row>
    <row r="9585" s="105" customFormat="1" spans="9:12">
      <c r="I9585" s="225"/>
      <c r="K9585" s="9"/>
      <c r="L9585" s="9"/>
    </row>
    <row r="9586" s="105" customFormat="1" spans="9:12">
      <c r="I9586" s="225"/>
      <c r="K9586" s="9"/>
      <c r="L9586" s="9"/>
    </row>
    <row r="9587" s="105" customFormat="1" spans="9:12">
      <c r="I9587" s="225"/>
      <c r="K9587" s="9"/>
      <c r="L9587" s="9"/>
    </row>
    <row r="9588" s="105" customFormat="1" spans="9:12">
      <c r="I9588" s="225"/>
      <c r="K9588" s="9"/>
      <c r="L9588" s="9"/>
    </row>
    <row r="9589" s="105" customFormat="1" spans="9:12">
      <c r="I9589" s="225"/>
      <c r="K9589" s="9"/>
      <c r="L9589" s="9"/>
    </row>
    <row r="9590" s="105" customFormat="1" spans="9:12">
      <c r="I9590" s="225"/>
      <c r="K9590" s="9"/>
      <c r="L9590" s="9"/>
    </row>
    <row r="9591" s="105" customFormat="1" spans="9:12">
      <c r="I9591" s="225"/>
      <c r="K9591" s="9"/>
      <c r="L9591" s="9"/>
    </row>
    <row r="9592" s="105" customFormat="1" spans="9:12">
      <c r="I9592" s="225"/>
      <c r="K9592" s="9"/>
      <c r="L9592" s="9"/>
    </row>
    <row r="9593" s="105" customFormat="1" spans="9:12">
      <c r="I9593" s="225"/>
      <c r="K9593" s="9"/>
      <c r="L9593" s="9"/>
    </row>
    <row r="9594" s="105" customFormat="1" spans="9:12">
      <c r="I9594" s="225"/>
      <c r="K9594" s="9"/>
      <c r="L9594" s="9"/>
    </row>
    <row r="9595" s="105" customFormat="1" spans="9:12">
      <c r="I9595" s="225"/>
      <c r="K9595" s="9"/>
      <c r="L9595" s="9"/>
    </row>
    <row r="9596" s="105" customFormat="1" spans="9:12">
      <c r="I9596" s="225"/>
      <c r="K9596" s="9"/>
      <c r="L9596" s="9"/>
    </row>
    <row r="9597" s="105" customFormat="1" spans="9:12">
      <c r="I9597" s="225"/>
      <c r="K9597" s="9"/>
      <c r="L9597" s="9"/>
    </row>
    <row r="9598" s="105" customFormat="1" spans="9:12">
      <c r="I9598" s="225"/>
      <c r="K9598" s="9"/>
      <c r="L9598" s="9"/>
    </row>
    <row r="9599" s="105" customFormat="1" spans="9:12">
      <c r="I9599" s="225"/>
      <c r="K9599" s="9"/>
      <c r="L9599" s="9"/>
    </row>
    <row r="9600" s="105" customFormat="1" spans="9:12">
      <c r="I9600" s="225"/>
      <c r="K9600" s="9"/>
      <c r="L9600" s="9"/>
    </row>
    <row r="9601" s="105" customFormat="1" spans="9:12">
      <c r="I9601" s="225"/>
      <c r="K9601" s="9"/>
      <c r="L9601" s="9"/>
    </row>
    <row r="9602" s="105" customFormat="1" spans="9:12">
      <c r="I9602" s="225"/>
      <c r="K9602" s="9"/>
      <c r="L9602" s="9"/>
    </row>
    <row r="9603" s="105" customFormat="1" spans="9:12">
      <c r="I9603" s="225"/>
      <c r="K9603" s="9"/>
      <c r="L9603" s="9"/>
    </row>
    <row r="9604" s="105" customFormat="1" spans="9:12">
      <c r="I9604" s="225"/>
      <c r="K9604" s="9"/>
      <c r="L9604" s="9"/>
    </row>
    <row r="9605" s="105" customFormat="1" spans="9:12">
      <c r="I9605" s="225"/>
      <c r="K9605" s="9"/>
      <c r="L9605" s="9"/>
    </row>
    <row r="9606" s="105" customFormat="1" spans="9:12">
      <c r="I9606" s="225"/>
      <c r="K9606" s="9"/>
      <c r="L9606" s="9"/>
    </row>
    <row r="9607" s="105" customFormat="1" spans="9:12">
      <c r="I9607" s="225"/>
      <c r="K9607" s="9"/>
      <c r="L9607" s="9"/>
    </row>
    <row r="9608" s="105" customFormat="1" spans="9:12">
      <c r="I9608" s="225"/>
      <c r="K9608" s="9"/>
      <c r="L9608" s="9"/>
    </row>
    <row r="9609" s="105" customFormat="1" spans="9:12">
      <c r="I9609" s="225"/>
      <c r="K9609" s="9"/>
      <c r="L9609" s="9"/>
    </row>
    <row r="9610" s="105" customFormat="1" spans="9:12">
      <c r="I9610" s="225"/>
      <c r="K9610" s="9"/>
      <c r="L9610" s="9"/>
    </row>
    <row r="9611" s="105" customFormat="1" spans="9:12">
      <c r="I9611" s="225"/>
      <c r="K9611" s="9"/>
      <c r="L9611" s="9"/>
    </row>
    <row r="9612" s="105" customFormat="1" spans="9:12">
      <c r="I9612" s="225"/>
      <c r="K9612" s="9"/>
      <c r="L9612" s="9"/>
    </row>
    <row r="9613" s="105" customFormat="1" spans="9:12">
      <c r="I9613" s="225"/>
      <c r="K9613" s="9"/>
      <c r="L9613" s="9"/>
    </row>
    <row r="9614" s="105" customFormat="1" spans="9:12">
      <c r="I9614" s="225"/>
      <c r="K9614" s="9"/>
      <c r="L9614" s="9"/>
    </row>
    <row r="9615" s="105" customFormat="1" spans="9:12">
      <c r="I9615" s="225"/>
      <c r="K9615" s="9"/>
      <c r="L9615" s="9"/>
    </row>
    <row r="9616" s="105" customFormat="1" spans="9:12">
      <c r="I9616" s="225"/>
      <c r="K9616" s="9"/>
      <c r="L9616" s="9"/>
    </row>
    <row r="9617" s="105" customFormat="1" spans="9:12">
      <c r="I9617" s="225"/>
      <c r="K9617" s="9"/>
      <c r="L9617" s="9"/>
    </row>
    <row r="9618" s="105" customFormat="1" spans="9:12">
      <c r="I9618" s="225"/>
      <c r="K9618" s="9"/>
      <c r="L9618" s="9"/>
    </row>
    <row r="9619" s="105" customFormat="1" spans="9:12">
      <c r="I9619" s="225"/>
      <c r="K9619" s="9"/>
      <c r="L9619" s="9"/>
    </row>
    <row r="9620" s="105" customFormat="1" spans="9:12">
      <c r="I9620" s="225"/>
      <c r="K9620" s="9"/>
      <c r="L9620" s="9"/>
    </row>
    <row r="9621" s="105" customFormat="1" spans="9:12">
      <c r="I9621" s="225"/>
      <c r="K9621" s="9"/>
      <c r="L9621" s="9"/>
    </row>
    <row r="9622" s="105" customFormat="1" spans="9:12">
      <c r="I9622" s="225"/>
      <c r="K9622" s="9"/>
      <c r="L9622" s="9"/>
    </row>
    <row r="9623" s="105" customFormat="1" spans="9:12">
      <c r="I9623" s="225"/>
      <c r="K9623" s="9"/>
      <c r="L9623" s="9"/>
    </row>
    <row r="9624" s="105" customFormat="1" spans="9:12">
      <c r="I9624" s="225"/>
      <c r="K9624" s="9"/>
      <c r="L9624" s="9"/>
    </row>
    <row r="9625" s="105" customFormat="1" spans="9:12">
      <c r="I9625" s="225"/>
      <c r="K9625" s="9"/>
      <c r="L9625" s="9"/>
    </row>
    <row r="9626" s="105" customFormat="1" spans="9:12">
      <c r="I9626" s="225"/>
      <c r="K9626" s="9"/>
      <c r="L9626" s="9"/>
    </row>
    <row r="9627" s="105" customFormat="1" spans="9:12">
      <c r="I9627" s="225"/>
      <c r="K9627" s="9"/>
      <c r="L9627" s="9"/>
    </row>
    <row r="9628" s="105" customFormat="1" spans="9:12">
      <c r="I9628" s="225"/>
      <c r="K9628" s="9"/>
      <c r="L9628" s="9"/>
    </row>
    <row r="9629" s="105" customFormat="1" spans="9:12">
      <c r="I9629" s="225"/>
      <c r="K9629" s="9"/>
      <c r="L9629" s="9"/>
    </row>
    <row r="9630" s="105" customFormat="1" spans="9:12">
      <c r="I9630" s="225"/>
      <c r="K9630" s="9"/>
      <c r="L9630" s="9"/>
    </row>
    <row r="9631" s="105" customFormat="1" spans="9:12">
      <c r="I9631" s="225"/>
      <c r="K9631" s="9"/>
      <c r="L9631" s="9"/>
    </row>
    <row r="9632" s="105" customFormat="1" spans="9:12">
      <c r="I9632" s="225"/>
      <c r="K9632" s="9"/>
      <c r="L9632" s="9"/>
    </row>
    <row r="9633" s="105" customFormat="1" spans="9:12">
      <c r="I9633" s="225"/>
      <c r="K9633" s="9"/>
      <c r="L9633" s="9"/>
    </row>
    <row r="9634" s="105" customFormat="1" spans="9:12">
      <c r="I9634" s="225"/>
      <c r="K9634" s="9"/>
      <c r="L9634" s="9"/>
    </row>
    <row r="9635" s="105" customFormat="1" spans="9:12">
      <c r="I9635" s="225"/>
      <c r="K9635" s="9"/>
      <c r="L9635" s="9"/>
    </row>
    <row r="9636" s="105" customFormat="1" spans="9:12">
      <c r="I9636" s="225"/>
      <c r="K9636" s="9"/>
      <c r="L9636" s="9"/>
    </row>
    <row r="9637" s="105" customFormat="1" spans="9:12">
      <c r="I9637" s="225"/>
      <c r="K9637" s="9"/>
      <c r="L9637" s="9"/>
    </row>
    <row r="9638" s="105" customFormat="1" spans="9:12">
      <c r="I9638" s="225"/>
      <c r="K9638" s="9"/>
      <c r="L9638" s="9"/>
    </row>
    <row r="9639" s="105" customFormat="1" spans="9:12">
      <c r="I9639" s="225"/>
      <c r="K9639" s="9"/>
      <c r="L9639" s="9"/>
    </row>
    <row r="9640" s="105" customFormat="1" spans="9:12">
      <c r="I9640" s="225"/>
      <c r="K9640" s="9"/>
      <c r="L9640" s="9"/>
    </row>
    <row r="9641" s="105" customFormat="1" spans="9:12">
      <c r="I9641" s="225"/>
      <c r="K9641" s="9"/>
      <c r="L9641" s="9"/>
    </row>
    <row r="9642" s="105" customFormat="1" spans="9:12">
      <c r="I9642" s="225"/>
      <c r="K9642" s="9"/>
      <c r="L9642" s="9"/>
    </row>
    <row r="9643" s="105" customFormat="1" spans="9:12">
      <c r="I9643" s="225"/>
      <c r="K9643" s="9"/>
      <c r="L9643" s="9"/>
    </row>
    <row r="9644" s="105" customFormat="1" spans="9:12">
      <c r="I9644" s="225"/>
      <c r="K9644" s="9"/>
      <c r="L9644" s="9"/>
    </row>
    <row r="9645" s="105" customFormat="1" spans="9:12">
      <c r="I9645" s="225"/>
      <c r="K9645" s="9"/>
      <c r="L9645" s="9"/>
    </row>
    <row r="9646" s="105" customFormat="1" spans="9:12">
      <c r="I9646" s="225"/>
      <c r="K9646" s="9"/>
      <c r="L9646" s="9"/>
    </row>
    <row r="9647" s="105" customFormat="1" spans="9:12">
      <c r="I9647" s="225"/>
      <c r="K9647" s="9"/>
      <c r="L9647" s="9"/>
    </row>
    <row r="9648" s="105" customFormat="1" spans="9:12">
      <c r="I9648" s="225"/>
      <c r="K9648" s="9"/>
      <c r="L9648" s="9"/>
    </row>
    <row r="9649" s="105" customFormat="1" spans="9:12">
      <c r="I9649" s="225"/>
      <c r="K9649" s="9"/>
      <c r="L9649" s="9"/>
    </row>
    <row r="9650" s="105" customFormat="1" spans="9:12">
      <c r="I9650" s="225"/>
      <c r="K9650" s="9"/>
      <c r="L9650" s="9"/>
    </row>
    <row r="9651" s="105" customFormat="1" spans="9:12">
      <c r="I9651" s="225"/>
      <c r="K9651" s="9"/>
      <c r="L9651" s="9"/>
    </row>
    <row r="9652" s="105" customFormat="1" spans="9:12">
      <c r="I9652" s="225"/>
      <c r="K9652" s="9"/>
      <c r="L9652" s="9"/>
    </row>
    <row r="9653" s="105" customFormat="1" spans="9:12">
      <c r="I9653" s="225"/>
      <c r="K9653" s="9"/>
      <c r="L9653" s="9"/>
    </row>
    <row r="9654" s="105" customFormat="1" spans="9:12">
      <c r="I9654" s="225"/>
      <c r="K9654" s="9"/>
      <c r="L9654" s="9"/>
    </row>
    <row r="9655" s="105" customFormat="1" spans="9:12">
      <c r="I9655" s="225"/>
      <c r="K9655" s="9"/>
      <c r="L9655" s="9"/>
    </row>
    <row r="9656" s="105" customFormat="1" spans="9:12">
      <c r="I9656" s="225"/>
      <c r="K9656" s="9"/>
      <c r="L9656" s="9"/>
    </row>
    <row r="9657" s="105" customFormat="1" spans="9:12">
      <c r="I9657" s="225"/>
      <c r="K9657" s="9"/>
      <c r="L9657" s="9"/>
    </row>
    <row r="9658" s="105" customFormat="1" spans="9:12">
      <c r="I9658" s="225"/>
      <c r="K9658" s="9"/>
      <c r="L9658" s="9"/>
    </row>
    <row r="9659" s="105" customFormat="1" spans="9:12">
      <c r="I9659" s="225"/>
      <c r="K9659" s="9"/>
      <c r="L9659" s="9"/>
    </row>
    <row r="9660" s="105" customFormat="1" spans="9:12">
      <c r="I9660" s="225"/>
      <c r="K9660" s="9"/>
      <c r="L9660" s="9"/>
    </row>
    <row r="9661" s="105" customFormat="1" spans="9:12">
      <c r="I9661" s="225"/>
      <c r="K9661" s="9"/>
      <c r="L9661" s="9"/>
    </row>
    <row r="9662" s="105" customFormat="1" spans="9:12">
      <c r="I9662" s="225"/>
      <c r="K9662" s="9"/>
      <c r="L9662" s="9"/>
    </row>
    <row r="9663" s="105" customFormat="1" spans="9:12">
      <c r="I9663" s="225"/>
      <c r="K9663" s="9"/>
      <c r="L9663" s="9"/>
    </row>
    <row r="9664" s="105" customFormat="1" spans="9:12">
      <c r="I9664" s="225"/>
      <c r="K9664" s="9"/>
      <c r="L9664" s="9"/>
    </row>
    <row r="9665" s="105" customFormat="1" spans="9:12">
      <c r="I9665" s="225"/>
      <c r="K9665" s="9"/>
      <c r="L9665" s="9"/>
    </row>
    <row r="9666" s="105" customFormat="1" spans="9:12">
      <c r="I9666" s="225"/>
      <c r="K9666" s="9"/>
      <c r="L9666" s="9"/>
    </row>
    <row r="9667" s="105" customFormat="1" spans="9:12">
      <c r="I9667" s="225"/>
      <c r="K9667" s="9"/>
      <c r="L9667" s="9"/>
    </row>
    <row r="9668" s="105" customFormat="1" spans="9:12">
      <c r="I9668" s="225"/>
      <c r="K9668" s="9"/>
      <c r="L9668" s="9"/>
    </row>
    <row r="9669" s="105" customFormat="1" spans="9:12">
      <c r="I9669" s="225"/>
      <c r="K9669" s="9"/>
      <c r="L9669" s="9"/>
    </row>
    <row r="9670" s="105" customFormat="1" spans="9:12">
      <c r="I9670" s="225"/>
      <c r="K9670" s="9"/>
      <c r="L9670" s="9"/>
    </row>
    <row r="9671" s="105" customFormat="1" spans="9:12">
      <c r="I9671" s="225"/>
      <c r="K9671" s="9"/>
      <c r="L9671" s="9"/>
    </row>
    <row r="9672" s="105" customFormat="1" spans="9:12">
      <c r="I9672" s="225"/>
      <c r="K9672" s="9"/>
      <c r="L9672" s="9"/>
    </row>
    <row r="9673" s="105" customFormat="1" spans="9:12">
      <c r="I9673" s="225"/>
      <c r="K9673" s="9"/>
      <c r="L9673" s="9"/>
    </row>
    <row r="9674" s="105" customFormat="1" spans="9:12">
      <c r="I9674" s="225"/>
      <c r="K9674" s="9"/>
      <c r="L9674" s="9"/>
    </row>
    <row r="9675" s="105" customFormat="1" spans="9:12">
      <c r="I9675" s="225"/>
      <c r="K9675" s="9"/>
      <c r="L9675" s="9"/>
    </row>
    <row r="9676" s="105" customFormat="1" spans="9:12">
      <c r="I9676" s="225"/>
      <c r="K9676" s="9"/>
      <c r="L9676" s="9"/>
    </row>
    <row r="9677" s="105" customFormat="1" spans="9:12">
      <c r="I9677" s="225"/>
      <c r="K9677" s="9"/>
      <c r="L9677" s="9"/>
    </row>
    <row r="9678" s="105" customFormat="1" spans="9:12">
      <c r="I9678" s="225"/>
      <c r="K9678" s="9"/>
      <c r="L9678" s="9"/>
    </row>
    <row r="9679" s="105" customFormat="1" spans="9:12">
      <c r="I9679" s="225"/>
      <c r="K9679" s="9"/>
      <c r="L9679" s="9"/>
    </row>
    <row r="9680" s="105" customFormat="1" spans="9:12">
      <c r="I9680" s="225"/>
      <c r="K9680" s="9"/>
      <c r="L9680" s="9"/>
    </row>
    <row r="9681" s="105" customFormat="1" spans="9:12">
      <c r="I9681" s="225"/>
      <c r="K9681" s="9"/>
      <c r="L9681" s="9"/>
    </row>
    <row r="9682" s="105" customFormat="1" spans="9:12">
      <c r="I9682" s="225"/>
      <c r="K9682" s="9"/>
      <c r="L9682" s="9"/>
    </row>
    <row r="9683" s="105" customFormat="1" spans="9:12">
      <c r="I9683" s="225"/>
      <c r="K9683" s="9"/>
      <c r="L9683" s="9"/>
    </row>
    <row r="9684" s="105" customFormat="1" spans="9:12">
      <c r="I9684" s="225"/>
      <c r="K9684" s="9"/>
      <c r="L9684" s="9"/>
    </row>
    <row r="9685" s="105" customFormat="1" spans="9:12">
      <c r="I9685" s="225"/>
      <c r="K9685" s="9"/>
      <c r="L9685" s="9"/>
    </row>
    <row r="9686" s="105" customFormat="1" spans="9:12">
      <c r="I9686" s="225"/>
      <c r="K9686" s="9"/>
      <c r="L9686" s="9"/>
    </row>
    <row r="9687" s="105" customFormat="1" spans="9:12">
      <c r="I9687" s="225"/>
      <c r="K9687" s="9"/>
      <c r="L9687" s="9"/>
    </row>
    <row r="9688" s="105" customFormat="1" spans="9:12">
      <c r="I9688" s="225"/>
      <c r="K9688" s="9"/>
      <c r="L9688" s="9"/>
    </row>
    <row r="9689" s="105" customFormat="1" spans="9:12">
      <c r="I9689" s="225"/>
      <c r="K9689" s="9"/>
      <c r="L9689" s="9"/>
    </row>
    <row r="9690" s="105" customFormat="1" spans="9:12">
      <c r="I9690" s="225"/>
      <c r="K9690" s="9"/>
      <c r="L9690" s="9"/>
    </row>
    <row r="9691" s="105" customFormat="1" spans="9:12">
      <c r="I9691" s="225"/>
      <c r="K9691" s="9"/>
      <c r="L9691" s="9"/>
    </row>
    <row r="9692" s="105" customFormat="1" spans="9:12">
      <c r="I9692" s="225"/>
      <c r="K9692" s="9"/>
      <c r="L9692" s="9"/>
    </row>
    <row r="9693" s="105" customFormat="1" spans="9:12">
      <c r="I9693" s="225"/>
      <c r="K9693" s="9"/>
      <c r="L9693" s="9"/>
    </row>
    <row r="9694" s="105" customFormat="1" spans="9:12">
      <c r="I9694" s="225"/>
      <c r="K9694" s="9"/>
      <c r="L9694" s="9"/>
    </row>
    <row r="9695" s="105" customFormat="1" spans="9:12">
      <c r="I9695" s="225"/>
      <c r="K9695" s="9"/>
      <c r="L9695" s="9"/>
    </row>
    <row r="9696" s="105" customFormat="1" spans="9:12">
      <c r="I9696" s="225"/>
      <c r="K9696" s="9"/>
      <c r="L9696" s="9"/>
    </row>
    <row r="9697" s="105" customFormat="1" spans="9:12">
      <c r="I9697" s="225"/>
      <c r="K9697" s="9"/>
      <c r="L9697" s="9"/>
    </row>
    <row r="9698" s="105" customFormat="1" spans="9:12">
      <c r="I9698" s="225"/>
      <c r="K9698" s="9"/>
      <c r="L9698" s="9"/>
    </row>
    <row r="9699" s="105" customFormat="1" spans="9:12">
      <c r="I9699" s="225"/>
      <c r="K9699" s="9"/>
      <c r="L9699" s="9"/>
    </row>
    <row r="9700" s="105" customFormat="1" spans="9:12">
      <c r="I9700" s="225"/>
      <c r="K9700" s="9"/>
      <c r="L9700" s="9"/>
    </row>
    <row r="9701" s="105" customFormat="1" spans="9:12">
      <c r="I9701" s="225"/>
      <c r="K9701" s="9"/>
      <c r="L9701" s="9"/>
    </row>
    <row r="9702" s="105" customFormat="1" spans="9:12">
      <c r="I9702" s="225"/>
      <c r="K9702" s="9"/>
      <c r="L9702" s="9"/>
    </row>
    <row r="9703" s="105" customFormat="1" spans="9:12">
      <c r="I9703" s="225"/>
      <c r="K9703" s="9"/>
      <c r="L9703" s="9"/>
    </row>
    <row r="9704" s="105" customFormat="1" spans="9:12">
      <c r="I9704" s="225"/>
      <c r="K9704" s="9"/>
      <c r="L9704" s="9"/>
    </row>
    <row r="9705" s="105" customFormat="1" spans="9:12">
      <c r="I9705" s="225"/>
      <c r="K9705" s="9"/>
      <c r="L9705" s="9"/>
    </row>
    <row r="9706" s="105" customFormat="1" spans="9:12">
      <c r="I9706" s="225"/>
      <c r="K9706" s="9"/>
      <c r="L9706" s="9"/>
    </row>
    <row r="9707" s="105" customFormat="1" spans="9:12">
      <c r="I9707" s="225"/>
      <c r="K9707" s="9"/>
      <c r="L9707" s="9"/>
    </row>
    <row r="9708" s="105" customFormat="1" spans="9:12">
      <c r="I9708" s="225"/>
      <c r="K9708" s="9"/>
      <c r="L9708" s="9"/>
    </row>
    <row r="9709" s="105" customFormat="1" spans="9:12">
      <c r="I9709" s="225"/>
      <c r="K9709" s="9"/>
      <c r="L9709" s="9"/>
    </row>
    <row r="9710" s="105" customFormat="1" spans="9:12">
      <c r="I9710" s="225"/>
      <c r="K9710" s="9"/>
      <c r="L9710" s="9"/>
    </row>
    <row r="9711" s="105" customFormat="1" spans="9:12">
      <c r="I9711" s="225"/>
      <c r="K9711" s="9"/>
      <c r="L9711" s="9"/>
    </row>
    <row r="9712" s="105" customFormat="1" spans="9:12">
      <c r="I9712" s="225"/>
      <c r="K9712" s="9"/>
      <c r="L9712" s="9"/>
    </row>
    <row r="9713" s="105" customFormat="1" spans="9:12">
      <c r="I9713" s="225"/>
      <c r="K9713" s="9"/>
      <c r="L9713" s="9"/>
    </row>
    <row r="9714" s="105" customFormat="1" spans="9:12">
      <c r="I9714" s="225"/>
      <c r="K9714" s="9"/>
      <c r="L9714" s="9"/>
    </row>
    <row r="9715" s="105" customFormat="1" spans="9:12">
      <c r="I9715" s="225"/>
      <c r="K9715" s="9"/>
      <c r="L9715" s="9"/>
    </row>
    <row r="9716" s="105" customFormat="1" spans="9:12">
      <c r="I9716" s="225"/>
      <c r="K9716" s="9"/>
      <c r="L9716" s="9"/>
    </row>
    <row r="9717" s="105" customFormat="1" spans="9:12">
      <c r="I9717" s="225"/>
      <c r="K9717" s="9"/>
      <c r="L9717" s="9"/>
    </row>
    <row r="9718" s="105" customFormat="1" spans="9:12">
      <c r="I9718" s="225"/>
      <c r="K9718" s="9"/>
      <c r="L9718" s="9"/>
    </row>
    <row r="9719" s="105" customFormat="1" spans="9:12">
      <c r="I9719" s="225"/>
      <c r="K9719" s="9"/>
      <c r="L9719" s="9"/>
    </row>
    <row r="9720" s="105" customFormat="1" spans="9:12">
      <c r="I9720" s="225"/>
      <c r="K9720" s="9"/>
      <c r="L9720" s="9"/>
    </row>
    <row r="9721" s="105" customFormat="1" spans="9:12">
      <c r="I9721" s="225"/>
      <c r="K9721" s="9"/>
      <c r="L9721" s="9"/>
    </row>
    <row r="9722" s="105" customFormat="1" spans="9:12">
      <c r="I9722" s="225"/>
      <c r="K9722" s="9"/>
      <c r="L9722" s="9"/>
    </row>
    <row r="9723" s="105" customFormat="1" spans="9:12">
      <c r="I9723" s="225"/>
      <c r="K9723" s="9"/>
      <c r="L9723" s="9"/>
    </row>
    <row r="9724" s="105" customFormat="1" spans="9:12">
      <c r="I9724" s="225"/>
      <c r="K9724" s="9"/>
      <c r="L9724" s="9"/>
    </row>
    <row r="9725" s="105" customFormat="1" spans="9:12">
      <c r="I9725" s="225"/>
      <c r="K9725" s="9"/>
      <c r="L9725" s="9"/>
    </row>
    <row r="9726" s="105" customFormat="1" spans="9:12">
      <c r="I9726" s="225"/>
      <c r="K9726" s="9"/>
      <c r="L9726" s="9"/>
    </row>
    <row r="9727" s="105" customFormat="1" spans="9:12">
      <c r="I9727" s="225"/>
      <c r="K9727" s="9"/>
      <c r="L9727" s="9"/>
    </row>
    <row r="9728" s="105" customFormat="1" spans="9:12">
      <c r="I9728" s="225"/>
      <c r="K9728" s="9"/>
      <c r="L9728" s="9"/>
    </row>
    <row r="9729" s="105" customFormat="1" spans="9:12">
      <c r="I9729" s="225"/>
      <c r="K9729" s="9"/>
      <c r="L9729" s="9"/>
    </row>
    <row r="9730" s="105" customFormat="1" spans="9:12">
      <c r="I9730" s="225"/>
      <c r="K9730" s="9"/>
      <c r="L9730" s="9"/>
    </row>
    <row r="9731" s="105" customFormat="1" spans="9:12">
      <c r="I9731" s="225"/>
      <c r="K9731" s="9"/>
      <c r="L9731" s="9"/>
    </row>
    <row r="9732" s="105" customFormat="1" spans="9:12">
      <c r="I9732" s="225"/>
      <c r="K9732" s="9"/>
      <c r="L9732" s="9"/>
    </row>
    <row r="9733" s="105" customFormat="1" spans="9:12">
      <c r="I9733" s="225"/>
      <c r="K9733" s="9"/>
      <c r="L9733" s="9"/>
    </row>
    <row r="9734" s="105" customFormat="1" spans="9:12">
      <c r="I9734" s="225"/>
      <c r="K9734" s="9"/>
      <c r="L9734" s="9"/>
    </row>
    <row r="9735" s="105" customFormat="1" spans="9:12">
      <c r="I9735" s="225"/>
      <c r="K9735" s="9"/>
      <c r="L9735" s="9"/>
    </row>
    <row r="9736" s="105" customFormat="1" spans="9:12">
      <c r="I9736" s="225"/>
      <c r="K9736" s="9"/>
      <c r="L9736" s="9"/>
    </row>
    <row r="9737" s="105" customFormat="1" spans="9:12">
      <c r="I9737" s="225"/>
      <c r="K9737" s="9"/>
      <c r="L9737" s="9"/>
    </row>
    <row r="9738" s="105" customFormat="1" spans="9:12">
      <c r="I9738" s="225"/>
      <c r="K9738" s="9"/>
      <c r="L9738" s="9"/>
    </row>
    <row r="9739" s="105" customFormat="1" spans="9:12">
      <c r="I9739" s="225"/>
      <c r="K9739" s="9"/>
      <c r="L9739" s="9"/>
    </row>
    <row r="9740" s="105" customFormat="1" spans="9:12">
      <c r="I9740" s="225"/>
      <c r="K9740" s="9"/>
      <c r="L9740" s="9"/>
    </row>
    <row r="9741" s="105" customFormat="1" spans="9:12">
      <c r="I9741" s="225"/>
      <c r="K9741" s="9"/>
      <c r="L9741" s="9"/>
    </row>
    <row r="9742" s="105" customFormat="1" spans="9:12">
      <c r="I9742" s="225"/>
      <c r="K9742" s="9"/>
      <c r="L9742" s="9"/>
    </row>
    <row r="9743" s="105" customFormat="1" spans="9:12">
      <c r="I9743" s="225"/>
      <c r="K9743" s="9"/>
      <c r="L9743" s="9"/>
    </row>
    <row r="9744" s="105" customFormat="1" spans="9:12">
      <c r="I9744" s="225"/>
      <c r="K9744" s="9"/>
      <c r="L9744" s="9"/>
    </row>
    <row r="9745" s="105" customFormat="1" spans="9:12">
      <c r="I9745" s="225"/>
      <c r="K9745" s="9"/>
      <c r="L9745" s="9"/>
    </row>
    <row r="9746" s="105" customFormat="1" spans="9:12">
      <c r="I9746" s="225"/>
      <c r="K9746" s="9"/>
      <c r="L9746" s="9"/>
    </row>
    <row r="9747" s="105" customFormat="1" spans="9:12">
      <c r="I9747" s="225"/>
      <c r="K9747" s="9"/>
      <c r="L9747" s="9"/>
    </row>
    <row r="9748" s="105" customFormat="1" spans="9:12">
      <c r="I9748" s="225"/>
      <c r="K9748" s="9"/>
      <c r="L9748" s="9"/>
    </row>
    <row r="9749" s="105" customFormat="1" spans="9:12">
      <c r="I9749" s="225"/>
      <c r="K9749" s="9"/>
      <c r="L9749" s="9"/>
    </row>
    <row r="9750" s="105" customFormat="1" spans="9:12">
      <c r="I9750" s="225"/>
      <c r="K9750" s="9"/>
      <c r="L9750" s="9"/>
    </row>
    <row r="9751" s="105" customFormat="1" spans="9:12">
      <c r="I9751" s="225"/>
      <c r="K9751" s="9"/>
      <c r="L9751" s="9"/>
    </row>
    <row r="9752" s="105" customFormat="1" spans="9:12">
      <c r="I9752" s="225"/>
      <c r="K9752" s="9"/>
      <c r="L9752" s="9"/>
    </row>
    <row r="9753" s="105" customFormat="1" spans="9:12">
      <c r="I9753" s="225"/>
      <c r="K9753" s="9"/>
      <c r="L9753" s="9"/>
    </row>
    <row r="9754" s="105" customFormat="1" spans="9:12">
      <c r="I9754" s="225"/>
      <c r="K9754" s="9"/>
      <c r="L9754" s="9"/>
    </row>
    <row r="9755" s="105" customFormat="1" spans="9:12">
      <c r="I9755" s="225"/>
      <c r="K9755" s="9"/>
      <c r="L9755" s="9"/>
    </row>
    <row r="9756" s="105" customFormat="1" spans="9:12">
      <c r="I9756" s="225"/>
      <c r="K9756" s="9"/>
      <c r="L9756" s="9"/>
    </row>
    <row r="9757" s="105" customFormat="1" spans="9:12">
      <c r="I9757" s="225"/>
      <c r="K9757" s="9"/>
      <c r="L9757" s="9"/>
    </row>
    <row r="9758" s="105" customFormat="1" spans="9:12">
      <c r="I9758" s="225"/>
      <c r="K9758" s="9"/>
      <c r="L9758" s="9"/>
    </row>
    <row r="9759" s="105" customFormat="1" spans="9:12">
      <c r="I9759" s="225"/>
      <c r="K9759" s="9"/>
      <c r="L9759" s="9"/>
    </row>
    <row r="9760" s="105" customFormat="1" spans="9:12">
      <c r="I9760" s="225"/>
      <c r="K9760" s="9"/>
      <c r="L9760" s="9"/>
    </row>
    <row r="9761" s="105" customFormat="1" spans="9:12">
      <c r="I9761" s="225"/>
      <c r="K9761" s="9"/>
      <c r="L9761" s="9"/>
    </row>
    <row r="9762" s="105" customFormat="1" spans="9:12">
      <c r="I9762" s="225"/>
      <c r="K9762" s="9"/>
      <c r="L9762" s="9"/>
    </row>
    <row r="9763" s="105" customFormat="1" spans="9:12">
      <c r="I9763" s="225"/>
      <c r="K9763" s="9"/>
      <c r="L9763" s="9"/>
    </row>
    <row r="9764" s="105" customFormat="1" spans="9:12">
      <c r="I9764" s="225"/>
      <c r="K9764" s="9"/>
      <c r="L9764" s="9"/>
    </row>
    <row r="9765" s="105" customFormat="1" spans="9:12">
      <c r="I9765" s="225"/>
      <c r="K9765" s="9"/>
      <c r="L9765" s="9"/>
    </row>
    <row r="9766" s="105" customFormat="1" spans="9:12">
      <c r="I9766" s="225"/>
      <c r="K9766" s="9"/>
      <c r="L9766" s="9"/>
    </row>
    <row r="9767" s="105" customFormat="1" spans="9:12">
      <c r="I9767" s="225"/>
      <c r="K9767" s="9"/>
      <c r="L9767" s="9"/>
    </row>
    <row r="9768" s="105" customFormat="1" spans="9:12">
      <c r="I9768" s="225"/>
      <c r="K9768" s="9"/>
      <c r="L9768" s="9"/>
    </row>
    <row r="9769" s="105" customFormat="1" spans="9:12">
      <c r="I9769" s="225"/>
      <c r="K9769" s="9"/>
      <c r="L9769" s="9"/>
    </row>
    <row r="9770" s="105" customFormat="1" spans="9:12">
      <c r="I9770" s="225"/>
      <c r="K9770" s="9"/>
      <c r="L9770" s="9"/>
    </row>
    <row r="9771" s="105" customFormat="1" spans="9:12">
      <c r="I9771" s="225"/>
      <c r="K9771" s="9"/>
      <c r="L9771" s="9"/>
    </row>
    <row r="9772" s="105" customFormat="1" spans="9:12">
      <c r="I9772" s="225"/>
      <c r="K9772" s="9"/>
      <c r="L9772" s="9"/>
    </row>
    <row r="9773" s="105" customFormat="1" spans="9:12">
      <c r="I9773" s="225"/>
      <c r="K9773" s="9"/>
      <c r="L9773" s="9"/>
    </row>
    <row r="9774" s="105" customFormat="1" spans="9:12">
      <c r="I9774" s="225"/>
      <c r="K9774" s="9"/>
      <c r="L9774" s="9"/>
    </row>
    <row r="9775" s="105" customFormat="1" spans="9:12">
      <c r="I9775" s="225"/>
      <c r="K9775" s="9"/>
      <c r="L9775" s="9"/>
    </row>
    <row r="9776" s="105" customFormat="1" spans="9:12">
      <c r="I9776" s="225"/>
      <c r="K9776" s="9"/>
      <c r="L9776" s="9"/>
    </row>
    <row r="9777" s="105" customFormat="1" spans="9:12">
      <c r="I9777" s="225"/>
      <c r="K9777" s="9"/>
      <c r="L9777" s="9"/>
    </row>
    <row r="9778" s="105" customFormat="1" spans="9:12">
      <c r="I9778" s="225"/>
      <c r="K9778" s="9"/>
      <c r="L9778" s="9"/>
    </row>
    <row r="9779" s="105" customFormat="1" spans="9:12">
      <c r="I9779" s="225"/>
      <c r="K9779" s="9"/>
      <c r="L9779" s="9"/>
    </row>
    <row r="9780" s="105" customFormat="1" spans="9:12">
      <c r="I9780" s="225"/>
      <c r="K9780" s="9"/>
      <c r="L9780" s="9"/>
    </row>
    <row r="9781" s="105" customFormat="1" spans="9:12">
      <c r="I9781" s="225"/>
      <c r="K9781" s="9"/>
      <c r="L9781" s="9"/>
    </row>
    <row r="9782" s="105" customFormat="1" spans="9:12">
      <c r="I9782" s="225"/>
      <c r="K9782" s="9"/>
      <c r="L9782" s="9"/>
    </row>
    <row r="9783" s="105" customFormat="1" spans="9:12">
      <c r="I9783" s="225"/>
      <c r="K9783" s="9"/>
      <c r="L9783" s="9"/>
    </row>
    <row r="9784" s="105" customFormat="1" spans="9:12">
      <c r="I9784" s="225"/>
      <c r="K9784" s="9"/>
      <c r="L9784" s="9"/>
    </row>
    <row r="9785" s="105" customFormat="1" spans="9:12">
      <c r="I9785" s="225"/>
      <c r="K9785" s="9"/>
      <c r="L9785" s="9"/>
    </row>
    <row r="9786" s="105" customFormat="1" spans="9:12">
      <c r="I9786" s="225"/>
      <c r="K9786" s="9"/>
      <c r="L9786" s="9"/>
    </row>
    <row r="9787" s="105" customFormat="1" spans="9:12">
      <c r="I9787" s="225"/>
      <c r="K9787" s="9"/>
      <c r="L9787" s="9"/>
    </row>
    <row r="9788" s="105" customFormat="1" spans="9:12">
      <c r="I9788" s="225"/>
      <c r="K9788" s="9"/>
      <c r="L9788" s="9"/>
    </row>
    <row r="9789" s="105" customFormat="1" spans="9:12">
      <c r="I9789" s="225"/>
      <c r="K9789" s="9"/>
      <c r="L9789" s="9"/>
    </row>
    <row r="9790" s="105" customFormat="1" spans="9:12">
      <c r="I9790" s="225"/>
      <c r="K9790" s="9"/>
      <c r="L9790" s="9"/>
    </row>
    <row r="9791" s="105" customFormat="1" spans="9:12">
      <c r="I9791" s="225"/>
      <c r="K9791" s="9"/>
      <c r="L9791" s="9"/>
    </row>
    <row r="9792" s="105" customFormat="1" spans="9:12">
      <c r="I9792" s="225"/>
      <c r="K9792" s="9"/>
      <c r="L9792" s="9"/>
    </row>
    <row r="9793" s="105" customFormat="1" spans="9:12">
      <c r="I9793" s="225"/>
      <c r="K9793" s="9"/>
      <c r="L9793" s="9"/>
    </row>
    <row r="9794" s="105" customFormat="1" spans="9:12">
      <c r="I9794" s="225"/>
      <c r="K9794" s="9"/>
      <c r="L9794" s="9"/>
    </row>
    <row r="9795" s="105" customFormat="1" spans="9:12">
      <c r="I9795" s="225"/>
      <c r="K9795" s="9"/>
      <c r="L9795" s="9"/>
    </row>
    <row r="9796" s="105" customFormat="1" spans="9:12">
      <c r="I9796" s="225"/>
      <c r="K9796" s="9"/>
      <c r="L9796" s="9"/>
    </row>
    <row r="9797" s="105" customFormat="1" spans="9:12">
      <c r="I9797" s="225"/>
      <c r="K9797" s="9"/>
      <c r="L9797" s="9"/>
    </row>
    <row r="9798" s="105" customFormat="1" spans="9:12">
      <c r="I9798" s="225"/>
      <c r="K9798" s="9"/>
      <c r="L9798" s="9"/>
    </row>
    <row r="9799" s="105" customFormat="1" spans="9:12">
      <c r="I9799" s="225"/>
      <c r="K9799" s="9"/>
      <c r="L9799" s="9"/>
    </row>
    <row r="9800" s="105" customFormat="1" spans="9:12">
      <c r="I9800" s="225"/>
      <c r="K9800" s="9"/>
      <c r="L9800" s="9"/>
    </row>
    <row r="9801" s="105" customFormat="1" spans="9:12">
      <c r="I9801" s="225"/>
      <c r="K9801" s="9"/>
      <c r="L9801" s="9"/>
    </row>
    <row r="9802" s="105" customFormat="1" spans="9:12">
      <c r="I9802" s="225"/>
      <c r="K9802" s="9"/>
      <c r="L9802" s="9"/>
    </row>
    <row r="9803" s="105" customFormat="1" spans="9:12">
      <c r="I9803" s="225"/>
      <c r="K9803" s="9"/>
      <c r="L9803" s="9"/>
    </row>
    <row r="9804" s="105" customFormat="1" spans="9:12">
      <c r="I9804" s="225"/>
      <c r="K9804" s="9"/>
      <c r="L9804" s="9"/>
    </row>
    <row r="9805" s="105" customFormat="1" spans="9:12">
      <c r="I9805" s="225"/>
      <c r="K9805" s="9"/>
      <c r="L9805" s="9"/>
    </row>
    <row r="9806" s="105" customFormat="1" spans="9:12">
      <c r="I9806" s="225"/>
      <c r="K9806" s="9"/>
      <c r="L9806" s="9"/>
    </row>
    <row r="9807" s="105" customFormat="1" spans="9:12">
      <c r="I9807" s="225"/>
      <c r="K9807" s="9"/>
      <c r="L9807" s="9"/>
    </row>
    <row r="9808" s="105" customFormat="1" spans="9:12">
      <c r="I9808" s="225"/>
      <c r="K9808" s="9"/>
      <c r="L9808" s="9"/>
    </row>
    <row r="9809" s="105" customFormat="1" spans="9:12">
      <c r="I9809" s="225"/>
      <c r="K9809" s="9"/>
      <c r="L9809" s="9"/>
    </row>
    <row r="9810" s="105" customFormat="1" spans="9:12">
      <c r="I9810" s="225"/>
      <c r="K9810" s="9"/>
      <c r="L9810" s="9"/>
    </row>
    <row r="9811" s="105" customFormat="1" spans="9:12">
      <c r="I9811" s="225"/>
      <c r="K9811" s="9"/>
      <c r="L9811" s="9"/>
    </row>
    <row r="9812" s="105" customFormat="1" spans="9:12">
      <c r="I9812" s="225"/>
      <c r="K9812" s="9"/>
      <c r="L9812" s="9"/>
    </row>
    <row r="9813" s="105" customFormat="1" spans="9:12">
      <c r="I9813" s="225"/>
      <c r="K9813" s="9"/>
      <c r="L9813" s="9"/>
    </row>
    <row r="9814" s="105" customFormat="1" spans="9:12">
      <c r="I9814" s="225"/>
      <c r="K9814" s="9"/>
      <c r="L9814" s="9"/>
    </row>
    <row r="9815" s="105" customFormat="1" spans="9:12">
      <c r="I9815" s="225"/>
      <c r="K9815" s="9"/>
      <c r="L9815" s="9"/>
    </row>
    <row r="9816" s="105" customFormat="1" spans="9:12">
      <c r="I9816" s="225"/>
      <c r="K9816" s="9"/>
      <c r="L9816" s="9"/>
    </row>
    <row r="9817" s="105" customFormat="1" spans="9:12">
      <c r="I9817" s="225"/>
      <c r="K9817" s="9"/>
      <c r="L9817" s="9"/>
    </row>
    <row r="9818" s="105" customFormat="1" spans="9:12">
      <c r="I9818" s="225"/>
      <c r="K9818" s="9"/>
      <c r="L9818" s="9"/>
    </row>
    <row r="9819" s="105" customFormat="1" spans="9:12">
      <c r="I9819" s="225"/>
      <c r="K9819" s="9"/>
      <c r="L9819" s="9"/>
    </row>
    <row r="9820" s="105" customFormat="1" spans="9:12">
      <c r="I9820" s="225"/>
      <c r="K9820" s="9"/>
      <c r="L9820" s="9"/>
    </row>
    <row r="9821" s="105" customFormat="1" spans="9:12">
      <c r="I9821" s="225"/>
      <c r="K9821" s="9"/>
      <c r="L9821" s="9"/>
    </row>
    <row r="9822" s="105" customFormat="1" spans="9:12">
      <c r="I9822" s="225"/>
      <c r="K9822" s="9"/>
      <c r="L9822" s="9"/>
    </row>
    <row r="9823" s="105" customFormat="1" spans="9:12">
      <c r="I9823" s="225"/>
      <c r="K9823" s="9"/>
      <c r="L9823" s="9"/>
    </row>
    <row r="9824" s="105" customFormat="1" spans="9:12">
      <c r="I9824" s="225"/>
      <c r="K9824" s="9"/>
      <c r="L9824" s="9"/>
    </row>
    <row r="9825" s="105" customFormat="1" spans="9:12">
      <c r="I9825" s="225"/>
      <c r="K9825" s="9"/>
      <c r="L9825" s="9"/>
    </row>
    <row r="9826" s="105" customFormat="1" spans="9:12">
      <c r="I9826" s="225"/>
      <c r="K9826" s="9"/>
      <c r="L9826" s="9"/>
    </row>
    <row r="9827" s="105" customFormat="1" spans="9:12">
      <c r="I9827" s="225"/>
      <c r="K9827" s="9"/>
      <c r="L9827" s="9"/>
    </row>
    <row r="9828" s="105" customFormat="1" spans="9:12">
      <c r="I9828" s="225"/>
      <c r="K9828" s="9"/>
      <c r="L9828" s="9"/>
    </row>
    <row r="9829" s="105" customFormat="1" spans="9:12">
      <c r="I9829" s="225"/>
      <c r="K9829" s="9"/>
      <c r="L9829" s="9"/>
    </row>
    <row r="9830" s="105" customFormat="1" spans="9:12">
      <c r="I9830" s="225"/>
      <c r="K9830" s="9"/>
      <c r="L9830" s="9"/>
    </row>
    <row r="9831" s="105" customFormat="1" spans="9:12">
      <c r="I9831" s="225"/>
      <c r="K9831" s="9"/>
      <c r="L9831" s="9"/>
    </row>
    <row r="9832" s="105" customFormat="1" spans="9:12">
      <c r="I9832" s="225"/>
      <c r="K9832" s="9"/>
      <c r="L9832" s="9"/>
    </row>
    <row r="9833" s="105" customFormat="1" spans="9:12">
      <c r="I9833" s="225"/>
      <c r="K9833" s="9"/>
      <c r="L9833" s="9"/>
    </row>
    <row r="9834" s="105" customFormat="1" spans="9:12">
      <c r="I9834" s="225"/>
      <c r="K9834" s="9"/>
      <c r="L9834" s="9"/>
    </row>
    <row r="9835" s="105" customFormat="1" spans="9:12">
      <c r="I9835" s="225"/>
      <c r="K9835" s="9"/>
      <c r="L9835" s="9"/>
    </row>
    <row r="9836" s="105" customFormat="1" spans="9:12">
      <c r="I9836" s="225"/>
      <c r="K9836" s="9"/>
      <c r="L9836" s="9"/>
    </row>
    <row r="9837" s="105" customFormat="1" spans="9:12">
      <c r="I9837" s="225"/>
      <c r="K9837" s="9"/>
      <c r="L9837" s="9"/>
    </row>
    <row r="9838" s="105" customFormat="1" spans="9:12">
      <c r="I9838" s="225"/>
      <c r="K9838" s="9"/>
      <c r="L9838" s="9"/>
    </row>
    <row r="9839" s="105" customFormat="1" spans="9:12">
      <c r="I9839" s="225"/>
      <c r="K9839" s="9"/>
      <c r="L9839" s="9"/>
    </row>
    <row r="9840" s="105" customFormat="1" spans="9:12">
      <c r="I9840" s="225"/>
      <c r="K9840" s="9"/>
      <c r="L9840" s="9"/>
    </row>
    <row r="9841" s="105" customFormat="1" spans="9:12">
      <c r="I9841" s="225"/>
      <c r="K9841" s="9"/>
      <c r="L9841" s="9"/>
    </row>
    <row r="9842" s="105" customFormat="1" spans="9:12">
      <c r="I9842" s="225"/>
      <c r="K9842" s="9"/>
      <c r="L9842" s="9"/>
    </row>
    <row r="9843" s="105" customFormat="1" spans="9:12">
      <c r="I9843" s="225"/>
      <c r="K9843" s="9"/>
      <c r="L9843" s="9"/>
    </row>
    <row r="9844" s="105" customFormat="1" spans="9:12">
      <c r="I9844" s="225"/>
      <c r="K9844" s="9"/>
      <c r="L9844" s="9"/>
    </row>
    <row r="9845" s="105" customFormat="1" spans="9:12">
      <c r="I9845" s="225"/>
      <c r="K9845" s="9"/>
      <c r="L9845" s="9"/>
    </row>
    <row r="9846" s="105" customFormat="1" spans="9:12">
      <c r="I9846" s="225"/>
      <c r="K9846" s="9"/>
      <c r="L9846" s="9"/>
    </row>
    <row r="9847" s="105" customFormat="1" spans="9:12">
      <c r="I9847" s="225"/>
      <c r="K9847" s="9"/>
      <c r="L9847" s="9"/>
    </row>
    <row r="9848" s="105" customFormat="1" spans="9:12">
      <c r="I9848" s="225"/>
      <c r="K9848" s="9"/>
      <c r="L9848" s="9"/>
    </row>
    <row r="9849" s="105" customFormat="1" spans="9:12">
      <c r="I9849" s="225"/>
      <c r="K9849" s="9"/>
      <c r="L9849" s="9"/>
    </row>
    <row r="9850" s="105" customFormat="1" spans="9:12">
      <c r="I9850" s="225"/>
      <c r="K9850" s="9"/>
      <c r="L9850" s="9"/>
    </row>
    <row r="9851" s="105" customFormat="1" spans="9:12">
      <c r="I9851" s="225"/>
      <c r="K9851" s="9"/>
      <c r="L9851" s="9"/>
    </row>
    <row r="9852" s="105" customFormat="1" spans="9:12">
      <c r="I9852" s="225"/>
      <c r="K9852" s="9"/>
      <c r="L9852" s="9"/>
    </row>
    <row r="9853" s="105" customFormat="1" spans="9:12">
      <c r="I9853" s="225"/>
      <c r="K9853" s="9"/>
      <c r="L9853" s="9"/>
    </row>
    <row r="9854" s="105" customFormat="1" spans="9:12">
      <c r="I9854" s="225"/>
      <c r="K9854" s="9"/>
      <c r="L9854" s="9"/>
    </row>
    <row r="9855" s="105" customFormat="1" spans="9:12">
      <c r="I9855" s="225"/>
      <c r="K9855" s="9"/>
      <c r="L9855" s="9"/>
    </row>
    <row r="9856" s="105" customFormat="1" spans="9:12">
      <c r="I9856" s="225"/>
      <c r="K9856" s="9"/>
      <c r="L9856" s="9"/>
    </row>
    <row r="9857" s="105" customFormat="1" spans="9:12">
      <c r="I9857" s="225"/>
      <c r="K9857" s="9"/>
      <c r="L9857" s="9"/>
    </row>
    <row r="9858" s="105" customFormat="1" spans="9:12">
      <c r="I9858" s="225"/>
      <c r="K9858" s="9"/>
      <c r="L9858" s="9"/>
    </row>
    <row r="9859" s="105" customFormat="1" spans="9:12">
      <c r="I9859" s="225"/>
      <c r="K9859" s="9"/>
      <c r="L9859" s="9"/>
    </row>
    <row r="9860" s="105" customFormat="1" spans="9:12">
      <c r="I9860" s="225"/>
      <c r="K9860" s="9"/>
      <c r="L9860" s="9"/>
    </row>
    <row r="9861" s="105" customFormat="1" spans="9:12">
      <c r="I9861" s="225"/>
      <c r="K9861" s="9"/>
      <c r="L9861" s="9"/>
    </row>
    <row r="9862" s="105" customFormat="1" spans="9:12">
      <c r="I9862" s="225"/>
      <c r="K9862" s="9"/>
      <c r="L9862" s="9"/>
    </row>
    <row r="9863" s="105" customFormat="1" spans="9:12">
      <c r="I9863" s="225"/>
      <c r="K9863" s="9"/>
      <c r="L9863" s="9"/>
    </row>
    <row r="9864" s="105" customFormat="1" spans="9:12">
      <c r="I9864" s="225"/>
      <c r="K9864" s="9"/>
      <c r="L9864" s="9"/>
    </row>
    <row r="9865" s="105" customFormat="1" spans="9:12">
      <c r="I9865" s="225"/>
      <c r="K9865" s="9"/>
      <c r="L9865" s="9"/>
    </row>
    <row r="9866" s="105" customFormat="1" spans="9:12">
      <c r="I9866" s="225"/>
      <c r="K9866" s="9"/>
      <c r="L9866" s="9"/>
    </row>
    <row r="9867" s="105" customFormat="1" spans="9:12">
      <c r="I9867" s="225"/>
      <c r="K9867" s="9"/>
      <c r="L9867" s="9"/>
    </row>
    <row r="9868" s="105" customFormat="1" spans="9:12">
      <c r="I9868" s="225"/>
      <c r="K9868" s="9"/>
      <c r="L9868" s="9"/>
    </row>
    <row r="9869" s="105" customFormat="1" spans="9:12">
      <c r="I9869" s="225"/>
      <c r="K9869" s="9"/>
      <c r="L9869" s="9"/>
    </row>
    <row r="9870" s="105" customFormat="1" spans="9:12">
      <c r="I9870" s="225"/>
      <c r="K9870" s="9"/>
      <c r="L9870" s="9"/>
    </row>
    <row r="9871" s="105" customFormat="1" spans="9:12">
      <c r="I9871" s="225"/>
      <c r="K9871" s="9"/>
      <c r="L9871" s="9"/>
    </row>
    <row r="9872" s="105" customFormat="1" spans="9:12">
      <c r="I9872" s="225"/>
      <c r="K9872" s="9"/>
      <c r="L9872" s="9"/>
    </row>
    <row r="9873" s="105" customFormat="1" spans="9:12">
      <c r="I9873" s="225"/>
      <c r="K9873" s="9"/>
      <c r="L9873" s="9"/>
    </row>
    <row r="9874" s="105" customFormat="1" spans="9:12">
      <c r="I9874" s="225"/>
      <c r="K9874" s="9"/>
      <c r="L9874" s="9"/>
    </row>
    <row r="9875" s="105" customFormat="1" spans="9:12">
      <c r="I9875" s="225"/>
      <c r="K9875" s="9"/>
      <c r="L9875" s="9"/>
    </row>
    <row r="9876" s="105" customFormat="1" spans="9:12">
      <c r="I9876" s="225"/>
      <c r="K9876" s="9"/>
      <c r="L9876" s="9"/>
    </row>
    <row r="9877" s="105" customFormat="1" spans="9:12">
      <c r="I9877" s="225"/>
      <c r="K9877" s="9"/>
      <c r="L9877" s="9"/>
    </row>
    <row r="9878" s="105" customFormat="1" spans="9:12">
      <c r="I9878" s="225"/>
      <c r="K9878" s="9"/>
      <c r="L9878" s="9"/>
    </row>
    <row r="9879" s="105" customFormat="1" spans="9:12">
      <c r="I9879" s="225"/>
      <c r="K9879" s="9"/>
      <c r="L9879" s="9"/>
    </row>
    <row r="9880" s="105" customFormat="1" spans="9:12">
      <c r="I9880" s="225"/>
      <c r="K9880" s="9"/>
      <c r="L9880" s="9"/>
    </row>
    <row r="9881" s="105" customFormat="1" spans="9:12">
      <c r="I9881" s="225"/>
      <c r="K9881" s="9"/>
      <c r="L9881" s="9"/>
    </row>
    <row r="9882" s="105" customFormat="1" spans="9:12">
      <c r="I9882" s="225"/>
      <c r="K9882" s="9"/>
      <c r="L9882" s="9"/>
    </row>
    <row r="9883" s="105" customFormat="1" spans="9:12">
      <c r="I9883" s="225"/>
      <c r="K9883" s="9"/>
      <c r="L9883" s="9"/>
    </row>
    <row r="9884" s="105" customFormat="1" spans="9:12">
      <c r="I9884" s="225"/>
      <c r="K9884" s="9"/>
      <c r="L9884" s="9"/>
    </row>
    <row r="9885" s="105" customFormat="1" spans="9:12">
      <c r="I9885" s="225"/>
      <c r="K9885" s="9"/>
      <c r="L9885" s="9"/>
    </row>
    <row r="9886" s="105" customFormat="1" spans="9:12">
      <c r="I9886" s="225"/>
      <c r="K9886" s="9"/>
      <c r="L9886" s="9"/>
    </row>
    <row r="9887" s="105" customFormat="1" spans="9:12">
      <c r="I9887" s="225"/>
      <c r="K9887" s="9"/>
      <c r="L9887" s="9"/>
    </row>
    <row r="9888" s="105" customFormat="1" spans="9:12">
      <c r="I9888" s="225"/>
      <c r="K9888" s="9"/>
      <c r="L9888" s="9"/>
    </row>
    <row r="9889" s="105" customFormat="1" spans="9:12">
      <c r="I9889" s="225"/>
      <c r="K9889" s="9"/>
      <c r="L9889" s="9"/>
    </row>
    <row r="9890" s="105" customFormat="1" spans="9:12">
      <c r="I9890" s="225"/>
      <c r="K9890" s="9"/>
      <c r="L9890" s="9"/>
    </row>
    <row r="9891" s="105" customFormat="1" spans="9:12">
      <c r="I9891" s="225"/>
      <c r="K9891" s="9"/>
      <c r="L9891" s="9"/>
    </row>
    <row r="9892" s="105" customFormat="1" spans="9:12">
      <c r="I9892" s="225"/>
      <c r="K9892" s="9"/>
      <c r="L9892" s="9"/>
    </row>
    <row r="9893" s="105" customFormat="1" spans="9:12">
      <c r="I9893" s="225"/>
      <c r="K9893" s="9"/>
      <c r="L9893" s="9"/>
    </row>
    <row r="9894" s="105" customFormat="1" spans="9:12">
      <c r="I9894" s="225"/>
      <c r="K9894" s="9"/>
      <c r="L9894" s="9"/>
    </row>
    <row r="9895" s="105" customFormat="1" spans="9:12">
      <c r="I9895" s="225"/>
      <c r="K9895" s="9"/>
      <c r="L9895" s="9"/>
    </row>
    <row r="9896" s="105" customFormat="1" spans="9:12">
      <c r="I9896" s="225"/>
      <c r="K9896" s="9"/>
      <c r="L9896" s="9"/>
    </row>
    <row r="9897" s="105" customFormat="1" spans="9:12">
      <c r="I9897" s="225"/>
      <c r="K9897" s="9"/>
      <c r="L9897" s="9"/>
    </row>
    <row r="9898" s="105" customFormat="1" spans="9:12">
      <c r="I9898" s="225"/>
      <c r="K9898" s="9"/>
      <c r="L9898" s="9"/>
    </row>
    <row r="9899" s="105" customFormat="1" spans="9:12">
      <c r="I9899" s="225"/>
      <c r="K9899" s="9"/>
      <c r="L9899" s="9"/>
    </row>
    <row r="9900" s="105" customFormat="1" spans="9:12">
      <c r="I9900" s="225"/>
      <c r="K9900" s="9"/>
      <c r="L9900" s="9"/>
    </row>
    <row r="9901" s="105" customFormat="1" spans="9:12">
      <c r="I9901" s="225"/>
      <c r="K9901" s="9"/>
      <c r="L9901" s="9"/>
    </row>
    <row r="9902" s="105" customFormat="1" spans="9:12">
      <c r="I9902" s="225"/>
      <c r="K9902" s="9"/>
      <c r="L9902" s="9"/>
    </row>
    <row r="9903" s="105" customFormat="1" spans="9:12">
      <c r="I9903" s="225"/>
      <c r="K9903" s="9"/>
      <c r="L9903" s="9"/>
    </row>
    <row r="9904" s="105" customFormat="1" spans="9:12">
      <c r="I9904" s="225"/>
      <c r="K9904" s="9"/>
      <c r="L9904" s="9"/>
    </row>
    <row r="9905" s="105" customFormat="1" spans="9:12">
      <c r="I9905" s="225"/>
      <c r="K9905" s="9"/>
      <c r="L9905" s="9"/>
    </row>
    <row r="9906" s="105" customFormat="1" spans="9:12">
      <c r="I9906" s="225"/>
      <c r="K9906" s="9"/>
      <c r="L9906" s="9"/>
    </row>
    <row r="9907" s="105" customFormat="1" spans="9:12">
      <c r="I9907" s="225"/>
      <c r="K9907" s="9"/>
      <c r="L9907" s="9"/>
    </row>
    <row r="9908" s="105" customFormat="1" spans="9:12">
      <c r="I9908" s="225"/>
      <c r="K9908" s="9"/>
      <c r="L9908" s="9"/>
    </row>
    <row r="9909" s="105" customFormat="1" spans="9:12">
      <c r="I9909" s="225"/>
      <c r="K9909" s="9"/>
      <c r="L9909" s="9"/>
    </row>
    <row r="9910" s="105" customFormat="1" spans="9:12">
      <c r="I9910" s="225"/>
      <c r="K9910" s="9"/>
      <c r="L9910" s="9"/>
    </row>
    <row r="9911" s="105" customFormat="1" spans="9:12">
      <c r="I9911" s="225"/>
      <c r="K9911" s="9"/>
      <c r="L9911" s="9"/>
    </row>
    <row r="9912" s="105" customFormat="1" spans="9:12">
      <c r="I9912" s="225"/>
      <c r="K9912" s="9"/>
      <c r="L9912" s="9"/>
    </row>
    <row r="9913" s="105" customFormat="1" spans="9:12">
      <c r="I9913" s="225"/>
      <c r="K9913" s="9"/>
      <c r="L9913" s="9"/>
    </row>
    <row r="9914" s="105" customFormat="1" spans="9:12">
      <c r="I9914" s="225"/>
      <c r="K9914" s="9"/>
      <c r="L9914" s="9"/>
    </row>
    <row r="9915" s="105" customFormat="1" spans="9:12">
      <c r="I9915" s="225"/>
      <c r="K9915" s="9"/>
      <c r="L9915" s="9"/>
    </row>
    <row r="9916" s="105" customFormat="1" spans="9:12">
      <c r="I9916" s="225"/>
      <c r="K9916" s="9"/>
      <c r="L9916" s="9"/>
    </row>
    <row r="9917" s="105" customFormat="1" spans="9:12">
      <c r="I9917" s="225"/>
      <c r="K9917" s="9"/>
      <c r="L9917" s="9"/>
    </row>
    <row r="9918" s="105" customFormat="1" spans="9:12">
      <c r="I9918" s="225"/>
      <c r="K9918" s="9"/>
      <c r="L9918" s="9"/>
    </row>
    <row r="9919" s="105" customFormat="1" spans="9:12">
      <c r="I9919" s="225"/>
      <c r="K9919" s="9"/>
      <c r="L9919" s="9"/>
    </row>
    <row r="9920" s="105" customFormat="1" spans="9:12">
      <c r="I9920" s="225"/>
      <c r="K9920" s="9"/>
      <c r="L9920" s="9"/>
    </row>
    <row r="9921" s="105" customFormat="1" spans="9:12">
      <c r="I9921" s="225"/>
      <c r="K9921" s="9"/>
      <c r="L9921" s="9"/>
    </row>
    <row r="9922" s="105" customFormat="1" spans="9:12">
      <c r="I9922" s="225"/>
      <c r="K9922" s="9"/>
      <c r="L9922" s="9"/>
    </row>
    <row r="9923" s="105" customFormat="1" spans="9:12">
      <c r="I9923" s="225"/>
      <c r="K9923" s="9"/>
      <c r="L9923" s="9"/>
    </row>
    <row r="9924" s="105" customFormat="1" spans="9:12">
      <c r="I9924" s="225"/>
      <c r="K9924" s="9"/>
      <c r="L9924" s="9"/>
    </row>
    <row r="9925" s="105" customFormat="1" spans="9:12">
      <c r="I9925" s="225"/>
      <c r="K9925" s="9"/>
      <c r="L9925" s="9"/>
    </row>
    <row r="9926" s="105" customFormat="1" spans="9:12">
      <c r="I9926" s="225"/>
      <c r="K9926" s="9"/>
      <c r="L9926" s="9"/>
    </row>
    <row r="9927" s="105" customFormat="1" spans="9:12">
      <c r="I9927" s="225"/>
      <c r="K9927" s="9"/>
      <c r="L9927" s="9"/>
    </row>
    <row r="9928" s="105" customFormat="1" spans="9:12">
      <c r="I9928" s="225"/>
      <c r="K9928" s="9"/>
      <c r="L9928" s="9"/>
    </row>
    <row r="9929" s="105" customFormat="1" spans="9:12">
      <c r="I9929" s="225"/>
      <c r="K9929" s="9"/>
      <c r="L9929" s="9"/>
    </row>
    <row r="9930" s="105" customFormat="1" spans="9:12">
      <c r="I9930" s="225"/>
      <c r="K9930" s="9"/>
      <c r="L9930" s="9"/>
    </row>
    <row r="9931" s="105" customFormat="1" spans="9:12">
      <c r="I9931" s="225"/>
      <c r="K9931" s="9"/>
      <c r="L9931" s="9"/>
    </row>
    <row r="9932" s="105" customFormat="1" spans="9:12">
      <c r="I9932" s="225"/>
      <c r="K9932" s="9"/>
      <c r="L9932" s="9"/>
    </row>
    <row r="9933" s="105" customFormat="1" spans="9:12">
      <c r="I9933" s="225"/>
      <c r="K9933" s="9"/>
      <c r="L9933" s="9"/>
    </row>
    <row r="9934" s="105" customFormat="1" spans="9:12">
      <c r="I9934" s="225"/>
      <c r="K9934" s="9"/>
      <c r="L9934" s="9"/>
    </row>
    <row r="9935" s="105" customFormat="1" spans="9:12">
      <c r="I9935" s="225"/>
      <c r="K9935" s="9"/>
      <c r="L9935" s="9"/>
    </row>
    <row r="9936" s="105" customFormat="1" spans="9:12">
      <c r="I9936" s="225"/>
      <c r="K9936" s="9"/>
      <c r="L9936" s="9"/>
    </row>
    <row r="9937" s="105" customFormat="1" spans="9:12">
      <c r="I9937" s="225"/>
      <c r="K9937" s="9"/>
      <c r="L9937" s="9"/>
    </row>
    <row r="9938" s="105" customFormat="1" spans="9:12">
      <c r="I9938" s="225"/>
      <c r="K9938" s="9"/>
      <c r="L9938" s="9"/>
    </row>
    <row r="9939" s="105" customFormat="1" spans="9:12">
      <c r="I9939" s="225"/>
      <c r="K9939" s="9"/>
      <c r="L9939" s="9"/>
    </row>
    <row r="9940" s="105" customFormat="1" spans="9:12">
      <c r="I9940" s="225"/>
      <c r="K9940" s="9"/>
      <c r="L9940" s="9"/>
    </row>
    <row r="9941" s="105" customFormat="1" spans="9:12">
      <c r="I9941" s="225"/>
      <c r="K9941" s="9"/>
      <c r="L9941" s="9"/>
    </row>
    <row r="9942" s="105" customFormat="1" spans="9:12">
      <c r="I9942" s="225"/>
      <c r="K9942" s="9"/>
      <c r="L9942" s="9"/>
    </row>
    <row r="9943" s="105" customFormat="1" spans="9:12">
      <c r="I9943" s="225"/>
      <c r="K9943" s="9"/>
      <c r="L9943" s="9"/>
    </row>
    <row r="9944" s="105" customFormat="1" spans="9:12">
      <c r="I9944" s="225"/>
      <c r="K9944" s="9"/>
      <c r="L9944" s="9"/>
    </row>
    <row r="9945" s="105" customFormat="1" spans="9:12">
      <c r="I9945" s="225"/>
      <c r="K9945" s="9"/>
      <c r="L9945" s="9"/>
    </row>
    <row r="9946" s="105" customFormat="1" spans="9:12">
      <c r="I9946" s="225"/>
      <c r="K9946" s="9"/>
      <c r="L9946" s="9"/>
    </row>
    <row r="9947" s="105" customFormat="1" spans="9:12">
      <c r="I9947" s="225"/>
      <c r="K9947" s="9"/>
      <c r="L9947" s="9"/>
    </row>
    <row r="9948" s="105" customFormat="1" spans="9:12">
      <c r="I9948" s="225"/>
      <c r="K9948" s="9"/>
      <c r="L9948" s="9"/>
    </row>
    <row r="9949" s="105" customFormat="1" spans="9:12">
      <c r="I9949" s="225"/>
      <c r="K9949" s="9"/>
      <c r="L9949" s="9"/>
    </row>
    <row r="9950" s="105" customFormat="1" spans="9:12">
      <c r="I9950" s="225"/>
      <c r="K9950" s="9"/>
      <c r="L9950" s="9"/>
    </row>
    <row r="9951" s="105" customFormat="1" spans="9:12">
      <c r="I9951" s="225"/>
      <c r="K9951" s="9"/>
      <c r="L9951" s="9"/>
    </row>
    <row r="9952" s="105" customFormat="1" spans="9:12">
      <c r="I9952" s="225"/>
      <c r="K9952" s="9"/>
      <c r="L9952" s="9"/>
    </row>
    <row r="9953" s="105" customFormat="1" spans="9:12">
      <c r="I9953" s="225"/>
      <c r="K9953" s="9"/>
      <c r="L9953" s="9"/>
    </row>
    <row r="9954" s="105" customFormat="1" spans="9:12">
      <c r="I9954" s="225"/>
      <c r="K9954" s="9"/>
      <c r="L9954" s="9"/>
    </row>
    <row r="9955" s="105" customFormat="1" spans="9:12">
      <c r="I9955" s="225"/>
      <c r="K9955" s="9"/>
      <c r="L9955" s="9"/>
    </row>
    <row r="9956" s="105" customFormat="1" spans="9:12">
      <c r="I9956" s="225"/>
      <c r="K9956" s="9"/>
      <c r="L9956" s="9"/>
    </row>
    <row r="9957" s="105" customFormat="1" spans="9:12">
      <c r="I9957" s="225"/>
      <c r="K9957" s="9"/>
      <c r="L9957" s="9"/>
    </row>
    <row r="9958" s="105" customFormat="1" spans="9:12">
      <c r="I9958" s="225"/>
      <c r="K9958" s="9"/>
      <c r="L9958" s="9"/>
    </row>
    <row r="9959" s="105" customFormat="1" spans="9:12">
      <c r="I9959" s="225"/>
      <c r="K9959" s="9"/>
      <c r="L9959" s="9"/>
    </row>
    <row r="9960" s="105" customFormat="1" spans="9:12">
      <c r="I9960" s="225"/>
      <c r="K9960" s="9"/>
      <c r="L9960" s="9"/>
    </row>
    <row r="9961" s="105" customFormat="1" spans="9:12">
      <c r="I9961" s="225"/>
      <c r="K9961" s="9"/>
      <c r="L9961" s="9"/>
    </row>
    <row r="9962" s="105" customFormat="1" spans="9:12">
      <c r="I9962" s="225"/>
      <c r="K9962" s="9"/>
      <c r="L9962" s="9"/>
    </row>
    <row r="9963" s="105" customFormat="1" spans="9:12">
      <c r="I9963" s="225"/>
      <c r="K9963" s="9"/>
      <c r="L9963" s="9"/>
    </row>
    <row r="9964" s="105" customFormat="1" spans="9:12">
      <c r="I9964" s="225"/>
      <c r="K9964" s="9"/>
      <c r="L9964" s="9"/>
    </row>
    <row r="9965" s="105" customFormat="1" spans="9:12">
      <c r="I9965" s="225"/>
      <c r="K9965" s="9"/>
      <c r="L9965" s="9"/>
    </row>
    <row r="9966" s="105" customFormat="1" spans="9:12">
      <c r="I9966" s="225"/>
      <c r="K9966" s="9"/>
      <c r="L9966" s="9"/>
    </row>
    <row r="9967" s="105" customFormat="1" spans="9:12">
      <c r="I9967" s="225"/>
      <c r="K9967" s="9"/>
      <c r="L9967" s="9"/>
    </row>
    <row r="9968" s="105" customFormat="1" spans="9:12">
      <c r="I9968" s="225"/>
      <c r="K9968" s="9"/>
      <c r="L9968" s="9"/>
    </row>
    <row r="9969" s="105" customFormat="1" spans="9:12">
      <c r="I9969" s="225"/>
      <c r="K9969" s="9"/>
      <c r="L9969" s="9"/>
    </row>
    <row r="9970" s="105" customFormat="1" spans="9:12">
      <c r="I9970" s="225"/>
      <c r="K9970" s="9"/>
      <c r="L9970" s="9"/>
    </row>
    <row r="9971" s="105" customFormat="1" spans="9:12">
      <c r="I9971" s="225"/>
      <c r="K9971" s="9"/>
      <c r="L9971" s="9"/>
    </row>
    <row r="9972" s="105" customFormat="1" spans="9:12">
      <c r="I9972" s="225"/>
      <c r="K9972" s="9"/>
      <c r="L9972" s="9"/>
    </row>
    <row r="9973" s="105" customFormat="1" spans="9:12">
      <c r="I9973" s="225"/>
      <c r="K9973" s="9"/>
      <c r="L9973" s="9"/>
    </row>
    <row r="9974" s="105" customFormat="1" spans="9:12">
      <c r="I9974" s="225"/>
      <c r="K9974" s="9"/>
      <c r="L9974" s="9"/>
    </row>
    <row r="9975" s="105" customFormat="1" spans="9:12">
      <c r="I9975" s="225"/>
      <c r="K9975" s="9"/>
      <c r="L9975" s="9"/>
    </row>
    <row r="9976" s="105" customFormat="1" spans="9:12">
      <c r="I9976" s="225"/>
      <c r="K9976" s="9"/>
      <c r="L9976" s="9"/>
    </row>
    <row r="9977" s="105" customFormat="1" spans="9:12">
      <c r="I9977" s="225"/>
      <c r="K9977" s="9"/>
      <c r="L9977" s="9"/>
    </row>
    <row r="9978" s="105" customFormat="1" spans="9:12">
      <c r="I9978" s="225"/>
      <c r="K9978" s="9"/>
      <c r="L9978" s="9"/>
    </row>
    <row r="9979" s="105" customFormat="1" spans="9:12">
      <c r="I9979" s="225"/>
      <c r="K9979" s="9"/>
      <c r="L9979" s="9"/>
    </row>
    <row r="9980" s="105" customFormat="1" spans="9:12">
      <c r="I9980" s="225"/>
      <c r="K9980" s="9"/>
      <c r="L9980" s="9"/>
    </row>
    <row r="9981" s="105" customFormat="1" spans="9:12">
      <c r="I9981" s="225"/>
      <c r="K9981" s="9"/>
      <c r="L9981" s="9"/>
    </row>
    <row r="9982" s="105" customFormat="1" spans="9:12">
      <c r="I9982" s="225"/>
      <c r="K9982" s="9"/>
      <c r="L9982" s="9"/>
    </row>
    <row r="9983" s="105" customFormat="1" spans="9:12">
      <c r="I9983" s="225"/>
      <c r="K9983" s="9"/>
      <c r="L9983" s="9"/>
    </row>
    <row r="9984" s="105" customFormat="1" spans="9:12">
      <c r="I9984" s="225"/>
      <c r="K9984" s="9"/>
      <c r="L9984" s="9"/>
    </row>
    <row r="9985" s="105" customFormat="1" spans="9:12">
      <c r="I9985" s="225"/>
      <c r="K9985" s="9"/>
      <c r="L9985" s="9"/>
    </row>
    <row r="9986" s="105" customFormat="1" spans="9:12">
      <c r="I9986" s="225"/>
      <c r="K9986" s="9"/>
      <c r="L9986" s="9"/>
    </row>
    <row r="9987" s="105" customFormat="1" spans="9:12">
      <c r="I9987" s="225"/>
      <c r="K9987" s="9"/>
      <c r="L9987" s="9"/>
    </row>
    <row r="9988" s="105" customFormat="1" spans="9:12">
      <c r="I9988" s="225"/>
      <c r="K9988" s="9"/>
      <c r="L9988" s="9"/>
    </row>
    <row r="9989" s="105" customFormat="1" spans="9:12">
      <c r="I9989" s="225"/>
      <c r="K9989" s="9"/>
      <c r="L9989" s="9"/>
    </row>
    <row r="9990" s="105" customFormat="1" spans="9:12">
      <c r="I9990" s="225"/>
      <c r="K9990" s="9"/>
      <c r="L9990" s="9"/>
    </row>
    <row r="9991" s="105" customFormat="1" spans="9:12">
      <c r="I9991" s="225"/>
      <c r="K9991" s="9"/>
      <c r="L9991" s="9"/>
    </row>
    <row r="9992" s="105" customFormat="1" spans="9:12">
      <c r="I9992" s="225"/>
      <c r="K9992" s="9"/>
      <c r="L9992" s="9"/>
    </row>
    <row r="9993" s="105" customFormat="1" spans="9:12">
      <c r="I9993" s="225"/>
      <c r="K9993" s="9"/>
      <c r="L9993" s="9"/>
    </row>
    <row r="9994" s="105" customFormat="1" spans="9:12">
      <c r="I9994" s="225"/>
      <c r="K9994" s="9"/>
      <c r="L9994" s="9"/>
    </row>
    <row r="9995" s="105" customFormat="1" spans="9:12">
      <c r="I9995" s="225"/>
      <c r="K9995" s="9"/>
      <c r="L9995" s="9"/>
    </row>
    <row r="9996" s="105" customFormat="1" spans="9:12">
      <c r="I9996" s="225"/>
      <c r="K9996" s="9"/>
      <c r="L9996" s="9"/>
    </row>
    <row r="9997" s="105" customFormat="1" spans="9:12">
      <c r="I9997" s="225"/>
      <c r="K9997" s="9"/>
      <c r="L9997" s="9"/>
    </row>
    <row r="9998" s="105" customFormat="1" spans="9:12">
      <c r="I9998" s="225"/>
      <c r="K9998" s="9"/>
      <c r="L9998" s="9"/>
    </row>
    <row r="9999" s="105" customFormat="1" spans="9:12">
      <c r="I9999" s="225"/>
      <c r="K9999" s="9"/>
      <c r="L9999" s="9"/>
    </row>
    <row r="10000" s="105" customFormat="1" spans="9:12">
      <c r="I10000" s="225"/>
      <c r="K10000" s="9"/>
      <c r="L10000" s="9"/>
    </row>
    <row r="10001" s="105" customFormat="1" spans="9:12">
      <c r="I10001" s="225"/>
      <c r="K10001" s="9"/>
      <c r="L10001" s="9"/>
    </row>
    <row r="10002" s="105" customFormat="1" spans="9:12">
      <c r="I10002" s="225"/>
      <c r="K10002" s="9"/>
      <c r="L10002" s="9"/>
    </row>
    <row r="10003" s="105" customFormat="1" spans="9:12">
      <c r="I10003" s="225"/>
      <c r="K10003" s="9"/>
      <c r="L10003" s="9"/>
    </row>
    <row r="10004" s="105" customFormat="1" spans="9:12">
      <c r="I10004" s="225"/>
      <c r="K10004" s="9"/>
      <c r="L10004" s="9"/>
    </row>
    <row r="10005" s="105" customFormat="1" spans="9:12">
      <c r="I10005" s="225"/>
      <c r="K10005" s="9"/>
      <c r="L10005" s="9"/>
    </row>
    <row r="10006" s="105" customFormat="1" spans="9:12">
      <c r="I10006" s="225"/>
      <c r="K10006" s="9"/>
      <c r="L10006" s="9"/>
    </row>
    <row r="10007" s="105" customFormat="1" spans="9:12">
      <c r="I10007" s="225"/>
      <c r="K10007" s="9"/>
      <c r="L10007" s="9"/>
    </row>
    <row r="10008" s="105" customFormat="1" spans="9:12">
      <c r="I10008" s="225"/>
      <c r="K10008" s="9"/>
      <c r="L10008" s="9"/>
    </row>
    <row r="10009" s="105" customFormat="1" spans="9:12">
      <c r="I10009" s="225"/>
      <c r="K10009" s="9"/>
      <c r="L10009" s="9"/>
    </row>
    <row r="10010" s="105" customFormat="1" spans="9:12">
      <c r="I10010" s="225"/>
      <c r="K10010" s="9"/>
      <c r="L10010" s="9"/>
    </row>
    <row r="10011" s="105" customFormat="1" spans="9:12">
      <c r="I10011" s="225"/>
      <c r="K10011" s="9"/>
      <c r="L10011" s="9"/>
    </row>
    <row r="10012" s="105" customFormat="1" spans="9:12">
      <c r="I10012" s="225"/>
      <c r="K10012" s="9"/>
      <c r="L10012" s="9"/>
    </row>
    <row r="10013" s="105" customFormat="1" spans="9:12">
      <c r="I10013" s="225"/>
      <c r="K10013" s="9"/>
      <c r="L10013" s="9"/>
    </row>
    <row r="10014" s="105" customFormat="1" spans="9:12">
      <c r="I10014" s="225"/>
      <c r="K10014" s="9"/>
      <c r="L10014" s="9"/>
    </row>
    <row r="10015" s="105" customFormat="1" spans="9:12">
      <c r="I10015" s="225"/>
      <c r="K10015" s="9"/>
      <c r="L10015" s="9"/>
    </row>
    <row r="10016" s="105" customFormat="1" spans="9:12">
      <c r="I10016" s="225"/>
      <c r="K10016" s="9"/>
      <c r="L10016" s="9"/>
    </row>
    <row r="10017" s="105" customFormat="1" spans="9:12">
      <c r="I10017" s="225"/>
      <c r="K10017" s="9"/>
      <c r="L10017" s="9"/>
    </row>
    <row r="10018" s="105" customFormat="1" spans="9:12">
      <c r="I10018" s="225"/>
      <c r="K10018" s="9"/>
      <c r="L10018" s="9"/>
    </row>
    <row r="10019" s="105" customFormat="1" spans="9:12">
      <c r="I10019" s="225"/>
      <c r="K10019" s="9"/>
      <c r="L10019" s="9"/>
    </row>
    <row r="10020" s="105" customFormat="1" spans="9:12">
      <c r="I10020" s="225"/>
      <c r="K10020" s="9"/>
      <c r="L10020" s="9"/>
    </row>
    <row r="10021" s="105" customFormat="1" spans="9:12">
      <c r="I10021" s="225"/>
      <c r="K10021" s="9"/>
      <c r="L10021" s="9"/>
    </row>
    <row r="10022" s="105" customFormat="1" spans="9:12">
      <c r="I10022" s="225"/>
      <c r="K10022" s="9"/>
      <c r="L10022" s="9"/>
    </row>
    <row r="10023" s="105" customFormat="1" spans="9:12">
      <c r="I10023" s="225"/>
      <c r="K10023" s="9"/>
      <c r="L10023" s="9"/>
    </row>
    <row r="10024" s="105" customFormat="1" spans="9:12">
      <c r="I10024" s="225"/>
      <c r="K10024" s="9"/>
      <c r="L10024" s="9"/>
    </row>
    <row r="10025" s="105" customFormat="1" spans="9:12">
      <c r="I10025" s="225"/>
      <c r="K10025" s="9"/>
      <c r="L10025" s="9"/>
    </row>
    <row r="10026" s="105" customFormat="1" spans="9:12">
      <c r="I10026" s="225"/>
      <c r="K10026" s="9"/>
      <c r="L10026" s="9"/>
    </row>
    <row r="10027" s="105" customFormat="1" spans="9:12">
      <c r="I10027" s="225"/>
      <c r="K10027" s="9"/>
      <c r="L10027" s="9"/>
    </row>
    <row r="10028" s="105" customFormat="1" spans="9:12">
      <c r="I10028" s="225"/>
      <c r="K10028" s="9"/>
      <c r="L10028" s="9"/>
    </row>
    <row r="10029" s="105" customFormat="1" spans="9:12">
      <c r="I10029" s="225"/>
      <c r="K10029" s="9"/>
      <c r="L10029" s="9"/>
    </row>
    <row r="10030" s="105" customFormat="1" spans="9:12">
      <c r="I10030" s="225"/>
      <c r="K10030" s="9"/>
      <c r="L10030" s="9"/>
    </row>
    <row r="10031" s="105" customFormat="1" spans="9:12">
      <c r="I10031" s="225"/>
      <c r="K10031" s="9"/>
      <c r="L10031" s="9"/>
    </row>
    <row r="10032" s="105" customFormat="1" spans="9:12">
      <c r="I10032" s="225"/>
      <c r="K10032" s="9"/>
      <c r="L10032" s="9"/>
    </row>
    <row r="10033" s="105" customFormat="1" spans="9:12">
      <c r="I10033" s="225"/>
      <c r="K10033" s="9"/>
      <c r="L10033" s="9"/>
    </row>
    <row r="10034" s="105" customFormat="1" spans="9:12">
      <c r="I10034" s="225"/>
      <c r="K10034" s="9"/>
      <c r="L10034" s="9"/>
    </row>
    <row r="10035" s="105" customFormat="1" spans="9:12">
      <c r="I10035" s="225"/>
      <c r="K10035" s="9"/>
      <c r="L10035" s="9"/>
    </row>
    <row r="10036" s="105" customFormat="1" spans="9:12">
      <c r="I10036" s="225"/>
      <c r="K10036" s="9"/>
      <c r="L10036" s="9"/>
    </row>
    <row r="10037" s="105" customFormat="1" spans="9:12">
      <c r="I10037" s="225"/>
      <c r="K10037" s="9"/>
      <c r="L10037" s="9"/>
    </row>
    <row r="10038" s="105" customFormat="1" spans="9:12">
      <c r="I10038" s="225"/>
      <c r="K10038" s="9"/>
      <c r="L10038" s="9"/>
    </row>
    <row r="10039" s="105" customFormat="1" spans="9:12">
      <c r="I10039" s="225"/>
      <c r="K10039" s="9"/>
      <c r="L10039" s="9"/>
    </row>
    <row r="10040" s="105" customFormat="1" spans="9:12">
      <c r="I10040" s="225"/>
      <c r="K10040" s="9"/>
      <c r="L10040" s="9"/>
    </row>
    <row r="10041" s="105" customFormat="1" spans="9:12">
      <c r="I10041" s="225"/>
      <c r="K10041" s="9"/>
      <c r="L10041" s="9"/>
    </row>
    <row r="10042" s="105" customFormat="1" spans="9:12">
      <c r="I10042" s="225"/>
      <c r="K10042" s="9"/>
      <c r="L10042" s="9"/>
    </row>
    <row r="10043" s="105" customFormat="1" spans="9:12">
      <c r="I10043" s="225"/>
      <c r="K10043" s="9"/>
      <c r="L10043" s="9"/>
    </row>
    <row r="10044" s="105" customFormat="1" spans="9:12">
      <c r="I10044" s="225"/>
      <c r="K10044" s="9"/>
      <c r="L10044" s="9"/>
    </row>
    <row r="10045" s="105" customFormat="1" spans="9:12">
      <c r="I10045" s="225"/>
      <c r="K10045" s="9"/>
      <c r="L10045" s="9"/>
    </row>
    <row r="10046" s="105" customFormat="1" spans="9:12">
      <c r="I10046" s="225"/>
      <c r="K10046" s="9"/>
      <c r="L10046" s="9"/>
    </row>
    <row r="10047" s="105" customFormat="1" spans="9:12">
      <c r="I10047" s="225"/>
      <c r="K10047" s="9"/>
      <c r="L10047" s="9"/>
    </row>
    <row r="10048" s="105" customFormat="1" spans="9:12">
      <c r="I10048" s="225"/>
      <c r="K10048" s="9"/>
      <c r="L10048" s="9"/>
    </row>
    <row r="10049" s="105" customFormat="1" spans="9:12">
      <c r="I10049" s="225"/>
      <c r="K10049" s="9"/>
      <c r="L10049" s="9"/>
    </row>
    <row r="10050" s="105" customFormat="1" spans="9:12">
      <c r="I10050" s="225"/>
      <c r="K10050" s="9"/>
      <c r="L10050" s="9"/>
    </row>
    <row r="10051" s="105" customFormat="1" spans="9:12">
      <c r="I10051" s="225"/>
      <c r="K10051" s="9"/>
      <c r="L10051" s="9"/>
    </row>
    <row r="10052" s="105" customFormat="1" spans="9:12">
      <c r="I10052" s="225"/>
      <c r="K10052" s="9"/>
      <c r="L10052" s="9"/>
    </row>
    <row r="10053" s="105" customFormat="1" spans="9:12">
      <c r="I10053" s="225"/>
      <c r="K10053" s="9"/>
      <c r="L10053" s="9"/>
    </row>
    <row r="10054" s="105" customFormat="1" spans="9:12">
      <c r="I10054" s="225"/>
      <c r="K10054" s="9"/>
      <c r="L10054" s="9"/>
    </row>
    <row r="10055" s="105" customFormat="1" spans="9:12">
      <c r="I10055" s="225"/>
      <c r="K10055" s="9"/>
      <c r="L10055" s="9"/>
    </row>
    <row r="10056" s="105" customFormat="1" spans="9:12">
      <c r="I10056" s="225"/>
      <c r="K10056" s="9"/>
      <c r="L10056" s="9"/>
    </row>
    <row r="10057" s="105" customFormat="1" spans="9:12">
      <c r="I10057" s="225"/>
      <c r="K10057" s="9"/>
      <c r="L10057" s="9"/>
    </row>
    <row r="10058" s="105" customFormat="1" spans="9:12">
      <c r="I10058" s="225"/>
      <c r="K10058" s="9"/>
      <c r="L10058" s="9"/>
    </row>
    <row r="10059" s="105" customFormat="1" spans="9:12">
      <c r="I10059" s="225"/>
      <c r="K10059" s="9"/>
      <c r="L10059" s="9"/>
    </row>
    <row r="10060" s="105" customFormat="1" spans="9:12">
      <c r="I10060" s="225"/>
      <c r="K10060" s="9"/>
      <c r="L10060" s="9"/>
    </row>
    <row r="10061" s="105" customFormat="1" spans="9:12">
      <c r="I10061" s="225"/>
      <c r="K10061" s="9"/>
      <c r="L10061" s="9"/>
    </row>
    <row r="10062" s="105" customFormat="1" spans="9:12">
      <c r="I10062" s="225"/>
      <c r="K10062" s="9"/>
      <c r="L10062" s="9"/>
    </row>
    <row r="10063" s="105" customFormat="1" spans="9:12">
      <c r="I10063" s="225"/>
      <c r="K10063" s="9"/>
      <c r="L10063" s="9"/>
    </row>
    <row r="10064" s="105" customFormat="1" spans="9:12">
      <c r="I10064" s="225"/>
      <c r="K10064" s="9"/>
      <c r="L10064" s="9"/>
    </row>
    <row r="10065" s="105" customFormat="1" spans="9:12">
      <c r="I10065" s="225"/>
      <c r="K10065" s="9"/>
      <c r="L10065" s="9"/>
    </row>
    <row r="10066" s="105" customFormat="1" spans="9:12">
      <c r="I10066" s="225"/>
      <c r="K10066" s="9"/>
      <c r="L10066" s="9"/>
    </row>
    <row r="10067" s="105" customFormat="1" spans="9:12">
      <c r="I10067" s="225"/>
      <c r="K10067" s="9"/>
      <c r="L10067" s="9"/>
    </row>
    <row r="10068" s="105" customFormat="1" spans="9:12">
      <c r="I10068" s="225"/>
      <c r="K10068" s="9"/>
      <c r="L10068" s="9"/>
    </row>
    <row r="10069" s="105" customFormat="1" spans="9:12">
      <c r="I10069" s="225"/>
      <c r="K10069" s="9"/>
      <c r="L10069" s="9"/>
    </row>
    <row r="10070" s="105" customFormat="1" spans="9:12">
      <c r="I10070" s="225"/>
      <c r="K10070" s="9"/>
      <c r="L10070" s="9"/>
    </row>
    <row r="10071" s="105" customFormat="1" spans="9:12">
      <c r="I10071" s="225"/>
      <c r="K10071" s="9"/>
      <c r="L10071" s="9"/>
    </row>
    <row r="10072" s="105" customFormat="1" spans="9:12">
      <c r="I10072" s="225"/>
      <c r="K10072" s="9"/>
      <c r="L10072" s="9"/>
    </row>
    <row r="10073" s="105" customFormat="1" spans="9:12">
      <c r="I10073" s="225"/>
      <c r="K10073" s="9"/>
      <c r="L10073" s="9"/>
    </row>
    <row r="10074" s="105" customFormat="1" spans="9:12">
      <c r="I10074" s="225"/>
      <c r="K10074" s="9"/>
      <c r="L10074" s="9"/>
    </row>
    <row r="10075" s="105" customFormat="1" spans="9:12">
      <c r="I10075" s="225"/>
      <c r="K10075" s="9"/>
      <c r="L10075" s="9"/>
    </row>
    <row r="10076" s="105" customFormat="1" spans="9:12">
      <c r="I10076" s="225"/>
      <c r="K10076" s="9"/>
      <c r="L10076" s="9"/>
    </row>
    <row r="10077" s="105" customFormat="1" spans="9:12">
      <c r="I10077" s="225"/>
      <c r="K10077" s="9"/>
      <c r="L10077" s="9"/>
    </row>
    <row r="10078" s="105" customFormat="1" spans="9:12">
      <c r="I10078" s="225"/>
      <c r="K10078" s="9"/>
      <c r="L10078" s="9"/>
    </row>
    <row r="10079" s="105" customFormat="1" spans="9:12">
      <c r="I10079" s="225"/>
      <c r="K10079" s="9"/>
      <c r="L10079" s="9"/>
    </row>
    <row r="10080" s="105" customFormat="1" spans="9:12">
      <c r="I10080" s="225"/>
      <c r="K10080" s="9"/>
      <c r="L10080" s="9"/>
    </row>
    <row r="10081" s="105" customFormat="1" spans="9:12">
      <c r="I10081" s="225"/>
      <c r="K10081" s="9"/>
      <c r="L10081" s="9"/>
    </row>
    <row r="10082" s="105" customFormat="1" spans="9:12">
      <c r="I10082" s="225"/>
      <c r="K10082" s="9"/>
      <c r="L10082" s="9"/>
    </row>
    <row r="10083" s="105" customFormat="1" spans="9:12">
      <c r="I10083" s="225"/>
      <c r="K10083" s="9"/>
      <c r="L10083" s="9"/>
    </row>
    <row r="10084" s="105" customFormat="1" spans="9:12">
      <c r="I10084" s="225"/>
      <c r="K10084" s="9"/>
      <c r="L10084" s="9"/>
    </row>
    <row r="10085" s="105" customFormat="1" spans="9:12">
      <c r="I10085" s="225"/>
      <c r="K10085" s="9"/>
      <c r="L10085" s="9"/>
    </row>
    <row r="10086" s="105" customFormat="1" spans="9:12">
      <c r="I10086" s="225"/>
      <c r="K10086" s="9"/>
      <c r="L10086" s="9"/>
    </row>
    <row r="10087" s="105" customFormat="1" spans="9:12">
      <c r="I10087" s="225"/>
      <c r="K10087" s="9"/>
      <c r="L10087" s="9"/>
    </row>
    <row r="10088" s="105" customFormat="1" spans="9:12">
      <c r="I10088" s="225"/>
      <c r="K10088" s="9"/>
      <c r="L10088" s="9"/>
    </row>
    <row r="10089" s="105" customFormat="1" spans="9:12">
      <c r="I10089" s="225"/>
      <c r="K10089" s="9"/>
      <c r="L10089" s="9"/>
    </row>
    <row r="10090" s="105" customFormat="1" spans="9:12">
      <c r="I10090" s="225"/>
      <c r="K10090" s="9"/>
      <c r="L10090" s="9"/>
    </row>
    <row r="10091" s="105" customFormat="1" spans="9:12">
      <c r="I10091" s="225"/>
      <c r="K10091" s="9"/>
      <c r="L10091" s="9"/>
    </row>
    <row r="10092" s="105" customFormat="1" spans="9:12">
      <c r="I10092" s="225"/>
      <c r="K10092" s="9"/>
      <c r="L10092" s="9"/>
    </row>
    <row r="10093" s="105" customFormat="1" spans="9:12">
      <c r="I10093" s="225"/>
      <c r="K10093" s="9"/>
      <c r="L10093" s="9"/>
    </row>
    <row r="10094" s="105" customFormat="1" spans="9:12">
      <c r="I10094" s="225"/>
      <c r="K10094" s="9"/>
      <c r="L10094" s="9"/>
    </row>
    <row r="10095" s="105" customFormat="1" spans="9:12">
      <c r="I10095" s="225"/>
      <c r="K10095" s="9"/>
      <c r="L10095" s="9"/>
    </row>
    <row r="10096" s="105" customFormat="1" spans="9:12">
      <c r="I10096" s="225"/>
      <c r="K10096" s="9"/>
      <c r="L10096" s="9"/>
    </row>
    <row r="10097" s="105" customFormat="1" spans="9:12">
      <c r="I10097" s="225"/>
      <c r="K10097" s="9"/>
      <c r="L10097" s="9"/>
    </row>
    <row r="10098" s="105" customFormat="1" spans="9:12">
      <c r="I10098" s="225"/>
      <c r="K10098" s="9"/>
      <c r="L10098" s="9"/>
    </row>
    <row r="10099" s="105" customFormat="1" spans="9:12">
      <c r="I10099" s="225"/>
      <c r="K10099" s="9"/>
      <c r="L10099" s="9"/>
    </row>
    <row r="10100" s="105" customFormat="1" spans="9:12">
      <c r="I10100" s="225"/>
      <c r="K10100" s="9"/>
      <c r="L10100" s="9"/>
    </row>
    <row r="10101" s="105" customFormat="1" spans="9:12">
      <c r="I10101" s="225"/>
      <c r="K10101" s="9"/>
      <c r="L10101" s="9"/>
    </row>
    <row r="10102" s="105" customFormat="1" spans="9:12">
      <c r="I10102" s="225"/>
      <c r="K10102" s="9"/>
      <c r="L10102" s="9"/>
    </row>
    <row r="10103" s="105" customFormat="1" spans="9:12">
      <c r="I10103" s="225"/>
      <c r="K10103" s="9"/>
      <c r="L10103" s="9"/>
    </row>
    <row r="10104" s="105" customFormat="1" spans="9:12">
      <c r="I10104" s="225"/>
      <c r="K10104" s="9"/>
      <c r="L10104" s="9"/>
    </row>
    <row r="10105" s="105" customFormat="1" spans="9:12">
      <c r="I10105" s="225"/>
      <c r="K10105" s="9"/>
      <c r="L10105" s="9"/>
    </row>
    <row r="10106" s="105" customFormat="1" spans="9:12">
      <c r="I10106" s="225"/>
      <c r="K10106" s="9"/>
      <c r="L10106" s="9"/>
    </row>
    <row r="10107" s="105" customFormat="1" spans="9:12">
      <c r="I10107" s="225"/>
      <c r="K10107" s="9"/>
      <c r="L10107" s="9"/>
    </row>
    <row r="10108" s="105" customFormat="1" spans="9:12">
      <c r="I10108" s="225"/>
      <c r="K10108" s="9"/>
      <c r="L10108" s="9"/>
    </row>
    <row r="10109" s="105" customFormat="1" spans="9:12">
      <c r="I10109" s="225"/>
      <c r="K10109" s="9"/>
      <c r="L10109" s="9"/>
    </row>
    <row r="10110" s="105" customFormat="1" spans="9:12">
      <c r="I10110" s="225"/>
      <c r="K10110" s="9"/>
      <c r="L10110" s="9"/>
    </row>
    <row r="10111" s="105" customFormat="1" spans="9:12">
      <c r="I10111" s="225"/>
      <c r="K10111" s="9"/>
      <c r="L10111" s="9"/>
    </row>
    <row r="10112" s="105" customFormat="1" spans="9:12">
      <c r="I10112" s="225"/>
      <c r="K10112" s="9"/>
      <c r="L10112" s="9"/>
    </row>
    <row r="10113" s="105" customFormat="1" spans="9:12">
      <c r="I10113" s="225"/>
      <c r="K10113" s="9"/>
      <c r="L10113" s="9"/>
    </row>
    <row r="10114" s="105" customFormat="1" spans="9:12">
      <c r="I10114" s="225"/>
      <c r="K10114" s="9"/>
      <c r="L10114" s="9"/>
    </row>
    <row r="10115" s="105" customFormat="1" spans="9:12">
      <c r="I10115" s="225"/>
      <c r="K10115" s="9"/>
      <c r="L10115" s="9"/>
    </row>
    <row r="10116" s="105" customFormat="1" spans="9:12">
      <c r="I10116" s="225"/>
      <c r="K10116" s="9"/>
      <c r="L10116" s="9"/>
    </row>
    <row r="10117" s="105" customFormat="1" spans="9:12">
      <c r="I10117" s="225"/>
      <c r="K10117" s="9"/>
      <c r="L10117" s="9"/>
    </row>
    <row r="10118" s="105" customFormat="1" spans="9:12">
      <c r="I10118" s="225"/>
      <c r="K10118" s="9"/>
      <c r="L10118" s="9"/>
    </row>
    <row r="10119" s="105" customFormat="1" spans="9:12">
      <c r="I10119" s="225"/>
      <c r="K10119" s="9"/>
      <c r="L10119" s="9"/>
    </row>
    <row r="10120" s="105" customFormat="1" spans="9:12">
      <c r="I10120" s="225"/>
      <c r="K10120" s="9"/>
      <c r="L10120" s="9"/>
    </row>
    <row r="10121" s="105" customFormat="1" spans="9:12">
      <c r="I10121" s="225"/>
      <c r="K10121" s="9"/>
      <c r="L10121" s="9"/>
    </row>
    <row r="10122" s="105" customFormat="1" spans="9:12">
      <c r="I10122" s="225"/>
      <c r="K10122" s="9"/>
      <c r="L10122" s="9"/>
    </row>
    <row r="10123" s="105" customFormat="1" spans="9:12">
      <c r="I10123" s="225"/>
      <c r="K10123" s="9"/>
      <c r="L10123" s="9"/>
    </row>
    <row r="10124" s="105" customFormat="1" spans="9:12">
      <c r="I10124" s="225"/>
      <c r="K10124" s="9"/>
      <c r="L10124" s="9"/>
    </row>
    <row r="10125" s="105" customFormat="1" spans="9:12">
      <c r="I10125" s="225"/>
      <c r="K10125" s="9"/>
      <c r="L10125" s="9"/>
    </row>
    <row r="10126" s="105" customFormat="1" spans="9:12">
      <c r="I10126" s="225"/>
      <c r="K10126" s="9"/>
      <c r="L10126" s="9"/>
    </row>
    <row r="10127" s="105" customFormat="1" spans="9:12">
      <c r="I10127" s="225"/>
      <c r="K10127" s="9"/>
      <c r="L10127" s="9"/>
    </row>
    <row r="10128" s="105" customFormat="1" spans="9:12">
      <c r="I10128" s="225"/>
      <c r="K10128" s="9"/>
      <c r="L10128" s="9"/>
    </row>
    <row r="10129" s="105" customFormat="1" spans="9:12">
      <c r="I10129" s="225"/>
      <c r="K10129" s="9"/>
      <c r="L10129" s="9"/>
    </row>
    <row r="10130" s="105" customFormat="1" spans="9:12">
      <c r="I10130" s="225"/>
      <c r="K10130" s="9"/>
      <c r="L10130" s="9"/>
    </row>
    <row r="10131" s="105" customFormat="1" spans="9:12">
      <c r="I10131" s="225"/>
      <c r="K10131" s="9"/>
      <c r="L10131" s="9"/>
    </row>
    <row r="10132" s="105" customFormat="1" spans="9:12">
      <c r="I10132" s="225"/>
      <c r="K10132" s="9"/>
      <c r="L10132" s="9"/>
    </row>
    <row r="10133" s="105" customFormat="1" spans="9:12">
      <c r="I10133" s="225"/>
      <c r="K10133" s="9"/>
      <c r="L10133" s="9"/>
    </row>
    <row r="10134" s="105" customFormat="1" spans="9:12">
      <c r="I10134" s="225"/>
      <c r="K10134" s="9"/>
      <c r="L10134" s="9"/>
    </row>
    <row r="10135" s="105" customFormat="1" spans="9:12">
      <c r="I10135" s="225"/>
      <c r="K10135" s="9"/>
      <c r="L10135" s="9"/>
    </row>
    <row r="10136" s="105" customFormat="1" spans="9:12">
      <c r="I10136" s="225"/>
      <c r="K10136" s="9"/>
      <c r="L10136" s="9"/>
    </row>
    <row r="10137" s="105" customFormat="1" spans="9:12">
      <c r="I10137" s="225"/>
      <c r="K10137" s="9"/>
      <c r="L10137" s="9"/>
    </row>
    <row r="10138" s="105" customFormat="1" spans="9:12">
      <c r="I10138" s="225"/>
      <c r="K10138" s="9"/>
      <c r="L10138" s="9"/>
    </row>
    <row r="10139" s="105" customFormat="1" spans="9:12">
      <c r="I10139" s="225"/>
      <c r="K10139" s="9"/>
      <c r="L10139" s="9"/>
    </row>
    <row r="10140" s="105" customFormat="1" spans="9:12">
      <c r="I10140" s="225"/>
      <c r="K10140" s="9"/>
      <c r="L10140" s="9"/>
    </row>
    <row r="10141" s="105" customFormat="1" spans="9:12">
      <c r="I10141" s="225"/>
      <c r="K10141" s="9"/>
      <c r="L10141" s="9"/>
    </row>
    <row r="10142" s="105" customFormat="1" spans="9:12">
      <c r="I10142" s="225"/>
      <c r="K10142" s="9"/>
      <c r="L10142" s="9"/>
    </row>
    <row r="10143" s="105" customFormat="1" spans="9:12">
      <c r="I10143" s="225"/>
      <c r="K10143" s="9"/>
      <c r="L10143" s="9"/>
    </row>
    <row r="10144" s="105" customFormat="1" spans="9:12">
      <c r="I10144" s="225"/>
      <c r="K10144" s="9"/>
      <c r="L10144" s="9"/>
    </row>
    <row r="10145" s="105" customFormat="1" spans="9:12">
      <c r="I10145" s="225"/>
      <c r="K10145" s="9"/>
      <c r="L10145" s="9"/>
    </row>
    <row r="10146" s="105" customFormat="1" spans="9:12">
      <c r="I10146" s="225"/>
      <c r="K10146" s="9"/>
      <c r="L10146" s="9"/>
    </row>
    <row r="10147" s="105" customFormat="1" spans="9:12">
      <c r="I10147" s="225"/>
      <c r="K10147" s="9"/>
      <c r="L10147" s="9"/>
    </row>
    <row r="10148" s="105" customFormat="1" spans="9:12">
      <c r="I10148" s="225"/>
      <c r="K10148" s="9"/>
      <c r="L10148" s="9"/>
    </row>
    <row r="10149" s="105" customFormat="1" spans="9:12">
      <c r="I10149" s="225"/>
      <c r="K10149" s="9"/>
      <c r="L10149" s="9"/>
    </row>
    <row r="10150" s="105" customFormat="1" spans="9:12">
      <c r="I10150" s="225"/>
      <c r="K10150" s="9"/>
      <c r="L10150" s="9"/>
    </row>
    <row r="10151" s="105" customFormat="1" spans="9:12">
      <c r="I10151" s="225"/>
      <c r="K10151" s="9"/>
      <c r="L10151" s="9"/>
    </row>
    <row r="10152" s="105" customFormat="1" spans="9:12">
      <c r="I10152" s="225"/>
      <c r="K10152" s="9"/>
      <c r="L10152" s="9"/>
    </row>
    <row r="10153" s="105" customFormat="1" spans="9:12">
      <c r="I10153" s="225"/>
      <c r="K10153" s="9"/>
      <c r="L10153" s="9"/>
    </row>
    <row r="10154" s="105" customFormat="1" spans="9:12">
      <c r="I10154" s="225"/>
      <c r="K10154" s="9"/>
      <c r="L10154" s="9"/>
    </row>
    <row r="10155" s="105" customFormat="1" spans="9:12">
      <c r="I10155" s="225"/>
      <c r="K10155" s="9"/>
      <c r="L10155" s="9"/>
    </row>
    <row r="10156" s="105" customFormat="1" spans="9:12">
      <c r="I10156" s="225"/>
      <c r="K10156" s="9"/>
      <c r="L10156" s="9"/>
    </row>
    <row r="10157" s="105" customFormat="1" spans="9:12">
      <c r="I10157" s="225"/>
      <c r="K10157" s="9"/>
      <c r="L10157" s="9"/>
    </row>
    <row r="10158" s="105" customFormat="1" spans="9:12">
      <c r="I10158" s="225"/>
      <c r="K10158" s="9"/>
      <c r="L10158" s="9"/>
    </row>
    <row r="10159" s="105" customFormat="1" spans="9:12">
      <c r="I10159" s="225"/>
      <c r="K10159" s="9"/>
      <c r="L10159" s="9"/>
    </row>
    <row r="10160" s="105" customFormat="1" spans="9:12">
      <c r="I10160" s="225"/>
      <c r="K10160" s="9"/>
      <c r="L10160" s="9"/>
    </row>
    <row r="10161" s="105" customFormat="1" spans="9:12">
      <c r="I10161" s="225"/>
      <c r="K10161" s="9"/>
      <c r="L10161" s="9"/>
    </row>
    <row r="10162" s="105" customFormat="1" spans="9:12">
      <c r="I10162" s="225"/>
      <c r="K10162" s="9"/>
      <c r="L10162" s="9"/>
    </row>
    <row r="10163" s="105" customFormat="1" spans="9:12">
      <c r="I10163" s="225"/>
      <c r="K10163" s="9"/>
      <c r="L10163" s="9"/>
    </row>
    <row r="10164" s="105" customFormat="1" spans="9:12">
      <c r="I10164" s="225"/>
      <c r="K10164" s="9"/>
      <c r="L10164" s="9"/>
    </row>
    <row r="10165" s="105" customFormat="1" spans="9:12">
      <c r="I10165" s="225"/>
      <c r="K10165" s="9"/>
      <c r="L10165" s="9"/>
    </row>
    <row r="10166" s="105" customFormat="1" spans="9:12">
      <c r="I10166" s="225"/>
      <c r="K10166" s="9"/>
      <c r="L10166" s="9"/>
    </row>
    <row r="10167" s="105" customFormat="1" spans="9:12">
      <c r="I10167" s="225"/>
      <c r="K10167" s="9"/>
      <c r="L10167" s="9"/>
    </row>
    <row r="10168" s="105" customFormat="1" spans="9:12">
      <c r="I10168" s="225"/>
      <c r="K10168" s="9"/>
      <c r="L10168" s="9"/>
    </row>
    <row r="10169" s="105" customFormat="1" spans="9:12">
      <c r="I10169" s="225"/>
      <c r="K10169" s="9"/>
      <c r="L10169" s="9"/>
    </row>
    <row r="10170" s="105" customFormat="1" spans="9:12">
      <c r="I10170" s="225"/>
      <c r="K10170" s="9"/>
      <c r="L10170" s="9"/>
    </row>
    <row r="10171" s="105" customFormat="1" spans="9:12">
      <c r="I10171" s="225"/>
      <c r="K10171" s="9"/>
      <c r="L10171" s="9"/>
    </row>
    <row r="10172" s="105" customFormat="1" spans="9:12">
      <c r="I10172" s="225"/>
      <c r="K10172" s="9"/>
      <c r="L10172" s="9"/>
    </row>
    <row r="10173" s="105" customFormat="1" spans="9:12">
      <c r="I10173" s="225"/>
      <c r="K10173" s="9"/>
      <c r="L10173" s="9"/>
    </row>
    <row r="10174" s="105" customFormat="1" spans="9:12">
      <c r="I10174" s="225"/>
      <c r="K10174" s="9"/>
      <c r="L10174" s="9"/>
    </row>
    <row r="10175" s="105" customFormat="1" spans="9:12">
      <c r="I10175" s="225"/>
      <c r="K10175" s="9"/>
      <c r="L10175" s="9"/>
    </row>
    <row r="10176" s="105" customFormat="1" spans="9:12">
      <c r="I10176" s="225"/>
      <c r="K10176" s="9"/>
      <c r="L10176" s="9"/>
    </row>
    <row r="10177" s="105" customFormat="1" spans="9:12">
      <c r="I10177" s="225"/>
      <c r="K10177" s="9"/>
      <c r="L10177" s="9"/>
    </row>
    <row r="10178" s="105" customFormat="1" spans="9:12">
      <c r="I10178" s="225"/>
      <c r="K10178" s="9"/>
      <c r="L10178" s="9"/>
    </row>
    <row r="10179" s="105" customFormat="1" spans="9:12">
      <c r="I10179" s="225"/>
      <c r="K10179" s="9"/>
      <c r="L10179" s="9"/>
    </row>
    <row r="10180" s="105" customFormat="1" spans="9:12">
      <c r="I10180" s="225"/>
      <c r="K10180" s="9"/>
      <c r="L10180" s="9"/>
    </row>
    <row r="10181" s="105" customFormat="1" spans="9:12">
      <c r="I10181" s="225"/>
      <c r="K10181" s="9"/>
      <c r="L10181" s="9"/>
    </row>
    <row r="10182" s="105" customFormat="1" spans="9:12">
      <c r="I10182" s="225"/>
      <c r="K10182" s="9"/>
      <c r="L10182" s="9"/>
    </row>
    <row r="10183" s="105" customFormat="1" spans="9:12">
      <c r="I10183" s="225"/>
      <c r="K10183" s="9"/>
      <c r="L10183" s="9"/>
    </row>
    <row r="10184" s="105" customFormat="1" spans="9:12">
      <c r="I10184" s="225"/>
      <c r="K10184" s="9"/>
      <c r="L10184" s="9"/>
    </row>
    <row r="10185" s="105" customFormat="1" spans="9:12">
      <c r="I10185" s="225"/>
      <c r="K10185" s="9"/>
      <c r="L10185" s="9"/>
    </row>
    <row r="10186" s="105" customFormat="1" spans="9:12">
      <c r="I10186" s="225"/>
      <c r="K10186" s="9"/>
      <c r="L10186" s="9"/>
    </row>
    <row r="10187" s="105" customFormat="1" spans="9:12">
      <c r="I10187" s="225"/>
      <c r="K10187" s="9"/>
      <c r="L10187" s="9"/>
    </row>
    <row r="10188" s="105" customFormat="1" spans="9:12">
      <c r="I10188" s="225"/>
      <c r="K10188" s="9"/>
      <c r="L10188" s="9"/>
    </row>
    <row r="10189" s="105" customFormat="1" spans="9:12">
      <c r="I10189" s="225"/>
      <c r="K10189" s="9"/>
      <c r="L10189" s="9"/>
    </row>
    <row r="10190" s="105" customFormat="1" spans="9:12">
      <c r="I10190" s="225"/>
      <c r="K10190" s="9"/>
      <c r="L10190" s="9"/>
    </row>
    <row r="10191" s="105" customFormat="1" spans="9:12">
      <c r="I10191" s="225"/>
      <c r="K10191" s="9"/>
      <c r="L10191" s="9"/>
    </row>
    <row r="10192" s="105" customFormat="1" spans="9:12">
      <c r="I10192" s="225"/>
      <c r="K10192" s="9"/>
      <c r="L10192" s="9"/>
    </row>
    <row r="10193" s="105" customFormat="1" spans="9:12">
      <c r="I10193" s="225"/>
      <c r="K10193" s="9"/>
      <c r="L10193" s="9"/>
    </row>
    <row r="10194" s="105" customFormat="1" spans="9:12">
      <c r="I10194" s="225"/>
      <c r="K10194" s="9"/>
      <c r="L10194" s="9"/>
    </row>
    <row r="10195" s="105" customFormat="1" spans="9:12">
      <c r="I10195" s="225"/>
      <c r="K10195" s="9"/>
      <c r="L10195" s="9"/>
    </row>
    <row r="10196" s="105" customFormat="1" spans="9:12">
      <c r="I10196" s="225"/>
      <c r="K10196" s="9"/>
      <c r="L10196" s="9"/>
    </row>
    <row r="10197" s="105" customFormat="1" spans="9:12">
      <c r="I10197" s="225"/>
      <c r="K10197" s="9"/>
      <c r="L10197" s="9"/>
    </row>
    <row r="10198" s="105" customFormat="1" spans="9:12">
      <c r="I10198" s="225"/>
      <c r="K10198" s="9"/>
      <c r="L10198" s="9"/>
    </row>
    <row r="10199" s="105" customFormat="1" spans="9:12">
      <c r="I10199" s="225"/>
      <c r="K10199" s="9"/>
      <c r="L10199" s="9"/>
    </row>
    <row r="10200" s="105" customFormat="1" spans="9:12">
      <c r="I10200" s="225"/>
      <c r="K10200" s="9"/>
      <c r="L10200" s="9"/>
    </row>
    <row r="10201" s="105" customFormat="1" spans="9:12">
      <c r="I10201" s="225"/>
      <c r="K10201" s="9"/>
      <c r="L10201" s="9"/>
    </row>
    <row r="10202" s="105" customFormat="1" spans="9:12">
      <c r="I10202" s="225"/>
      <c r="K10202" s="9"/>
      <c r="L10202" s="9"/>
    </row>
    <row r="10203" s="105" customFormat="1" spans="9:12">
      <c r="I10203" s="225"/>
      <c r="K10203" s="9"/>
      <c r="L10203" s="9"/>
    </row>
    <row r="10204" s="105" customFormat="1" spans="9:12">
      <c r="I10204" s="225"/>
      <c r="K10204" s="9"/>
      <c r="L10204" s="9"/>
    </row>
    <row r="10205" s="105" customFormat="1" spans="9:12">
      <c r="I10205" s="225"/>
      <c r="K10205" s="9"/>
      <c r="L10205" s="9"/>
    </row>
    <row r="10206" s="105" customFormat="1" spans="9:12">
      <c r="I10206" s="225"/>
      <c r="K10206" s="9"/>
      <c r="L10206" s="9"/>
    </row>
    <row r="10207" s="105" customFormat="1" spans="9:12">
      <c r="I10207" s="225"/>
      <c r="K10207" s="9"/>
      <c r="L10207" s="9"/>
    </row>
    <row r="10208" s="105" customFormat="1" spans="9:12">
      <c r="I10208" s="225"/>
      <c r="K10208" s="9"/>
      <c r="L10208" s="9"/>
    </row>
    <row r="10209" s="105" customFormat="1" spans="9:12">
      <c r="I10209" s="225"/>
      <c r="K10209" s="9"/>
      <c r="L10209" s="9"/>
    </row>
    <row r="10210" s="105" customFormat="1" spans="9:12">
      <c r="I10210" s="225"/>
      <c r="K10210" s="9"/>
      <c r="L10210" s="9"/>
    </row>
    <row r="10211" s="105" customFormat="1" spans="9:12">
      <c r="I10211" s="225"/>
      <c r="K10211" s="9"/>
      <c r="L10211" s="9"/>
    </row>
    <row r="10212" s="105" customFormat="1" spans="9:12">
      <c r="I10212" s="225"/>
      <c r="K10212" s="9"/>
      <c r="L10212" s="9"/>
    </row>
    <row r="10213" s="105" customFormat="1" spans="9:12">
      <c r="I10213" s="225"/>
      <c r="K10213" s="9"/>
      <c r="L10213" s="9"/>
    </row>
    <row r="10214" s="105" customFormat="1" spans="9:12">
      <c r="I10214" s="225"/>
      <c r="K10214" s="9"/>
      <c r="L10214" s="9"/>
    </row>
    <row r="10215" s="105" customFormat="1" spans="9:12">
      <c r="I10215" s="225"/>
      <c r="K10215" s="9"/>
      <c r="L10215" s="9"/>
    </row>
    <row r="10216" s="105" customFormat="1" spans="9:12">
      <c r="I10216" s="225"/>
      <c r="K10216" s="9"/>
      <c r="L10216" s="9"/>
    </row>
    <row r="10217" s="105" customFormat="1" spans="9:12">
      <c r="I10217" s="225"/>
      <c r="K10217" s="9"/>
      <c r="L10217" s="9"/>
    </row>
    <row r="10218" s="105" customFormat="1" spans="9:12">
      <c r="I10218" s="225"/>
      <c r="K10218" s="9"/>
      <c r="L10218" s="9"/>
    </row>
    <row r="10219" s="105" customFormat="1" spans="9:12">
      <c r="I10219" s="225"/>
      <c r="K10219" s="9"/>
      <c r="L10219" s="9"/>
    </row>
    <row r="10220" s="105" customFormat="1" spans="9:12">
      <c r="I10220" s="225"/>
      <c r="K10220" s="9"/>
      <c r="L10220" s="9"/>
    </row>
    <row r="10221" s="105" customFormat="1" spans="9:12">
      <c r="I10221" s="225"/>
      <c r="K10221" s="9"/>
      <c r="L10221" s="9"/>
    </row>
    <row r="10222" s="105" customFormat="1" spans="9:12">
      <c r="I10222" s="225"/>
      <c r="K10222" s="9"/>
      <c r="L10222" s="9"/>
    </row>
    <row r="10223" s="105" customFormat="1" spans="9:12">
      <c r="I10223" s="225"/>
      <c r="K10223" s="9"/>
      <c r="L10223" s="9"/>
    </row>
    <row r="10224" s="105" customFormat="1" spans="9:12">
      <c r="I10224" s="225"/>
      <c r="K10224" s="9"/>
      <c r="L10224" s="9"/>
    </row>
    <row r="10225" s="105" customFormat="1" spans="9:12">
      <c r="I10225" s="225"/>
      <c r="K10225" s="9"/>
      <c r="L10225" s="9"/>
    </row>
    <row r="10226" s="105" customFormat="1" spans="9:12">
      <c r="I10226" s="225"/>
      <c r="K10226" s="9"/>
      <c r="L10226" s="9"/>
    </row>
    <row r="10227" s="105" customFormat="1" spans="9:12">
      <c r="I10227" s="225"/>
      <c r="K10227" s="9"/>
      <c r="L10227" s="9"/>
    </row>
    <row r="10228" s="105" customFormat="1" spans="9:12">
      <c r="I10228" s="225"/>
      <c r="K10228" s="9"/>
      <c r="L10228" s="9"/>
    </row>
    <row r="10229" s="105" customFormat="1" spans="9:12">
      <c r="I10229" s="225"/>
      <c r="K10229" s="9"/>
      <c r="L10229" s="9"/>
    </row>
    <row r="10230" s="105" customFormat="1" spans="9:12">
      <c r="I10230" s="225"/>
      <c r="K10230" s="9"/>
      <c r="L10230" s="9"/>
    </row>
    <row r="10231" s="105" customFormat="1" spans="9:12">
      <c r="I10231" s="225"/>
      <c r="K10231" s="9"/>
      <c r="L10231" s="9"/>
    </row>
    <row r="10232" s="105" customFormat="1" spans="9:12">
      <c r="I10232" s="225"/>
      <c r="K10232" s="9"/>
      <c r="L10232" s="9"/>
    </row>
    <row r="10233" s="105" customFormat="1" spans="9:12">
      <c r="I10233" s="225"/>
      <c r="K10233" s="9"/>
      <c r="L10233" s="9"/>
    </row>
    <row r="10234" s="105" customFormat="1" spans="9:12">
      <c r="I10234" s="225"/>
      <c r="K10234" s="9"/>
      <c r="L10234" s="9"/>
    </row>
    <row r="10235" s="105" customFormat="1" spans="9:12">
      <c r="I10235" s="225"/>
      <c r="K10235" s="9"/>
      <c r="L10235" s="9"/>
    </row>
    <row r="10236" s="105" customFormat="1" spans="9:12">
      <c r="I10236" s="225"/>
      <c r="K10236" s="9"/>
      <c r="L10236" s="9"/>
    </row>
    <row r="10237" s="105" customFormat="1" spans="9:12">
      <c r="I10237" s="225"/>
      <c r="K10237" s="9"/>
      <c r="L10237" s="9"/>
    </row>
    <row r="10238" s="105" customFormat="1" spans="9:12">
      <c r="I10238" s="225"/>
      <c r="K10238" s="9"/>
      <c r="L10238" s="9"/>
    </row>
    <row r="10239" s="105" customFormat="1" spans="9:12">
      <c r="I10239" s="225"/>
      <c r="K10239" s="9"/>
      <c r="L10239" s="9"/>
    </row>
    <row r="10240" s="105" customFormat="1" spans="9:12">
      <c r="I10240" s="225"/>
      <c r="K10240" s="9"/>
      <c r="L10240" s="9"/>
    </row>
    <row r="10241" s="105" customFormat="1" spans="9:12">
      <c r="I10241" s="225"/>
      <c r="K10241" s="9"/>
      <c r="L10241" s="9"/>
    </row>
    <row r="10242" s="105" customFormat="1" spans="9:12">
      <c r="I10242" s="225"/>
      <c r="K10242" s="9"/>
      <c r="L10242" s="9"/>
    </row>
    <row r="10243" s="105" customFormat="1" spans="9:12">
      <c r="I10243" s="225"/>
      <c r="K10243" s="9"/>
      <c r="L10243" s="9"/>
    </row>
    <row r="10244" s="105" customFormat="1" spans="9:12">
      <c r="I10244" s="225"/>
      <c r="K10244" s="9"/>
      <c r="L10244" s="9"/>
    </row>
    <row r="10245" s="105" customFormat="1" spans="9:12">
      <c r="I10245" s="225"/>
      <c r="K10245" s="9"/>
      <c r="L10245" s="9"/>
    </row>
    <row r="10246" s="105" customFormat="1" spans="9:12">
      <c r="I10246" s="225"/>
      <c r="K10246" s="9"/>
      <c r="L10246" s="9"/>
    </row>
    <row r="10247" s="105" customFormat="1" spans="9:12">
      <c r="I10247" s="225"/>
      <c r="K10247" s="9"/>
      <c r="L10247" s="9"/>
    </row>
    <row r="10248" s="105" customFormat="1" spans="9:12">
      <c r="I10248" s="225"/>
      <c r="K10248" s="9"/>
      <c r="L10248" s="9"/>
    </row>
    <row r="10249" s="105" customFormat="1" spans="9:12">
      <c r="I10249" s="225"/>
      <c r="K10249" s="9"/>
      <c r="L10249" s="9"/>
    </row>
    <row r="10250" s="105" customFormat="1" spans="9:12">
      <c r="I10250" s="225"/>
      <c r="K10250" s="9"/>
      <c r="L10250" s="9"/>
    </row>
    <row r="10251" s="105" customFormat="1" spans="9:12">
      <c r="I10251" s="225"/>
      <c r="K10251" s="9"/>
      <c r="L10251" s="9"/>
    </row>
    <row r="10252" s="105" customFormat="1" spans="9:12">
      <c r="I10252" s="225"/>
      <c r="K10252" s="9"/>
      <c r="L10252" s="9"/>
    </row>
    <row r="10253" s="105" customFormat="1" spans="9:12">
      <c r="I10253" s="225"/>
      <c r="K10253" s="9"/>
      <c r="L10253" s="9"/>
    </row>
    <row r="10254" s="105" customFormat="1" spans="9:12">
      <c r="I10254" s="225"/>
      <c r="K10254" s="9"/>
      <c r="L10254" s="9"/>
    </row>
    <row r="10255" s="105" customFormat="1" spans="9:12">
      <c r="I10255" s="225"/>
      <c r="K10255" s="9"/>
      <c r="L10255" s="9"/>
    </row>
    <row r="10256" s="105" customFormat="1" spans="9:12">
      <c r="I10256" s="225"/>
      <c r="K10256" s="9"/>
      <c r="L10256" s="9"/>
    </row>
    <row r="10257" s="105" customFormat="1" spans="9:12">
      <c r="I10257" s="225"/>
      <c r="K10257" s="9"/>
      <c r="L10257" s="9"/>
    </row>
    <row r="10258" s="105" customFormat="1" spans="9:12">
      <c r="I10258" s="225"/>
      <c r="K10258" s="9"/>
      <c r="L10258" s="9"/>
    </row>
    <row r="10259" s="105" customFormat="1" spans="9:12">
      <c r="I10259" s="225"/>
      <c r="K10259" s="9"/>
      <c r="L10259" s="9"/>
    </row>
    <row r="10260" s="105" customFormat="1" spans="9:12">
      <c r="I10260" s="225"/>
      <c r="K10260" s="9"/>
      <c r="L10260" s="9"/>
    </row>
    <row r="10261" s="105" customFormat="1" spans="9:12">
      <c r="I10261" s="225"/>
      <c r="K10261" s="9"/>
      <c r="L10261" s="9"/>
    </row>
    <row r="10262" s="105" customFormat="1" spans="9:12">
      <c r="I10262" s="225"/>
      <c r="K10262" s="9"/>
      <c r="L10262" s="9"/>
    </row>
    <row r="10263" s="105" customFormat="1" spans="9:12">
      <c r="I10263" s="225"/>
      <c r="K10263" s="9"/>
      <c r="L10263" s="9"/>
    </row>
    <row r="10264" s="105" customFormat="1" spans="9:12">
      <c r="I10264" s="225"/>
      <c r="K10264" s="9"/>
      <c r="L10264" s="9"/>
    </row>
    <row r="10265" s="105" customFormat="1" spans="9:12">
      <c r="I10265" s="225"/>
      <c r="K10265" s="9"/>
      <c r="L10265" s="9"/>
    </row>
    <row r="10266" s="105" customFormat="1" spans="9:12">
      <c r="I10266" s="225"/>
      <c r="K10266" s="9"/>
      <c r="L10266" s="9"/>
    </row>
    <row r="10267" s="105" customFormat="1" spans="9:12">
      <c r="I10267" s="225"/>
      <c r="K10267" s="9"/>
      <c r="L10267" s="9"/>
    </row>
    <row r="10268" s="105" customFormat="1" spans="9:12">
      <c r="I10268" s="225"/>
      <c r="K10268" s="9"/>
      <c r="L10268" s="9"/>
    </row>
    <row r="10269" s="105" customFormat="1" spans="9:12">
      <c r="I10269" s="225"/>
      <c r="K10269" s="9"/>
      <c r="L10269" s="9"/>
    </row>
    <row r="10270" s="105" customFormat="1" spans="9:12">
      <c r="I10270" s="225"/>
      <c r="K10270" s="9"/>
      <c r="L10270" s="9"/>
    </row>
    <row r="10271" s="105" customFormat="1" spans="9:12">
      <c r="I10271" s="225"/>
      <c r="K10271" s="9"/>
      <c r="L10271" s="9"/>
    </row>
    <row r="10272" s="105" customFormat="1" spans="9:12">
      <c r="I10272" s="225"/>
      <c r="K10272" s="9"/>
      <c r="L10272" s="9"/>
    </row>
    <row r="10273" s="105" customFormat="1" spans="9:12">
      <c r="I10273" s="225"/>
      <c r="K10273" s="9"/>
      <c r="L10273" s="9"/>
    </row>
    <row r="10274" s="105" customFormat="1" spans="9:12">
      <c r="I10274" s="225"/>
      <c r="K10274" s="9"/>
      <c r="L10274" s="9"/>
    </row>
    <row r="10275" s="105" customFormat="1" spans="9:12">
      <c r="I10275" s="225"/>
      <c r="K10275" s="9"/>
      <c r="L10275" s="9"/>
    </row>
    <row r="10276" s="105" customFormat="1" spans="9:12">
      <c r="I10276" s="225"/>
      <c r="K10276" s="9"/>
      <c r="L10276" s="9"/>
    </row>
    <row r="10277" s="105" customFormat="1" spans="9:12">
      <c r="I10277" s="225"/>
      <c r="K10277" s="9"/>
      <c r="L10277" s="9"/>
    </row>
    <row r="10278" s="105" customFormat="1" spans="9:12">
      <c r="I10278" s="225"/>
      <c r="K10278" s="9"/>
      <c r="L10278" s="9"/>
    </row>
    <row r="10279" s="105" customFormat="1" spans="9:12">
      <c r="I10279" s="225"/>
      <c r="K10279" s="9"/>
      <c r="L10279" s="9"/>
    </row>
    <row r="10280" s="105" customFormat="1" spans="9:12">
      <c r="I10280" s="225"/>
      <c r="K10280" s="9"/>
      <c r="L10280" s="9"/>
    </row>
    <row r="10281" s="105" customFormat="1" spans="9:12">
      <c r="I10281" s="225"/>
      <c r="K10281" s="9"/>
      <c r="L10281" s="9"/>
    </row>
    <row r="10282" s="105" customFormat="1" spans="9:12">
      <c r="I10282" s="225"/>
      <c r="K10282" s="9"/>
      <c r="L10282" s="9"/>
    </row>
    <row r="10283" s="105" customFormat="1" spans="9:12">
      <c r="I10283" s="225"/>
      <c r="K10283" s="9"/>
      <c r="L10283" s="9"/>
    </row>
    <row r="10284" s="105" customFormat="1" spans="9:12">
      <c r="I10284" s="225"/>
      <c r="K10284" s="9"/>
      <c r="L10284" s="9"/>
    </row>
    <row r="10285" s="105" customFormat="1" spans="9:12">
      <c r="I10285" s="225"/>
      <c r="K10285" s="9"/>
      <c r="L10285" s="9"/>
    </row>
    <row r="10286" s="105" customFormat="1" spans="9:12">
      <c r="I10286" s="225"/>
      <c r="K10286" s="9"/>
      <c r="L10286" s="9"/>
    </row>
    <row r="10287" s="105" customFormat="1" spans="9:12">
      <c r="I10287" s="225"/>
      <c r="K10287" s="9"/>
      <c r="L10287" s="9"/>
    </row>
    <row r="10288" s="105" customFormat="1" spans="9:12">
      <c r="I10288" s="225"/>
      <c r="K10288" s="9"/>
      <c r="L10288" s="9"/>
    </row>
    <row r="10289" s="105" customFormat="1" spans="9:12">
      <c r="I10289" s="225"/>
      <c r="K10289" s="9"/>
      <c r="L10289" s="9"/>
    </row>
    <row r="10290" s="105" customFormat="1" spans="9:12">
      <c r="I10290" s="225"/>
      <c r="K10290" s="9"/>
      <c r="L10290" s="9"/>
    </row>
    <row r="10291" s="105" customFormat="1" spans="9:12">
      <c r="I10291" s="225"/>
      <c r="K10291" s="9"/>
      <c r="L10291" s="9"/>
    </row>
    <row r="10292" s="105" customFormat="1" spans="9:12">
      <c r="I10292" s="225"/>
      <c r="K10292" s="9"/>
      <c r="L10292" s="9"/>
    </row>
    <row r="10293" s="105" customFormat="1" spans="9:12">
      <c r="I10293" s="225"/>
      <c r="K10293" s="9"/>
      <c r="L10293" s="9"/>
    </row>
    <row r="10294" s="105" customFormat="1" spans="9:12">
      <c r="I10294" s="225"/>
      <c r="K10294" s="9"/>
      <c r="L10294" s="9"/>
    </row>
    <row r="10295" s="105" customFormat="1" spans="9:12">
      <c r="I10295" s="225"/>
      <c r="K10295" s="9"/>
      <c r="L10295" s="9"/>
    </row>
    <row r="10296" s="105" customFormat="1" spans="9:12">
      <c r="I10296" s="225"/>
      <c r="K10296" s="9"/>
      <c r="L10296" s="9"/>
    </row>
    <row r="10297" s="105" customFormat="1" spans="9:12">
      <c r="I10297" s="225"/>
      <c r="K10297" s="9"/>
      <c r="L10297" s="9"/>
    </row>
    <row r="10298" s="105" customFormat="1" spans="9:12">
      <c r="I10298" s="225"/>
      <c r="K10298" s="9"/>
      <c r="L10298" s="9"/>
    </row>
    <row r="10299" s="105" customFormat="1" spans="9:12">
      <c r="I10299" s="225"/>
      <c r="K10299" s="9"/>
      <c r="L10299" s="9"/>
    </row>
    <row r="10300" s="105" customFormat="1" spans="9:12">
      <c r="I10300" s="225"/>
      <c r="K10300" s="9"/>
      <c r="L10300" s="9"/>
    </row>
    <row r="10301" s="105" customFormat="1" spans="9:12">
      <c r="I10301" s="225"/>
      <c r="K10301" s="9"/>
      <c r="L10301" s="9"/>
    </row>
    <row r="10302" s="105" customFormat="1" spans="9:12">
      <c r="I10302" s="225"/>
      <c r="K10302" s="9"/>
      <c r="L10302" s="9"/>
    </row>
    <row r="10303" s="105" customFormat="1" spans="9:12">
      <c r="I10303" s="225"/>
      <c r="K10303" s="9"/>
      <c r="L10303" s="9"/>
    </row>
    <row r="10304" s="105" customFormat="1" spans="9:12">
      <c r="I10304" s="225"/>
      <c r="K10304" s="9"/>
      <c r="L10304" s="9"/>
    </row>
    <row r="10305" s="105" customFormat="1" spans="9:12">
      <c r="I10305" s="225"/>
      <c r="K10305" s="9"/>
      <c r="L10305" s="9"/>
    </row>
    <row r="10306" s="105" customFormat="1" spans="9:12">
      <c r="I10306" s="225"/>
      <c r="K10306" s="9"/>
      <c r="L10306" s="9"/>
    </row>
    <row r="10307" s="105" customFormat="1" spans="9:12">
      <c r="I10307" s="225"/>
      <c r="K10307" s="9"/>
      <c r="L10307" s="9"/>
    </row>
    <row r="10308" s="105" customFormat="1" spans="9:12">
      <c r="I10308" s="225"/>
      <c r="K10308" s="9"/>
      <c r="L10308" s="9"/>
    </row>
    <row r="10309" s="105" customFormat="1" spans="9:12">
      <c r="I10309" s="225"/>
      <c r="K10309" s="9"/>
      <c r="L10309" s="9"/>
    </row>
    <row r="10310" s="105" customFormat="1" spans="9:12">
      <c r="I10310" s="225"/>
      <c r="K10310" s="9"/>
      <c r="L10310" s="9"/>
    </row>
    <row r="10311" s="105" customFormat="1" spans="9:12">
      <c r="I10311" s="225"/>
      <c r="K10311" s="9"/>
      <c r="L10311" s="9"/>
    </row>
    <row r="10312" s="105" customFormat="1" spans="9:12">
      <c r="I10312" s="225"/>
      <c r="K10312" s="9"/>
      <c r="L10312" s="9"/>
    </row>
    <row r="10313" s="105" customFormat="1" spans="9:12">
      <c r="I10313" s="225"/>
      <c r="K10313" s="9"/>
      <c r="L10313" s="9"/>
    </row>
    <row r="10314" s="105" customFormat="1" spans="9:12">
      <c r="I10314" s="225"/>
      <c r="K10314" s="9"/>
      <c r="L10314" s="9"/>
    </row>
    <row r="10315" s="105" customFormat="1" spans="9:12">
      <c r="I10315" s="225"/>
      <c r="K10315" s="9"/>
      <c r="L10315" s="9"/>
    </row>
    <row r="10316" s="105" customFormat="1" spans="9:12">
      <c r="I10316" s="225"/>
      <c r="K10316" s="9"/>
      <c r="L10316" s="9"/>
    </row>
    <row r="10317" s="105" customFormat="1" spans="9:12">
      <c r="I10317" s="225"/>
      <c r="K10317" s="9"/>
      <c r="L10317" s="9"/>
    </row>
    <row r="10318" s="105" customFormat="1" spans="9:12">
      <c r="I10318" s="225"/>
      <c r="K10318" s="9"/>
      <c r="L10318" s="9"/>
    </row>
    <row r="10319" s="105" customFormat="1" spans="9:12">
      <c r="I10319" s="225"/>
      <c r="K10319" s="9"/>
      <c r="L10319" s="9"/>
    </row>
    <row r="10320" s="105" customFormat="1" spans="9:12">
      <c r="I10320" s="225"/>
      <c r="K10320" s="9"/>
      <c r="L10320" s="9"/>
    </row>
    <row r="10321" s="105" customFormat="1" spans="9:12">
      <c r="I10321" s="225"/>
      <c r="K10321" s="9"/>
      <c r="L10321" s="9"/>
    </row>
    <row r="10322" s="105" customFormat="1" spans="9:12">
      <c r="I10322" s="225"/>
      <c r="K10322" s="9"/>
      <c r="L10322" s="9"/>
    </row>
    <row r="10323" s="105" customFormat="1" spans="9:12">
      <c r="I10323" s="225"/>
      <c r="K10323" s="9"/>
      <c r="L10323" s="9"/>
    </row>
    <row r="10324" s="105" customFormat="1" spans="9:12">
      <c r="I10324" s="225"/>
      <c r="K10324" s="9"/>
      <c r="L10324" s="9"/>
    </row>
    <row r="10325" s="105" customFormat="1" spans="9:12">
      <c r="I10325" s="225"/>
      <c r="K10325" s="9"/>
      <c r="L10325" s="9"/>
    </row>
    <row r="10326" s="105" customFormat="1" spans="9:12">
      <c r="I10326" s="225"/>
      <c r="K10326" s="9"/>
      <c r="L10326" s="9"/>
    </row>
    <row r="10327" s="105" customFormat="1" spans="9:12">
      <c r="I10327" s="225"/>
      <c r="K10327" s="9"/>
      <c r="L10327" s="9"/>
    </row>
    <row r="10328" s="105" customFormat="1" spans="9:12">
      <c r="I10328" s="225"/>
      <c r="K10328" s="9"/>
      <c r="L10328" s="9"/>
    </row>
    <row r="10329" s="105" customFormat="1" spans="9:12">
      <c r="I10329" s="225"/>
      <c r="K10329" s="9"/>
      <c r="L10329" s="9"/>
    </row>
    <row r="10330" s="105" customFormat="1" spans="9:12">
      <c r="I10330" s="225"/>
      <c r="K10330" s="9"/>
      <c r="L10330" s="9"/>
    </row>
    <row r="10331" s="105" customFormat="1" spans="9:12">
      <c r="I10331" s="225"/>
      <c r="K10331" s="9"/>
      <c r="L10331" s="9"/>
    </row>
    <row r="10332" s="105" customFormat="1" spans="9:12">
      <c r="I10332" s="225"/>
      <c r="K10332" s="9"/>
      <c r="L10332" s="9"/>
    </row>
    <row r="10333" s="105" customFormat="1" spans="9:12">
      <c r="I10333" s="225"/>
      <c r="K10333" s="9"/>
      <c r="L10333" s="9"/>
    </row>
    <row r="10334" s="105" customFormat="1" spans="9:12">
      <c r="I10334" s="225"/>
      <c r="K10334" s="9"/>
      <c r="L10334" s="9"/>
    </row>
    <row r="10335" s="105" customFormat="1" spans="9:12">
      <c r="I10335" s="225"/>
      <c r="K10335" s="9"/>
      <c r="L10335" s="9"/>
    </row>
    <row r="10336" s="105" customFormat="1" spans="9:12">
      <c r="I10336" s="225"/>
      <c r="K10336" s="9"/>
      <c r="L10336" s="9"/>
    </row>
    <row r="10337" s="105" customFormat="1" spans="9:12">
      <c r="I10337" s="225"/>
      <c r="K10337" s="9"/>
      <c r="L10337" s="9"/>
    </row>
    <row r="10338" s="105" customFormat="1" spans="9:12">
      <c r="I10338" s="225"/>
      <c r="K10338" s="9"/>
      <c r="L10338" s="9"/>
    </row>
    <row r="10339" s="105" customFormat="1" spans="9:12">
      <c r="I10339" s="225"/>
      <c r="K10339" s="9"/>
      <c r="L10339" s="9"/>
    </row>
    <row r="10340" s="105" customFormat="1" spans="9:12">
      <c r="I10340" s="225"/>
      <c r="K10340" s="9"/>
      <c r="L10340" s="9"/>
    </row>
    <row r="10341" s="105" customFormat="1" spans="9:12">
      <c r="I10341" s="225"/>
      <c r="K10341" s="9"/>
      <c r="L10341" s="9"/>
    </row>
    <row r="10342" s="105" customFormat="1" spans="9:12">
      <c r="I10342" s="225"/>
      <c r="K10342" s="9"/>
      <c r="L10342" s="9"/>
    </row>
    <row r="10343" s="105" customFormat="1" spans="9:12">
      <c r="I10343" s="225"/>
      <c r="K10343" s="9"/>
      <c r="L10343" s="9"/>
    </row>
    <row r="10344" s="105" customFormat="1" spans="9:12">
      <c r="I10344" s="225"/>
      <c r="K10344" s="9"/>
      <c r="L10344" s="9"/>
    </row>
    <row r="10345" s="105" customFormat="1" spans="9:12">
      <c r="I10345" s="225"/>
      <c r="K10345" s="9"/>
      <c r="L10345" s="9"/>
    </row>
    <row r="10346" s="105" customFormat="1" spans="9:12">
      <c r="I10346" s="225"/>
      <c r="K10346" s="9"/>
      <c r="L10346" s="9"/>
    </row>
    <row r="10347" s="105" customFormat="1" spans="9:12">
      <c r="I10347" s="225"/>
      <c r="K10347" s="9"/>
      <c r="L10347" s="9"/>
    </row>
    <row r="10348" s="105" customFormat="1" spans="9:12">
      <c r="I10348" s="225"/>
      <c r="K10348" s="9"/>
      <c r="L10348" s="9"/>
    </row>
    <row r="10349" s="105" customFormat="1" spans="9:12">
      <c r="I10349" s="225"/>
      <c r="K10349" s="9"/>
      <c r="L10349" s="9"/>
    </row>
    <row r="10350" s="105" customFormat="1" spans="9:12">
      <c r="I10350" s="225"/>
      <c r="K10350" s="9"/>
      <c r="L10350" s="9"/>
    </row>
    <row r="10351" s="105" customFormat="1" spans="9:12">
      <c r="I10351" s="225"/>
      <c r="K10351" s="9"/>
      <c r="L10351" s="9"/>
    </row>
    <row r="10352" s="105" customFormat="1" spans="9:12">
      <c r="I10352" s="225"/>
      <c r="K10352" s="9"/>
      <c r="L10352" s="9"/>
    </row>
    <row r="10353" s="105" customFormat="1" spans="9:12">
      <c r="I10353" s="225"/>
      <c r="K10353" s="9"/>
      <c r="L10353" s="9"/>
    </row>
    <row r="10354" s="105" customFormat="1" spans="9:12">
      <c r="I10354" s="225"/>
      <c r="K10354" s="9"/>
      <c r="L10354" s="9"/>
    </row>
    <row r="10355" s="105" customFormat="1" spans="9:12">
      <c r="I10355" s="225"/>
      <c r="K10355" s="9"/>
      <c r="L10355" s="9"/>
    </row>
    <row r="10356" s="105" customFormat="1" spans="9:12">
      <c r="I10356" s="225"/>
      <c r="K10356" s="9"/>
      <c r="L10356" s="9"/>
    </row>
    <row r="10357" s="105" customFormat="1" spans="9:12">
      <c r="I10357" s="225"/>
      <c r="K10357" s="9"/>
      <c r="L10357" s="9"/>
    </row>
    <row r="10358" s="105" customFormat="1" spans="9:12">
      <c r="I10358" s="225"/>
      <c r="K10358" s="9"/>
      <c r="L10358" s="9"/>
    </row>
    <row r="10359" s="105" customFormat="1" spans="9:12">
      <c r="I10359" s="225"/>
      <c r="K10359" s="9"/>
      <c r="L10359" s="9"/>
    </row>
    <row r="10360" s="105" customFormat="1" spans="9:12">
      <c r="I10360" s="225"/>
      <c r="K10360" s="9"/>
      <c r="L10360" s="9"/>
    </row>
    <row r="10361" s="105" customFormat="1" spans="9:12">
      <c r="I10361" s="225"/>
      <c r="K10361" s="9"/>
      <c r="L10361" s="9"/>
    </row>
    <row r="10362" s="105" customFormat="1" spans="9:12">
      <c r="I10362" s="225"/>
      <c r="K10362" s="9"/>
      <c r="L10362" s="9"/>
    </row>
    <row r="10363" s="105" customFormat="1" spans="9:12">
      <c r="I10363" s="225"/>
      <c r="K10363" s="9"/>
      <c r="L10363" s="9"/>
    </row>
    <row r="10364" s="105" customFormat="1" spans="9:12">
      <c r="I10364" s="225"/>
      <c r="K10364" s="9"/>
      <c r="L10364" s="9"/>
    </row>
    <row r="10365" s="105" customFormat="1" spans="9:12">
      <c r="I10365" s="225"/>
      <c r="K10365" s="9"/>
      <c r="L10365" s="9"/>
    </row>
    <row r="10366" s="105" customFormat="1" spans="9:12">
      <c r="I10366" s="225"/>
      <c r="K10366" s="9"/>
      <c r="L10366" s="9"/>
    </row>
    <row r="10367" s="105" customFormat="1" spans="9:12">
      <c r="I10367" s="225"/>
      <c r="K10367" s="9"/>
      <c r="L10367" s="9"/>
    </row>
    <row r="10368" s="105" customFormat="1" spans="9:12">
      <c r="I10368" s="225"/>
      <c r="K10368" s="9"/>
      <c r="L10368" s="9"/>
    </row>
    <row r="10369" s="105" customFormat="1" spans="9:12">
      <c r="I10369" s="225"/>
      <c r="K10369" s="9"/>
      <c r="L10369" s="9"/>
    </row>
    <row r="10370" s="105" customFormat="1" spans="9:12">
      <c r="I10370" s="225"/>
      <c r="K10370" s="9"/>
      <c r="L10370" s="9"/>
    </row>
    <row r="10371" s="105" customFormat="1" spans="9:12">
      <c r="I10371" s="225"/>
      <c r="K10371" s="9"/>
      <c r="L10371" s="9"/>
    </row>
    <row r="10372" s="105" customFormat="1" spans="9:12">
      <c r="I10372" s="225"/>
      <c r="K10372" s="9"/>
      <c r="L10372" s="9"/>
    </row>
    <row r="10373" s="105" customFormat="1" spans="9:12">
      <c r="I10373" s="225"/>
      <c r="K10373" s="9"/>
      <c r="L10373" s="9"/>
    </row>
    <row r="10374" s="105" customFormat="1" spans="9:12">
      <c r="I10374" s="225"/>
      <c r="K10374" s="9"/>
      <c r="L10374" s="9"/>
    </row>
    <row r="10375" s="105" customFormat="1" spans="9:12">
      <c r="I10375" s="225"/>
      <c r="K10375" s="9"/>
      <c r="L10375" s="9"/>
    </row>
    <row r="10376" s="105" customFormat="1" spans="9:12">
      <c r="I10376" s="225"/>
      <c r="K10376" s="9"/>
      <c r="L10376" s="9"/>
    </row>
    <row r="10377" s="105" customFormat="1" spans="9:12">
      <c r="I10377" s="225"/>
      <c r="K10377" s="9"/>
      <c r="L10377" s="9"/>
    </row>
    <row r="10378" s="105" customFormat="1" spans="9:12">
      <c r="I10378" s="225"/>
      <c r="K10378" s="9"/>
      <c r="L10378" s="9"/>
    </row>
    <row r="10379" s="105" customFormat="1" spans="9:12">
      <c r="I10379" s="225"/>
      <c r="K10379" s="9"/>
      <c r="L10379" s="9"/>
    </row>
    <row r="10380" s="105" customFormat="1" spans="9:12">
      <c r="I10380" s="225"/>
      <c r="K10380" s="9"/>
      <c r="L10380" s="9"/>
    </row>
    <row r="10381" s="105" customFormat="1" spans="9:12">
      <c r="I10381" s="225"/>
      <c r="K10381" s="9"/>
      <c r="L10381" s="9"/>
    </row>
    <row r="10382" s="105" customFormat="1" spans="9:12">
      <c r="I10382" s="225"/>
      <c r="K10382" s="9"/>
      <c r="L10382" s="9"/>
    </row>
    <row r="10383" s="105" customFormat="1" spans="9:12">
      <c r="I10383" s="225"/>
      <c r="K10383" s="9"/>
      <c r="L10383" s="9"/>
    </row>
    <row r="10384" s="105" customFormat="1" spans="9:12">
      <c r="I10384" s="225"/>
      <c r="K10384" s="9"/>
      <c r="L10384" s="9"/>
    </row>
    <row r="10385" s="105" customFormat="1" spans="9:12">
      <c r="I10385" s="225"/>
      <c r="K10385" s="9"/>
      <c r="L10385" s="9"/>
    </row>
    <row r="10386" s="105" customFormat="1" spans="9:12">
      <c r="I10386" s="225"/>
      <c r="K10386" s="9"/>
      <c r="L10386" s="9"/>
    </row>
    <row r="10387" s="105" customFormat="1" spans="9:12">
      <c r="I10387" s="225"/>
      <c r="K10387" s="9"/>
      <c r="L10387" s="9"/>
    </row>
    <row r="10388" s="105" customFormat="1" spans="9:12">
      <c r="I10388" s="225"/>
      <c r="K10388" s="9"/>
      <c r="L10388" s="9"/>
    </row>
    <row r="10389" s="105" customFormat="1" spans="9:12">
      <c r="I10389" s="225"/>
      <c r="K10389" s="9"/>
      <c r="L10389" s="9"/>
    </row>
    <row r="10390" s="105" customFormat="1" spans="9:12">
      <c r="I10390" s="225"/>
      <c r="K10390" s="9"/>
      <c r="L10390" s="9"/>
    </row>
    <row r="10391" s="105" customFormat="1" spans="9:12">
      <c r="I10391" s="225"/>
      <c r="K10391" s="9"/>
      <c r="L10391" s="9"/>
    </row>
    <row r="10392" s="105" customFormat="1" spans="9:12">
      <c r="I10392" s="225"/>
      <c r="K10392" s="9"/>
      <c r="L10392" s="9"/>
    </row>
    <row r="10393" s="105" customFormat="1" spans="9:12">
      <c r="I10393" s="225"/>
      <c r="K10393" s="9"/>
      <c r="L10393" s="9"/>
    </row>
    <row r="10394" s="105" customFormat="1" spans="9:12">
      <c r="I10394" s="225"/>
      <c r="K10394" s="9"/>
      <c r="L10394" s="9"/>
    </row>
    <row r="10395" s="105" customFormat="1" spans="9:12">
      <c r="I10395" s="225"/>
      <c r="K10395" s="9"/>
      <c r="L10395" s="9"/>
    </row>
    <row r="10396" s="105" customFormat="1" spans="9:12">
      <c r="I10396" s="225"/>
      <c r="K10396" s="9"/>
      <c r="L10396" s="9"/>
    </row>
    <row r="10397" s="105" customFormat="1" spans="9:12">
      <c r="I10397" s="225"/>
      <c r="K10397" s="9"/>
      <c r="L10397" s="9"/>
    </row>
    <row r="10398" s="105" customFormat="1" spans="9:12">
      <c r="I10398" s="225"/>
      <c r="K10398" s="9"/>
      <c r="L10398" s="9"/>
    </row>
    <row r="10399" s="105" customFormat="1" spans="9:12">
      <c r="I10399" s="225"/>
      <c r="K10399" s="9"/>
      <c r="L10399" s="9"/>
    </row>
    <row r="10400" s="105" customFormat="1" spans="9:12">
      <c r="I10400" s="225"/>
      <c r="K10400" s="9"/>
      <c r="L10400" s="9"/>
    </row>
    <row r="10401" s="105" customFormat="1" spans="9:12">
      <c r="I10401" s="225"/>
      <c r="K10401" s="9"/>
      <c r="L10401" s="9"/>
    </row>
    <row r="10402" s="105" customFormat="1" spans="9:12">
      <c r="I10402" s="225"/>
      <c r="K10402" s="9"/>
      <c r="L10402" s="9"/>
    </row>
    <row r="10403" s="105" customFormat="1" spans="9:12">
      <c r="I10403" s="225"/>
      <c r="K10403" s="9"/>
      <c r="L10403" s="9"/>
    </row>
    <row r="10404" s="105" customFormat="1" spans="9:12">
      <c r="I10404" s="225"/>
      <c r="K10404" s="9"/>
      <c r="L10404" s="9"/>
    </row>
    <row r="10405" s="105" customFormat="1" spans="9:12">
      <c r="I10405" s="225"/>
      <c r="K10405" s="9"/>
      <c r="L10405" s="9"/>
    </row>
    <row r="10406" s="105" customFormat="1" spans="9:12">
      <c r="I10406" s="225"/>
      <c r="K10406" s="9"/>
      <c r="L10406" s="9"/>
    </row>
    <row r="10407" s="105" customFormat="1" spans="9:12">
      <c r="I10407" s="225"/>
      <c r="K10407" s="9"/>
      <c r="L10407" s="9"/>
    </row>
    <row r="10408" s="105" customFormat="1" spans="9:12">
      <c r="I10408" s="225"/>
      <c r="K10408" s="9"/>
      <c r="L10408" s="9"/>
    </row>
    <row r="10409" s="105" customFormat="1" spans="9:12">
      <c r="I10409" s="225"/>
      <c r="K10409" s="9"/>
      <c r="L10409" s="9"/>
    </row>
    <row r="10410" s="105" customFormat="1" spans="9:12">
      <c r="I10410" s="225"/>
      <c r="K10410" s="9"/>
      <c r="L10410" s="9"/>
    </row>
    <row r="10411" s="105" customFormat="1" spans="9:12">
      <c r="I10411" s="225"/>
      <c r="K10411" s="9"/>
      <c r="L10411" s="9"/>
    </row>
    <row r="10412" s="105" customFormat="1" spans="9:12">
      <c r="I10412" s="225"/>
      <c r="K10412" s="9"/>
      <c r="L10412" s="9"/>
    </row>
    <row r="10413" s="105" customFormat="1" spans="9:12">
      <c r="I10413" s="225"/>
      <c r="K10413" s="9"/>
      <c r="L10413" s="9"/>
    </row>
    <row r="10414" s="105" customFormat="1" spans="9:12">
      <c r="I10414" s="225"/>
      <c r="K10414" s="9"/>
      <c r="L10414" s="9"/>
    </row>
    <row r="10415" s="105" customFormat="1" spans="9:12">
      <c r="I10415" s="225"/>
      <c r="K10415" s="9"/>
      <c r="L10415" s="9"/>
    </row>
    <row r="10416" s="105" customFormat="1" spans="9:12">
      <c r="I10416" s="225"/>
      <c r="K10416" s="9"/>
      <c r="L10416" s="9"/>
    </row>
    <row r="10417" s="105" customFormat="1" spans="9:12">
      <c r="I10417" s="225"/>
      <c r="K10417" s="9"/>
      <c r="L10417" s="9"/>
    </row>
    <row r="10418" s="105" customFormat="1" spans="9:12">
      <c r="I10418" s="225"/>
      <c r="K10418" s="9"/>
      <c r="L10418" s="9"/>
    </row>
    <row r="10419" s="105" customFormat="1" spans="9:12">
      <c r="I10419" s="225"/>
      <c r="K10419" s="9"/>
      <c r="L10419" s="9"/>
    </row>
    <row r="10420" s="105" customFormat="1" spans="9:12">
      <c r="I10420" s="225"/>
      <c r="K10420" s="9"/>
      <c r="L10420" s="9"/>
    </row>
    <row r="10421" s="105" customFormat="1" spans="9:12">
      <c r="I10421" s="225"/>
      <c r="K10421" s="9"/>
      <c r="L10421" s="9"/>
    </row>
    <row r="10422" s="105" customFormat="1" spans="9:12">
      <c r="I10422" s="225"/>
      <c r="K10422" s="9"/>
      <c r="L10422" s="9"/>
    </row>
    <row r="10423" s="105" customFormat="1" spans="9:12">
      <c r="I10423" s="225"/>
      <c r="K10423" s="9"/>
      <c r="L10423" s="9"/>
    </row>
    <row r="10424" s="105" customFormat="1" spans="9:12">
      <c r="I10424" s="225"/>
      <c r="K10424" s="9"/>
      <c r="L10424" s="9"/>
    </row>
    <row r="10425" s="105" customFormat="1" spans="9:12">
      <c r="I10425" s="225"/>
      <c r="K10425" s="9"/>
      <c r="L10425" s="9"/>
    </row>
    <row r="10426" s="105" customFormat="1" spans="9:12">
      <c r="I10426" s="225"/>
      <c r="K10426" s="9"/>
      <c r="L10426" s="9"/>
    </row>
    <row r="10427" s="105" customFormat="1" spans="9:12">
      <c r="I10427" s="225"/>
      <c r="K10427" s="9"/>
      <c r="L10427" s="9"/>
    </row>
    <row r="10428" s="105" customFormat="1" spans="9:12">
      <c r="I10428" s="225"/>
      <c r="K10428" s="9"/>
      <c r="L10428" s="9"/>
    </row>
    <row r="10429" s="105" customFormat="1" spans="9:12">
      <c r="I10429" s="225"/>
      <c r="K10429" s="9"/>
      <c r="L10429" s="9"/>
    </row>
    <row r="10430" s="105" customFormat="1" spans="9:12">
      <c r="I10430" s="225"/>
      <c r="K10430" s="9"/>
      <c r="L10430" s="9"/>
    </row>
    <row r="10431" s="105" customFormat="1" spans="9:12">
      <c r="I10431" s="225"/>
      <c r="K10431" s="9"/>
      <c r="L10431" s="9"/>
    </row>
    <row r="10432" s="105" customFormat="1" spans="9:12">
      <c r="I10432" s="225"/>
      <c r="K10432" s="9"/>
      <c r="L10432" s="9"/>
    </row>
    <row r="10433" s="105" customFormat="1" spans="9:12">
      <c r="I10433" s="225"/>
      <c r="K10433" s="9"/>
      <c r="L10433" s="9"/>
    </row>
    <row r="10434" s="105" customFormat="1" spans="9:12">
      <c r="I10434" s="225"/>
      <c r="K10434" s="9"/>
      <c r="L10434" s="9"/>
    </row>
    <row r="10435" s="105" customFormat="1" spans="9:12">
      <c r="I10435" s="225"/>
      <c r="K10435" s="9"/>
      <c r="L10435" s="9"/>
    </row>
    <row r="10436" s="105" customFormat="1" spans="9:12">
      <c r="I10436" s="225"/>
      <c r="K10436" s="9"/>
      <c r="L10436" s="9"/>
    </row>
    <row r="10437" s="105" customFormat="1" spans="9:12">
      <c r="I10437" s="225"/>
      <c r="K10437" s="9"/>
      <c r="L10437" s="9"/>
    </row>
    <row r="10438" s="105" customFormat="1" spans="9:12">
      <c r="I10438" s="225"/>
      <c r="K10438" s="9"/>
      <c r="L10438" s="9"/>
    </row>
    <row r="10439" s="105" customFormat="1" spans="9:12">
      <c r="I10439" s="225"/>
      <c r="K10439" s="9"/>
      <c r="L10439" s="9"/>
    </row>
    <row r="10440" s="105" customFormat="1" spans="9:12">
      <c r="I10440" s="225"/>
      <c r="K10440" s="9"/>
      <c r="L10440" s="9"/>
    </row>
    <row r="10441" s="105" customFormat="1" spans="9:12">
      <c r="I10441" s="225"/>
      <c r="K10441" s="9"/>
      <c r="L10441" s="9"/>
    </row>
    <row r="10442" s="105" customFormat="1" spans="9:12">
      <c r="I10442" s="225"/>
      <c r="K10442" s="9"/>
      <c r="L10442" s="9"/>
    </row>
    <row r="10443" s="105" customFormat="1" spans="9:12">
      <c r="I10443" s="225"/>
      <c r="K10443" s="9"/>
      <c r="L10443" s="9"/>
    </row>
    <row r="10444" s="105" customFormat="1" spans="9:12">
      <c r="I10444" s="225"/>
      <c r="K10444" s="9"/>
      <c r="L10444" s="9"/>
    </row>
    <row r="10445" s="105" customFormat="1" spans="9:12">
      <c r="I10445" s="225"/>
      <c r="K10445" s="9"/>
      <c r="L10445" s="9"/>
    </row>
    <row r="10446" s="105" customFormat="1" spans="9:12">
      <c r="I10446" s="225"/>
      <c r="K10446" s="9"/>
      <c r="L10446" s="9"/>
    </row>
    <row r="10447" s="105" customFormat="1" spans="9:12">
      <c r="I10447" s="225"/>
      <c r="K10447" s="9"/>
      <c r="L10447" s="9"/>
    </row>
    <row r="10448" s="105" customFormat="1" spans="9:12">
      <c r="I10448" s="225"/>
      <c r="K10448" s="9"/>
      <c r="L10448" s="9"/>
    </row>
    <row r="10449" s="105" customFormat="1" spans="9:12">
      <c r="I10449" s="225"/>
      <c r="K10449" s="9"/>
      <c r="L10449" s="9"/>
    </row>
    <row r="10450" s="105" customFormat="1" spans="9:12">
      <c r="I10450" s="225"/>
      <c r="K10450" s="9"/>
      <c r="L10450" s="9"/>
    </row>
    <row r="10451" s="105" customFormat="1" spans="9:12">
      <c r="I10451" s="225"/>
      <c r="K10451" s="9"/>
      <c r="L10451" s="9"/>
    </row>
    <row r="10452" s="105" customFormat="1" spans="9:12">
      <c r="I10452" s="225"/>
      <c r="K10452" s="9"/>
      <c r="L10452" s="9"/>
    </row>
    <row r="10453" s="105" customFormat="1" spans="9:12">
      <c r="I10453" s="225"/>
      <c r="K10453" s="9"/>
      <c r="L10453" s="9"/>
    </row>
    <row r="10454" s="105" customFormat="1" spans="9:12">
      <c r="I10454" s="225"/>
      <c r="K10454" s="9"/>
      <c r="L10454" s="9"/>
    </row>
    <row r="10455" s="105" customFormat="1" spans="9:12">
      <c r="I10455" s="225"/>
      <c r="K10455" s="9"/>
      <c r="L10455" s="9"/>
    </row>
    <row r="10456" s="105" customFormat="1" spans="9:12">
      <c r="I10456" s="225"/>
      <c r="K10456" s="9"/>
      <c r="L10456" s="9"/>
    </row>
    <row r="10457" s="105" customFormat="1" spans="9:12">
      <c r="I10457" s="225"/>
      <c r="K10457" s="9"/>
      <c r="L10457" s="9"/>
    </row>
    <row r="10458" s="105" customFormat="1" spans="9:12">
      <c r="I10458" s="225"/>
      <c r="K10458" s="9"/>
      <c r="L10458" s="9"/>
    </row>
    <row r="10459" s="105" customFormat="1" spans="9:12">
      <c r="I10459" s="225"/>
      <c r="K10459" s="9"/>
      <c r="L10459" s="9"/>
    </row>
    <row r="10460" s="105" customFormat="1" spans="9:12">
      <c r="I10460" s="225"/>
      <c r="K10460" s="9"/>
      <c r="L10460" s="9"/>
    </row>
    <row r="10461" s="105" customFormat="1" spans="9:12">
      <c r="I10461" s="225"/>
      <c r="K10461" s="9"/>
      <c r="L10461" s="9"/>
    </row>
    <row r="10462" s="105" customFormat="1" spans="9:12">
      <c r="I10462" s="225"/>
      <c r="K10462" s="9"/>
      <c r="L10462" s="9"/>
    </row>
    <row r="10463" s="105" customFormat="1" spans="9:12">
      <c r="I10463" s="225"/>
      <c r="K10463" s="9"/>
      <c r="L10463" s="9"/>
    </row>
    <row r="10464" s="105" customFormat="1" spans="9:12">
      <c r="I10464" s="225"/>
      <c r="K10464" s="9"/>
      <c r="L10464" s="9"/>
    </row>
    <row r="10465" s="105" customFormat="1" spans="9:12">
      <c r="I10465" s="225"/>
      <c r="K10465" s="9"/>
      <c r="L10465" s="9"/>
    </row>
    <row r="10466" s="105" customFormat="1" spans="9:12">
      <c r="I10466" s="225"/>
      <c r="K10466" s="9"/>
      <c r="L10466" s="9"/>
    </row>
    <row r="10467" s="105" customFormat="1" spans="9:12">
      <c r="I10467" s="225"/>
      <c r="K10467" s="9"/>
      <c r="L10467" s="9"/>
    </row>
    <row r="10468" s="105" customFormat="1" spans="9:12">
      <c r="I10468" s="225"/>
      <c r="K10468" s="9"/>
      <c r="L10468" s="9"/>
    </row>
    <row r="10469" s="105" customFormat="1" spans="9:12">
      <c r="I10469" s="225"/>
      <c r="K10469" s="9"/>
      <c r="L10469" s="9"/>
    </row>
    <row r="10470" s="105" customFormat="1" spans="9:12">
      <c r="I10470" s="225"/>
      <c r="K10470" s="9"/>
      <c r="L10470" s="9"/>
    </row>
    <row r="10471" s="105" customFormat="1" spans="9:12">
      <c r="I10471" s="225"/>
      <c r="K10471" s="9"/>
      <c r="L10471" s="9"/>
    </row>
    <row r="10472" s="105" customFormat="1" spans="9:12">
      <c r="I10472" s="225"/>
      <c r="K10472" s="9"/>
      <c r="L10472" s="9"/>
    </row>
    <row r="10473" s="105" customFormat="1" spans="9:12">
      <c r="I10473" s="225"/>
      <c r="K10473" s="9"/>
      <c r="L10473" s="9"/>
    </row>
    <row r="10474" s="105" customFormat="1" spans="9:12">
      <c r="I10474" s="225"/>
      <c r="K10474" s="9"/>
      <c r="L10474" s="9"/>
    </row>
    <row r="10475" s="105" customFormat="1" spans="9:12">
      <c r="I10475" s="225"/>
      <c r="K10475" s="9"/>
      <c r="L10475" s="9"/>
    </row>
    <row r="10476" s="105" customFormat="1" spans="9:12">
      <c r="I10476" s="225"/>
      <c r="K10476" s="9"/>
      <c r="L10476" s="9"/>
    </row>
    <row r="10477" s="105" customFormat="1" spans="9:12">
      <c r="I10477" s="225"/>
      <c r="K10477" s="9"/>
      <c r="L10477" s="9"/>
    </row>
    <row r="10478" s="105" customFormat="1" spans="9:12">
      <c r="I10478" s="225"/>
      <c r="K10478" s="9"/>
      <c r="L10478" s="9"/>
    </row>
    <row r="10479" s="105" customFormat="1" spans="9:12">
      <c r="I10479" s="225"/>
      <c r="K10479" s="9"/>
      <c r="L10479" s="9"/>
    </row>
    <row r="10480" s="105" customFormat="1" spans="9:12">
      <c r="I10480" s="225"/>
      <c r="K10480" s="9"/>
      <c r="L10480" s="9"/>
    </row>
    <row r="10481" s="105" customFormat="1" spans="9:12">
      <c r="I10481" s="225"/>
      <c r="K10481" s="9"/>
      <c r="L10481" s="9"/>
    </row>
    <row r="10482" s="105" customFormat="1" spans="9:12">
      <c r="I10482" s="225"/>
      <c r="K10482" s="9"/>
      <c r="L10482" s="9"/>
    </row>
    <row r="10483" s="105" customFormat="1" spans="9:12">
      <c r="I10483" s="225"/>
      <c r="K10483" s="9"/>
      <c r="L10483" s="9"/>
    </row>
    <row r="10484" s="105" customFormat="1" spans="9:12">
      <c r="I10484" s="225"/>
      <c r="K10484" s="9"/>
      <c r="L10484" s="9"/>
    </row>
    <row r="10485" s="105" customFormat="1" spans="9:12">
      <c r="I10485" s="225"/>
      <c r="K10485" s="9"/>
      <c r="L10485" s="9"/>
    </row>
    <row r="10486" s="105" customFormat="1" spans="9:12">
      <c r="I10486" s="225"/>
      <c r="K10486" s="9"/>
      <c r="L10486" s="9"/>
    </row>
    <row r="10487" s="105" customFormat="1" spans="9:12">
      <c r="I10487" s="225"/>
      <c r="K10487" s="9"/>
      <c r="L10487" s="9"/>
    </row>
    <row r="10488" s="105" customFormat="1" spans="9:12">
      <c r="I10488" s="225"/>
      <c r="K10488" s="9"/>
      <c r="L10488" s="9"/>
    </row>
    <row r="10489" s="105" customFormat="1" spans="9:12">
      <c r="I10489" s="225"/>
      <c r="K10489" s="9"/>
      <c r="L10489" s="9"/>
    </row>
    <row r="10490" s="105" customFormat="1" spans="9:12">
      <c r="I10490" s="225"/>
      <c r="K10490" s="9"/>
      <c r="L10490" s="9"/>
    </row>
    <row r="10491" s="105" customFormat="1" spans="9:12">
      <c r="I10491" s="225"/>
      <c r="K10491" s="9"/>
      <c r="L10491" s="9"/>
    </row>
    <row r="10492" s="105" customFormat="1" spans="9:12">
      <c r="I10492" s="225"/>
      <c r="K10492" s="9"/>
      <c r="L10492" s="9"/>
    </row>
    <row r="10493" s="105" customFormat="1" spans="9:12">
      <c r="I10493" s="225"/>
      <c r="K10493" s="9"/>
      <c r="L10493" s="9"/>
    </row>
    <row r="10494" s="105" customFormat="1" spans="9:12">
      <c r="I10494" s="225"/>
      <c r="K10494" s="9"/>
      <c r="L10494" s="9"/>
    </row>
    <row r="10495" s="105" customFormat="1" spans="9:12">
      <c r="I10495" s="225"/>
      <c r="K10495" s="9"/>
      <c r="L10495" s="9"/>
    </row>
    <row r="10496" s="105" customFormat="1" spans="9:12">
      <c r="I10496" s="225"/>
      <c r="K10496" s="9"/>
      <c r="L10496" s="9"/>
    </row>
    <row r="10497" s="105" customFormat="1" spans="9:12">
      <c r="I10497" s="225"/>
      <c r="K10497" s="9"/>
      <c r="L10497" s="9"/>
    </row>
    <row r="10498" s="105" customFormat="1" spans="9:12">
      <c r="I10498" s="225"/>
      <c r="K10498" s="9"/>
      <c r="L10498" s="9"/>
    </row>
    <row r="10499" s="105" customFormat="1" spans="9:12">
      <c r="I10499" s="225"/>
      <c r="K10499" s="9"/>
      <c r="L10499" s="9"/>
    </row>
    <row r="10500" s="105" customFormat="1" spans="9:12">
      <c r="I10500" s="225"/>
      <c r="K10500" s="9"/>
      <c r="L10500" s="9"/>
    </row>
    <row r="10501" s="105" customFormat="1" spans="9:12">
      <c r="I10501" s="225"/>
      <c r="K10501" s="9"/>
      <c r="L10501" s="9"/>
    </row>
    <row r="10502" s="105" customFormat="1" spans="9:12">
      <c r="I10502" s="225"/>
      <c r="K10502" s="9"/>
      <c r="L10502" s="9"/>
    </row>
    <row r="10503" s="105" customFormat="1" spans="9:12">
      <c r="I10503" s="225"/>
      <c r="K10503" s="9"/>
      <c r="L10503" s="9"/>
    </row>
    <row r="10504" s="105" customFormat="1" spans="9:12">
      <c r="I10504" s="225"/>
      <c r="K10504" s="9"/>
      <c r="L10504" s="9"/>
    </row>
    <row r="10505" s="105" customFormat="1" spans="9:12">
      <c r="I10505" s="225"/>
      <c r="K10505" s="9"/>
      <c r="L10505" s="9"/>
    </row>
    <row r="10506" s="105" customFormat="1" spans="9:12">
      <c r="I10506" s="225"/>
      <c r="K10506" s="9"/>
      <c r="L10506" s="9"/>
    </row>
    <row r="10507" s="105" customFormat="1" spans="9:12">
      <c r="I10507" s="225"/>
      <c r="K10507" s="9"/>
      <c r="L10507" s="9"/>
    </row>
    <row r="10508" s="105" customFormat="1" spans="9:12">
      <c r="I10508" s="225"/>
      <c r="K10508" s="9"/>
      <c r="L10508" s="9"/>
    </row>
    <row r="10509" s="105" customFormat="1" spans="9:12">
      <c r="I10509" s="225"/>
      <c r="K10509" s="9"/>
      <c r="L10509" s="9"/>
    </row>
    <row r="10510" s="105" customFormat="1" spans="9:12">
      <c r="I10510" s="225"/>
      <c r="K10510" s="9"/>
      <c r="L10510" s="9"/>
    </row>
    <row r="10511" s="105" customFormat="1" spans="9:12">
      <c r="I10511" s="225"/>
      <c r="K10511" s="9"/>
      <c r="L10511" s="9"/>
    </row>
    <row r="10512" s="105" customFormat="1" spans="9:12">
      <c r="I10512" s="225"/>
      <c r="K10512" s="9"/>
      <c r="L10512" s="9"/>
    </row>
    <row r="10513" s="105" customFormat="1" spans="9:12">
      <c r="I10513" s="225"/>
      <c r="K10513" s="9"/>
      <c r="L10513" s="9"/>
    </row>
    <row r="10514" s="105" customFormat="1" spans="9:12">
      <c r="I10514" s="225"/>
      <c r="K10514" s="9"/>
      <c r="L10514" s="9"/>
    </row>
    <row r="10515" s="105" customFormat="1" spans="9:12">
      <c r="I10515" s="225"/>
      <c r="K10515" s="9"/>
      <c r="L10515" s="9"/>
    </row>
    <row r="10516" s="105" customFormat="1" spans="9:12">
      <c r="I10516" s="225"/>
      <c r="K10516" s="9"/>
      <c r="L10516" s="9"/>
    </row>
    <row r="10517" s="105" customFormat="1" spans="9:12">
      <c r="I10517" s="225"/>
      <c r="K10517" s="9"/>
      <c r="L10517" s="9"/>
    </row>
    <row r="10518" s="105" customFormat="1" spans="9:12">
      <c r="I10518" s="225"/>
      <c r="K10518" s="9"/>
      <c r="L10518" s="9"/>
    </row>
    <row r="10519" s="105" customFormat="1" spans="9:12">
      <c r="I10519" s="225"/>
      <c r="K10519" s="9"/>
      <c r="L10519" s="9"/>
    </row>
    <row r="10520" s="105" customFormat="1" spans="9:12">
      <c r="I10520" s="225"/>
      <c r="K10520" s="9"/>
      <c r="L10520" s="9"/>
    </row>
    <row r="10521" s="105" customFormat="1" spans="9:12">
      <c r="I10521" s="225"/>
      <c r="K10521" s="9"/>
      <c r="L10521" s="9"/>
    </row>
    <row r="10522" s="105" customFormat="1" spans="9:12">
      <c r="I10522" s="225"/>
      <c r="K10522" s="9"/>
      <c r="L10522" s="9"/>
    </row>
    <row r="10523" s="105" customFormat="1" spans="9:12">
      <c r="I10523" s="225"/>
      <c r="K10523" s="9"/>
      <c r="L10523" s="9"/>
    </row>
    <row r="10524" s="105" customFormat="1" spans="9:12">
      <c r="I10524" s="225"/>
      <c r="K10524" s="9"/>
      <c r="L10524" s="9"/>
    </row>
    <row r="10525" s="105" customFormat="1" spans="9:12">
      <c r="I10525" s="225"/>
      <c r="K10525" s="9"/>
      <c r="L10525" s="9"/>
    </row>
    <row r="10526" s="105" customFormat="1" spans="9:12">
      <c r="I10526" s="225"/>
      <c r="K10526" s="9"/>
      <c r="L10526" s="9"/>
    </row>
    <row r="10527" s="105" customFormat="1" spans="9:12">
      <c r="I10527" s="225"/>
      <c r="K10527" s="9"/>
      <c r="L10527" s="9"/>
    </row>
    <row r="10528" s="105" customFormat="1" spans="9:12">
      <c r="I10528" s="225"/>
      <c r="K10528" s="9"/>
      <c r="L10528" s="9"/>
    </row>
    <row r="10529" s="105" customFormat="1" spans="9:12">
      <c r="I10529" s="225"/>
      <c r="K10529" s="9"/>
      <c r="L10529" s="9"/>
    </row>
    <row r="10530" s="105" customFormat="1" spans="9:12">
      <c r="I10530" s="225"/>
      <c r="K10530" s="9"/>
      <c r="L10530" s="9"/>
    </row>
    <row r="10531" s="105" customFormat="1" spans="9:12">
      <c r="I10531" s="225"/>
      <c r="K10531" s="9"/>
      <c r="L10531" s="9"/>
    </row>
    <row r="10532" s="105" customFormat="1" spans="9:12">
      <c r="I10532" s="225"/>
      <c r="K10532" s="9"/>
      <c r="L10532" s="9"/>
    </row>
    <row r="10533" s="105" customFormat="1" spans="9:12">
      <c r="I10533" s="225"/>
      <c r="K10533" s="9"/>
      <c r="L10533" s="9"/>
    </row>
    <row r="10534" s="105" customFormat="1" spans="9:12">
      <c r="I10534" s="225"/>
      <c r="K10534" s="9"/>
      <c r="L10534" s="9"/>
    </row>
    <row r="10535" s="105" customFormat="1" spans="9:12">
      <c r="I10535" s="225"/>
      <c r="K10535" s="9"/>
      <c r="L10535" s="9"/>
    </row>
    <row r="10536" s="105" customFormat="1" spans="9:12">
      <c r="I10536" s="225"/>
      <c r="K10536" s="9"/>
      <c r="L10536" s="9"/>
    </row>
    <row r="10537" s="105" customFormat="1" spans="9:12">
      <c r="I10537" s="225"/>
      <c r="K10537" s="9"/>
      <c r="L10537" s="9"/>
    </row>
    <row r="10538" s="105" customFormat="1" spans="9:12">
      <c r="I10538" s="225"/>
      <c r="K10538" s="9"/>
      <c r="L10538" s="9"/>
    </row>
    <row r="10539" s="105" customFormat="1" spans="9:12">
      <c r="I10539" s="225"/>
      <c r="K10539" s="9"/>
      <c r="L10539" s="9"/>
    </row>
    <row r="10540" s="105" customFormat="1" spans="9:12">
      <c r="I10540" s="225"/>
      <c r="K10540" s="9"/>
      <c r="L10540" s="9"/>
    </row>
    <row r="10541" s="105" customFormat="1" spans="9:12">
      <c r="I10541" s="225"/>
      <c r="K10541" s="9"/>
      <c r="L10541" s="9"/>
    </row>
    <row r="10542" s="105" customFormat="1" spans="9:12">
      <c r="I10542" s="225"/>
      <c r="K10542" s="9"/>
      <c r="L10542" s="9"/>
    </row>
    <row r="10543" s="105" customFormat="1" spans="9:12">
      <c r="I10543" s="225"/>
      <c r="K10543" s="9"/>
      <c r="L10543" s="9"/>
    </row>
    <row r="10544" s="105" customFormat="1" spans="9:12">
      <c r="I10544" s="225"/>
      <c r="K10544" s="9"/>
      <c r="L10544" s="9"/>
    </row>
    <row r="10545" s="105" customFormat="1" spans="9:12">
      <c r="I10545" s="225"/>
      <c r="K10545" s="9"/>
      <c r="L10545" s="9"/>
    </row>
    <row r="10546" s="105" customFormat="1" spans="9:12">
      <c r="I10546" s="225"/>
      <c r="K10546" s="9"/>
      <c r="L10546" s="9"/>
    </row>
    <row r="10547" s="105" customFormat="1" spans="9:12">
      <c r="I10547" s="225"/>
      <c r="K10547" s="9"/>
      <c r="L10547" s="9"/>
    </row>
    <row r="10548" s="105" customFormat="1" spans="9:12">
      <c r="I10548" s="225"/>
      <c r="K10548" s="9"/>
      <c r="L10548" s="9"/>
    </row>
    <row r="10549" s="105" customFormat="1" spans="9:12">
      <c r="I10549" s="225"/>
      <c r="K10549" s="9"/>
      <c r="L10549" s="9"/>
    </row>
    <row r="10550" s="105" customFormat="1" spans="9:12">
      <c r="I10550" s="225"/>
      <c r="K10550" s="9"/>
      <c r="L10550" s="9"/>
    </row>
    <row r="10551" s="105" customFormat="1" spans="9:12">
      <c r="I10551" s="225"/>
      <c r="K10551" s="9"/>
      <c r="L10551" s="9"/>
    </row>
    <row r="10552" s="105" customFormat="1" spans="9:12">
      <c r="I10552" s="225"/>
      <c r="K10552" s="9"/>
      <c r="L10552" s="9"/>
    </row>
    <row r="10553" s="105" customFormat="1" spans="9:12">
      <c r="I10553" s="225"/>
      <c r="K10553" s="9"/>
      <c r="L10553" s="9"/>
    </row>
    <row r="10554" s="105" customFormat="1" spans="9:12">
      <c r="I10554" s="225"/>
      <c r="K10554" s="9"/>
      <c r="L10554" s="9"/>
    </row>
    <row r="10555" s="105" customFormat="1" spans="9:12">
      <c r="I10555" s="225"/>
      <c r="K10555" s="9"/>
      <c r="L10555" s="9"/>
    </row>
    <row r="10556" s="105" customFormat="1" spans="9:12">
      <c r="I10556" s="225"/>
      <c r="K10556" s="9"/>
      <c r="L10556" s="9"/>
    </row>
    <row r="10557" s="105" customFormat="1" spans="9:12">
      <c r="I10557" s="225"/>
      <c r="K10557" s="9"/>
      <c r="L10557" s="9"/>
    </row>
    <row r="10558" s="105" customFormat="1" spans="9:12">
      <c r="I10558" s="225"/>
      <c r="K10558" s="9"/>
      <c r="L10558" s="9"/>
    </row>
    <row r="10559" s="105" customFormat="1" spans="9:12">
      <c r="I10559" s="225"/>
      <c r="K10559" s="9"/>
      <c r="L10559" s="9"/>
    </row>
    <row r="10560" s="105" customFormat="1" spans="9:12">
      <c r="I10560" s="225"/>
      <c r="K10560" s="9"/>
      <c r="L10560" s="9"/>
    </row>
    <row r="10561" s="105" customFormat="1" spans="9:12">
      <c r="I10561" s="225"/>
      <c r="K10561" s="9"/>
      <c r="L10561" s="9"/>
    </row>
    <row r="10562" s="105" customFormat="1" spans="9:12">
      <c r="I10562" s="225"/>
      <c r="K10562" s="9"/>
      <c r="L10562" s="9"/>
    </row>
    <row r="10563" s="105" customFormat="1" spans="9:12">
      <c r="I10563" s="225"/>
      <c r="K10563" s="9"/>
      <c r="L10563" s="9"/>
    </row>
    <row r="10564" s="105" customFormat="1" spans="9:12">
      <c r="I10564" s="225"/>
      <c r="K10564" s="9"/>
      <c r="L10564" s="9"/>
    </row>
    <row r="10565" s="105" customFormat="1" spans="9:12">
      <c r="I10565" s="225"/>
      <c r="K10565" s="9"/>
      <c r="L10565" s="9"/>
    </row>
    <row r="10566" s="105" customFormat="1" spans="9:12">
      <c r="I10566" s="225"/>
      <c r="K10566" s="9"/>
      <c r="L10566" s="9"/>
    </row>
    <row r="10567" s="105" customFormat="1" spans="9:12">
      <c r="I10567" s="225"/>
      <c r="K10567" s="9"/>
      <c r="L10567" s="9"/>
    </row>
    <row r="10568" s="105" customFormat="1" spans="9:12">
      <c r="I10568" s="225"/>
      <c r="K10568" s="9"/>
      <c r="L10568" s="9"/>
    </row>
    <row r="10569" s="105" customFormat="1" spans="9:12">
      <c r="I10569" s="225"/>
      <c r="K10569" s="9"/>
      <c r="L10569" s="9"/>
    </row>
    <row r="10570" s="105" customFormat="1" spans="9:12">
      <c r="I10570" s="225"/>
      <c r="K10570" s="9"/>
      <c r="L10570" s="9"/>
    </row>
    <row r="10571" s="105" customFormat="1" spans="9:12">
      <c r="I10571" s="225"/>
      <c r="K10571" s="9"/>
      <c r="L10571" s="9"/>
    </row>
    <row r="10572" s="105" customFormat="1" spans="9:12">
      <c r="I10572" s="225"/>
      <c r="K10572" s="9"/>
      <c r="L10572" s="9"/>
    </row>
    <row r="10573" s="105" customFormat="1" spans="9:12">
      <c r="I10573" s="225"/>
      <c r="K10573" s="9"/>
      <c r="L10573" s="9"/>
    </row>
    <row r="10574" s="105" customFormat="1" spans="9:12">
      <c r="I10574" s="225"/>
      <c r="K10574" s="9"/>
      <c r="L10574" s="9"/>
    </row>
    <row r="10575" s="105" customFormat="1" spans="9:12">
      <c r="I10575" s="225"/>
      <c r="K10575" s="9"/>
      <c r="L10575" s="9"/>
    </row>
    <row r="10576" s="105" customFormat="1" spans="9:12">
      <c r="I10576" s="225"/>
      <c r="K10576" s="9"/>
      <c r="L10576" s="9"/>
    </row>
    <row r="10577" s="105" customFormat="1" spans="9:12">
      <c r="I10577" s="225"/>
      <c r="K10577" s="9"/>
      <c r="L10577" s="9"/>
    </row>
    <row r="10578" s="105" customFormat="1" spans="9:12">
      <c r="I10578" s="225"/>
      <c r="K10578" s="9"/>
      <c r="L10578" s="9"/>
    </row>
    <row r="10579" s="105" customFormat="1" spans="9:12">
      <c r="I10579" s="225"/>
      <c r="K10579" s="9"/>
      <c r="L10579" s="9"/>
    </row>
    <row r="10580" s="105" customFormat="1" spans="9:12">
      <c r="I10580" s="225"/>
      <c r="K10580" s="9"/>
      <c r="L10580" s="9"/>
    </row>
    <row r="10581" s="105" customFormat="1" spans="9:12">
      <c r="I10581" s="225"/>
      <c r="K10581" s="9"/>
      <c r="L10581" s="9"/>
    </row>
    <row r="10582" s="105" customFormat="1" spans="9:12">
      <c r="I10582" s="225"/>
      <c r="K10582" s="9"/>
      <c r="L10582" s="9"/>
    </row>
    <row r="10583" s="105" customFormat="1" spans="9:12">
      <c r="I10583" s="225"/>
      <c r="K10583" s="9"/>
      <c r="L10583" s="9"/>
    </row>
    <row r="10584" s="105" customFormat="1" spans="9:12">
      <c r="I10584" s="225"/>
      <c r="K10584" s="9"/>
      <c r="L10584" s="9"/>
    </row>
    <row r="10585" s="105" customFormat="1" spans="9:12">
      <c r="I10585" s="225"/>
      <c r="K10585" s="9"/>
      <c r="L10585" s="9"/>
    </row>
    <row r="10586" s="105" customFormat="1" spans="9:12">
      <c r="I10586" s="225"/>
      <c r="K10586" s="9"/>
      <c r="L10586" s="9"/>
    </row>
    <row r="10587" s="105" customFormat="1" spans="9:12">
      <c r="I10587" s="225"/>
      <c r="K10587" s="9"/>
      <c r="L10587" s="9"/>
    </row>
    <row r="10588" s="105" customFormat="1" spans="9:12">
      <c r="I10588" s="225"/>
      <c r="K10588" s="9"/>
      <c r="L10588" s="9"/>
    </row>
    <row r="10589" s="105" customFormat="1" spans="9:12">
      <c r="I10589" s="225"/>
      <c r="K10589" s="9"/>
      <c r="L10589" s="9"/>
    </row>
    <row r="10590" s="105" customFormat="1" spans="9:12">
      <c r="I10590" s="225"/>
      <c r="K10590" s="9"/>
      <c r="L10590" s="9"/>
    </row>
    <row r="10591" s="105" customFormat="1" spans="9:12">
      <c r="I10591" s="225"/>
      <c r="K10591" s="9"/>
      <c r="L10591" s="9"/>
    </row>
    <row r="10592" s="105" customFormat="1" spans="9:12">
      <c r="I10592" s="225"/>
      <c r="K10592" s="9"/>
      <c r="L10592" s="9"/>
    </row>
    <row r="10593" s="105" customFormat="1" spans="9:12">
      <c r="I10593" s="225"/>
      <c r="K10593" s="9"/>
      <c r="L10593" s="9"/>
    </row>
    <row r="10594" s="105" customFormat="1" spans="9:12">
      <c r="I10594" s="225"/>
      <c r="K10594" s="9"/>
      <c r="L10594" s="9"/>
    </row>
    <row r="10595" s="105" customFormat="1" spans="9:12">
      <c r="I10595" s="225"/>
      <c r="K10595" s="9"/>
      <c r="L10595" s="9"/>
    </row>
    <row r="10596" s="105" customFormat="1" spans="9:12">
      <c r="I10596" s="225"/>
      <c r="K10596" s="9"/>
      <c r="L10596" s="9"/>
    </row>
    <row r="10597" s="105" customFormat="1" spans="9:12">
      <c r="I10597" s="225"/>
      <c r="K10597" s="9"/>
      <c r="L10597" s="9"/>
    </row>
    <row r="10598" s="105" customFormat="1" spans="9:12">
      <c r="I10598" s="225"/>
      <c r="K10598" s="9"/>
      <c r="L10598" s="9"/>
    </row>
    <row r="10599" s="105" customFormat="1" spans="9:12">
      <c r="I10599" s="225"/>
      <c r="K10599" s="9"/>
      <c r="L10599" s="9"/>
    </row>
    <row r="10600" s="105" customFormat="1" spans="9:12">
      <c r="I10600" s="225"/>
      <c r="K10600" s="9"/>
      <c r="L10600" s="9"/>
    </row>
    <row r="10601" s="105" customFormat="1" spans="9:12">
      <c r="I10601" s="225"/>
      <c r="K10601" s="9"/>
      <c r="L10601" s="9"/>
    </row>
    <row r="10602" s="105" customFormat="1" spans="9:12">
      <c r="I10602" s="225"/>
      <c r="K10602" s="9"/>
      <c r="L10602" s="9"/>
    </row>
    <row r="10603" s="105" customFormat="1" spans="9:12">
      <c r="I10603" s="225"/>
      <c r="K10603" s="9"/>
      <c r="L10603" s="9"/>
    </row>
    <row r="10604" s="105" customFormat="1" spans="9:12">
      <c r="I10604" s="225"/>
      <c r="K10604" s="9"/>
      <c r="L10604" s="9"/>
    </row>
    <row r="10605" s="105" customFormat="1" spans="9:12">
      <c r="I10605" s="225"/>
      <c r="K10605" s="9"/>
      <c r="L10605" s="9"/>
    </row>
    <row r="10606" s="105" customFormat="1" spans="9:12">
      <c r="I10606" s="225"/>
      <c r="K10606" s="9"/>
      <c r="L10606" s="9"/>
    </row>
    <row r="10607" s="105" customFormat="1" spans="9:12">
      <c r="I10607" s="225"/>
      <c r="K10607" s="9"/>
      <c r="L10607" s="9"/>
    </row>
    <row r="10608" s="105" customFormat="1" spans="9:12">
      <c r="I10608" s="225"/>
      <c r="K10608" s="9"/>
      <c r="L10608" s="9"/>
    </row>
    <row r="10609" s="105" customFormat="1" spans="9:12">
      <c r="I10609" s="225"/>
      <c r="K10609" s="9"/>
      <c r="L10609" s="9"/>
    </row>
    <row r="10610" s="105" customFormat="1" spans="9:12">
      <c r="I10610" s="225"/>
      <c r="K10610" s="9"/>
      <c r="L10610" s="9"/>
    </row>
    <row r="10611" s="105" customFormat="1" spans="9:12">
      <c r="I10611" s="225"/>
      <c r="K10611" s="9"/>
      <c r="L10611" s="9"/>
    </row>
    <row r="10612" s="105" customFormat="1" spans="9:12">
      <c r="I10612" s="225"/>
      <c r="K10612" s="9"/>
      <c r="L10612" s="9"/>
    </row>
    <row r="10613" s="105" customFormat="1" spans="9:12">
      <c r="I10613" s="225"/>
      <c r="K10613" s="9"/>
      <c r="L10613" s="9"/>
    </row>
    <row r="10614" s="105" customFormat="1" spans="9:12">
      <c r="I10614" s="225"/>
      <c r="K10614" s="9"/>
      <c r="L10614" s="9"/>
    </row>
    <row r="10615" s="105" customFormat="1" spans="9:12">
      <c r="I10615" s="225"/>
      <c r="K10615" s="9"/>
      <c r="L10615" s="9"/>
    </row>
    <row r="10616" s="105" customFormat="1" spans="9:12">
      <c r="I10616" s="225"/>
      <c r="K10616" s="9"/>
      <c r="L10616" s="9"/>
    </row>
    <row r="10617" s="105" customFormat="1" spans="9:12">
      <c r="I10617" s="225"/>
      <c r="K10617" s="9"/>
      <c r="L10617" s="9"/>
    </row>
    <row r="10618" s="105" customFormat="1" spans="9:12">
      <c r="I10618" s="225"/>
      <c r="K10618" s="9"/>
      <c r="L10618" s="9"/>
    </row>
    <row r="10619" s="105" customFormat="1" spans="9:12">
      <c r="I10619" s="225"/>
      <c r="K10619" s="9"/>
      <c r="L10619" s="9"/>
    </row>
    <row r="10620" s="105" customFormat="1" spans="9:12">
      <c r="I10620" s="225"/>
      <c r="K10620" s="9"/>
      <c r="L10620" s="9"/>
    </row>
    <row r="10621" s="105" customFormat="1" spans="9:12">
      <c r="I10621" s="225"/>
      <c r="K10621" s="9"/>
      <c r="L10621" s="9"/>
    </row>
    <row r="10622" s="105" customFormat="1" spans="9:12">
      <c r="I10622" s="225"/>
      <c r="K10622" s="9"/>
      <c r="L10622" s="9"/>
    </row>
    <row r="10623" s="105" customFormat="1" spans="9:12">
      <c r="I10623" s="225"/>
      <c r="K10623" s="9"/>
      <c r="L10623" s="9"/>
    </row>
    <row r="10624" s="105" customFormat="1" spans="9:12">
      <c r="I10624" s="225"/>
      <c r="K10624" s="9"/>
      <c r="L10624" s="9"/>
    </row>
    <row r="10625" s="105" customFormat="1" spans="9:12">
      <c r="I10625" s="225"/>
      <c r="K10625" s="9"/>
      <c r="L10625" s="9"/>
    </row>
    <row r="10626" s="105" customFormat="1" spans="9:12">
      <c r="I10626" s="225"/>
      <c r="K10626" s="9"/>
      <c r="L10626" s="9"/>
    </row>
    <row r="10627" s="105" customFormat="1" spans="9:12">
      <c r="I10627" s="225"/>
      <c r="K10627" s="9"/>
      <c r="L10627" s="9"/>
    </row>
    <row r="10628" s="105" customFormat="1" spans="9:12">
      <c r="I10628" s="225"/>
      <c r="K10628" s="9"/>
      <c r="L10628" s="9"/>
    </row>
    <row r="10629" s="105" customFormat="1" spans="9:12">
      <c r="I10629" s="225"/>
      <c r="K10629" s="9"/>
      <c r="L10629" s="9"/>
    </row>
    <row r="10630" s="105" customFormat="1" spans="9:12">
      <c r="I10630" s="225"/>
      <c r="K10630" s="9"/>
      <c r="L10630" s="9"/>
    </row>
    <row r="10631" s="105" customFormat="1" spans="9:12">
      <c r="I10631" s="225"/>
      <c r="K10631" s="9"/>
      <c r="L10631" s="9"/>
    </row>
    <row r="10632" s="105" customFormat="1" spans="9:12">
      <c r="I10632" s="225"/>
      <c r="K10632" s="9"/>
      <c r="L10632" s="9"/>
    </row>
    <row r="10633" s="105" customFormat="1" spans="9:12">
      <c r="I10633" s="225"/>
      <c r="K10633" s="9"/>
      <c r="L10633" s="9"/>
    </row>
    <row r="10634" s="105" customFormat="1" spans="9:12">
      <c r="I10634" s="225"/>
      <c r="K10634" s="9"/>
      <c r="L10634" s="9"/>
    </row>
    <row r="10635" s="105" customFormat="1" spans="9:12">
      <c r="I10635" s="225"/>
      <c r="K10635" s="9"/>
      <c r="L10635" s="9"/>
    </row>
    <row r="10636" s="105" customFormat="1" spans="9:12">
      <c r="I10636" s="225"/>
      <c r="K10636" s="9"/>
      <c r="L10636" s="9"/>
    </row>
    <row r="10637" s="105" customFormat="1" spans="9:12">
      <c r="I10637" s="225"/>
      <c r="K10637" s="9"/>
      <c r="L10637" s="9"/>
    </row>
    <row r="10638" s="105" customFormat="1" spans="9:12">
      <c r="I10638" s="225"/>
      <c r="K10638" s="9"/>
      <c r="L10638" s="9"/>
    </row>
    <row r="10639" s="105" customFormat="1" spans="9:12">
      <c r="I10639" s="225"/>
      <c r="K10639" s="9"/>
      <c r="L10639" s="9"/>
    </row>
    <row r="10640" s="105" customFormat="1" spans="9:12">
      <c r="I10640" s="225"/>
      <c r="K10640" s="9"/>
      <c r="L10640" s="9"/>
    </row>
    <row r="10641" s="105" customFormat="1" spans="9:12">
      <c r="I10641" s="225"/>
      <c r="K10641" s="9"/>
      <c r="L10641" s="9"/>
    </row>
    <row r="10642" s="105" customFormat="1" spans="9:12">
      <c r="I10642" s="225"/>
      <c r="K10642" s="9"/>
      <c r="L10642" s="9"/>
    </row>
    <row r="10643" s="105" customFormat="1" spans="9:12">
      <c r="I10643" s="225"/>
      <c r="K10643" s="9"/>
      <c r="L10643" s="9"/>
    </row>
    <row r="10644" s="105" customFormat="1" spans="9:12">
      <c r="I10644" s="225"/>
      <c r="K10644" s="9"/>
      <c r="L10644" s="9"/>
    </row>
    <row r="10645" s="105" customFormat="1" spans="9:12">
      <c r="I10645" s="225"/>
      <c r="K10645" s="9"/>
      <c r="L10645" s="9"/>
    </row>
    <row r="10646" s="105" customFormat="1" spans="9:12">
      <c r="I10646" s="225"/>
      <c r="K10646" s="9"/>
      <c r="L10646" s="9"/>
    </row>
    <row r="10647" s="105" customFormat="1" spans="9:12">
      <c r="I10647" s="225"/>
      <c r="K10647" s="9"/>
      <c r="L10647" s="9"/>
    </row>
    <row r="10648" s="105" customFormat="1" spans="9:12">
      <c r="I10648" s="225"/>
      <c r="K10648" s="9"/>
      <c r="L10648" s="9"/>
    </row>
    <row r="10649" s="105" customFormat="1" spans="9:12">
      <c r="I10649" s="225"/>
      <c r="K10649" s="9"/>
      <c r="L10649" s="9"/>
    </row>
    <row r="10650" s="105" customFormat="1" spans="9:12">
      <c r="I10650" s="225"/>
      <c r="K10650" s="9"/>
      <c r="L10650" s="9"/>
    </row>
    <row r="10651" s="105" customFormat="1" spans="9:12">
      <c r="I10651" s="225"/>
      <c r="K10651" s="9"/>
      <c r="L10651" s="9"/>
    </row>
    <row r="10652" s="105" customFormat="1" spans="9:12">
      <c r="I10652" s="225"/>
      <c r="K10652" s="9"/>
      <c r="L10652" s="9"/>
    </row>
    <row r="10653" s="105" customFormat="1" spans="9:12">
      <c r="I10653" s="225"/>
      <c r="K10653" s="9"/>
      <c r="L10653" s="9"/>
    </row>
    <row r="10654" s="105" customFormat="1" spans="9:12">
      <c r="I10654" s="225"/>
      <c r="K10654" s="9"/>
      <c r="L10654" s="9"/>
    </row>
    <row r="10655" s="105" customFormat="1" spans="9:12">
      <c r="I10655" s="225"/>
      <c r="K10655" s="9"/>
      <c r="L10655" s="9"/>
    </row>
    <row r="10656" s="105" customFormat="1" spans="9:12">
      <c r="I10656" s="225"/>
      <c r="K10656" s="9"/>
      <c r="L10656" s="9"/>
    </row>
    <row r="10657" s="105" customFormat="1" spans="9:12">
      <c r="I10657" s="225"/>
      <c r="K10657" s="9"/>
      <c r="L10657" s="9"/>
    </row>
    <row r="10658" s="105" customFormat="1" spans="9:12">
      <c r="I10658" s="225"/>
      <c r="K10658" s="9"/>
      <c r="L10658" s="9"/>
    </row>
    <row r="10659" s="105" customFormat="1" spans="9:12">
      <c r="I10659" s="225"/>
      <c r="K10659" s="9"/>
      <c r="L10659" s="9"/>
    </row>
    <row r="10660" s="105" customFormat="1" spans="9:12">
      <c r="I10660" s="225"/>
      <c r="K10660" s="9"/>
      <c r="L10660" s="9"/>
    </row>
    <row r="10661" s="105" customFormat="1" spans="9:12">
      <c r="I10661" s="225"/>
      <c r="K10661" s="9"/>
      <c r="L10661" s="9"/>
    </row>
    <row r="10662" s="105" customFormat="1" spans="9:12">
      <c r="I10662" s="225"/>
      <c r="K10662" s="9"/>
      <c r="L10662" s="9"/>
    </row>
    <row r="10663" s="105" customFormat="1" spans="9:12">
      <c r="I10663" s="225"/>
      <c r="K10663" s="9"/>
      <c r="L10663" s="9"/>
    </row>
    <row r="10664" s="105" customFormat="1" spans="9:12">
      <c r="I10664" s="225"/>
      <c r="K10664" s="9"/>
      <c r="L10664" s="9"/>
    </row>
    <row r="10665" s="105" customFormat="1" spans="9:12">
      <c r="I10665" s="225"/>
      <c r="K10665" s="9"/>
      <c r="L10665" s="9"/>
    </row>
    <row r="10666" s="105" customFormat="1" spans="9:12">
      <c r="I10666" s="225"/>
      <c r="K10666" s="9"/>
      <c r="L10666" s="9"/>
    </row>
    <row r="10667" s="105" customFormat="1" spans="9:12">
      <c r="I10667" s="225"/>
      <c r="K10667" s="9"/>
      <c r="L10667" s="9"/>
    </row>
    <row r="10668" s="105" customFormat="1" spans="9:12">
      <c r="I10668" s="225"/>
      <c r="K10668" s="9"/>
      <c r="L10668" s="9"/>
    </row>
    <row r="10669" s="105" customFormat="1" spans="9:12">
      <c r="I10669" s="225"/>
      <c r="K10669" s="9"/>
      <c r="L10669" s="9"/>
    </row>
    <row r="10670" s="105" customFormat="1" spans="9:12">
      <c r="I10670" s="225"/>
      <c r="K10670" s="9"/>
      <c r="L10670" s="9"/>
    </row>
    <row r="10671" s="105" customFormat="1" spans="9:12">
      <c r="I10671" s="225"/>
      <c r="K10671" s="9"/>
      <c r="L10671" s="9"/>
    </row>
    <row r="10672" s="105" customFormat="1" spans="9:12">
      <c r="I10672" s="225"/>
      <c r="K10672" s="9"/>
      <c r="L10672" s="9"/>
    </row>
    <row r="10673" s="105" customFormat="1" spans="9:12">
      <c r="I10673" s="225"/>
      <c r="K10673" s="9"/>
      <c r="L10673" s="9"/>
    </row>
    <row r="10674" s="105" customFormat="1" spans="9:12">
      <c r="I10674" s="225"/>
      <c r="K10674" s="9"/>
      <c r="L10674" s="9"/>
    </row>
    <row r="10675" s="105" customFormat="1" spans="9:12">
      <c r="I10675" s="225"/>
      <c r="K10675" s="9"/>
      <c r="L10675" s="9"/>
    </row>
    <row r="10676" s="105" customFormat="1" spans="9:12">
      <c r="I10676" s="225"/>
      <c r="K10676" s="9"/>
      <c r="L10676" s="9"/>
    </row>
    <row r="10677" s="105" customFormat="1" spans="9:12">
      <c r="I10677" s="225"/>
      <c r="K10677" s="9"/>
      <c r="L10677" s="9"/>
    </row>
    <row r="10678" s="105" customFormat="1" spans="9:12">
      <c r="I10678" s="225"/>
      <c r="K10678" s="9"/>
      <c r="L10678" s="9"/>
    </row>
    <row r="10679" s="105" customFormat="1" spans="9:12">
      <c r="I10679" s="225"/>
      <c r="K10679" s="9"/>
      <c r="L10679" s="9"/>
    </row>
    <row r="10680" s="105" customFormat="1" spans="9:12">
      <c r="I10680" s="225"/>
      <c r="K10680" s="9"/>
      <c r="L10680" s="9"/>
    </row>
    <row r="10681" s="105" customFormat="1" spans="9:12">
      <c r="I10681" s="225"/>
      <c r="K10681" s="9"/>
      <c r="L10681" s="9"/>
    </row>
    <row r="10682" s="105" customFormat="1" spans="9:12">
      <c r="I10682" s="225"/>
      <c r="K10682" s="9"/>
      <c r="L10682" s="9"/>
    </row>
    <row r="10683" s="105" customFormat="1" spans="9:12">
      <c r="I10683" s="225"/>
      <c r="K10683" s="9"/>
      <c r="L10683" s="9"/>
    </row>
    <row r="10684" s="105" customFormat="1" spans="9:12">
      <c r="I10684" s="225"/>
      <c r="K10684" s="9"/>
      <c r="L10684" s="9"/>
    </row>
    <row r="10685" s="105" customFormat="1" spans="9:12">
      <c r="I10685" s="225"/>
      <c r="K10685" s="9"/>
      <c r="L10685" s="9"/>
    </row>
    <row r="10686" s="105" customFormat="1" spans="9:12">
      <c r="I10686" s="225"/>
      <c r="K10686" s="9"/>
      <c r="L10686" s="9"/>
    </row>
    <row r="10687" s="105" customFormat="1" spans="9:12">
      <c r="I10687" s="225"/>
      <c r="K10687" s="9"/>
      <c r="L10687" s="9"/>
    </row>
    <row r="10688" s="105" customFormat="1" spans="9:12">
      <c r="I10688" s="225"/>
      <c r="K10688" s="9"/>
      <c r="L10688" s="9"/>
    </row>
    <row r="10689" s="105" customFormat="1" spans="9:12">
      <c r="I10689" s="225"/>
      <c r="K10689" s="9"/>
      <c r="L10689" s="9"/>
    </row>
    <row r="10690" s="105" customFormat="1" spans="9:12">
      <c r="I10690" s="225"/>
      <c r="K10690" s="9"/>
      <c r="L10690" s="9"/>
    </row>
    <row r="10691" s="105" customFormat="1" spans="9:12">
      <c r="I10691" s="225"/>
      <c r="K10691" s="9"/>
      <c r="L10691" s="9"/>
    </row>
    <row r="10692" s="105" customFormat="1" spans="9:12">
      <c r="I10692" s="225"/>
      <c r="K10692" s="9"/>
      <c r="L10692" s="9"/>
    </row>
    <row r="10693" s="105" customFormat="1" spans="9:12">
      <c r="I10693" s="225"/>
      <c r="K10693" s="9"/>
      <c r="L10693" s="9"/>
    </row>
    <row r="10694" s="105" customFormat="1" spans="9:12">
      <c r="I10694" s="225"/>
      <c r="K10694" s="9"/>
      <c r="L10694" s="9"/>
    </row>
    <row r="10695" s="105" customFormat="1" spans="9:12">
      <c r="I10695" s="225"/>
      <c r="K10695" s="9"/>
      <c r="L10695" s="9"/>
    </row>
    <row r="10696" s="105" customFormat="1" spans="9:12">
      <c r="I10696" s="225"/>
      <c r="K10696" s="9"/>
      <c r="L10696" s="9"/>
    </row>
    <row r="10697" s="105" customFormat="1" spans="9:12">
      <c r="I10697" s="225"/>
      <c r="K10697" s="9"/>
      <c r="L10697" s="9"/>
    </row>
    <row r="10698" s="105" customFormat="1" spans="9:12">
      <c r="I10698" s="225"/>
      <c r="K10698" s="9"/>
      <c r="L10698" s="9"/>
    </row>
    <row r="10699" s="105" customFormat="1" spans="9:12">
      <c r="I10699" s="225"/>
      <c r="K10699" s="9"/>
      <c r="L10699" s="9"/>
    </row>
    <row r="10700" s="105" customFormat="1" spans="9:12">
      <c r="I10700" s="225"/>
      <c r="K10700" s="9"/>
      <c r="L10700" s="9"/>
    </row>
    <row r="10701" s="105" customFormat="1" spans="9:12">
      <c r="I10701" s="225"/>
      <c r="K10701" s="9"/>
      <c r="L10701" s="9"/>
    </row>
    <row r="10702" s="105" customFormat="1" spans="9:12">
      <c r="I10702" s="225"/>
      <c r="K10702" s="9"/>
      <c r="L10702" s="9"/>
    </row>
    <row r="10703" s="105" customFormat="1" spans="9:12">
      <c r="I10703" s="225"/>
      <c r="K10703" s="9"/>
      <c r="L10703" s="9"/>
    </row>
    <row r="10704" s="105" customFormat="1" spans="9:12">
      <c r="I10704" s="225"/>
      <c r="K10704" s="9"/>
      <c r="L10704" s="9"/>
    </row>
    <row r="10705" s="105" customFormat="1" spans="9:12">
      <c r="I10705" s="225"/>
      <c r="K10705" s="9"/>
      <c r="L10705" s="9"/>
    </row>
    <row r="10706" s="105" customFormat="1" spans="9:12">
      <c r="I10706" s="225"/>
      <c r="K10706" s="9"/>
      <c r="L10706" s="9"/>
    </row>
    <row r="10707" s="105" customFormat="1" spans="9:12">
      <c r="I10707" s="225"/>
      <c r="K10707" s="9"/>
      <c r="L10707" s="9"/>
    </row>
    <row r="10708" s="105" customFormat="1" spans="9:12">
      <c r="I10708" s="225"/>
      <c r="K10708" s="9"/>
      <c r="L10708" s="9"/>
    </row>
    <row r="10709" s="105" customFormat="1" spans="9:12">
      <c r="I10709" s="225"/>
      <c r="K10709" s="9"/>
      <c r="L10709" s="9"/>
    </row>
    <row r="10710" s="105" customFormat="1" spans="9:12">
      <c r="I10710" s="225"/>
      <c r="K10710" s="9"/>
      <c r="L10710" s="9"/>
    </row>
    <row r="10711" s="105" customFormat="1" spans="9:12">
      <c r="I10711" s="225"/>
      <c r="K10711" s="9"/>
      <c r="L10711" s="9"/>
    </row>
    <row r="10712" s="105" customFormat="1" spans="9:12">
      <c r="I10712" s="225"/>
      <c r="K10712" s="9"/>
      <c r="L10712" s="9"/>
    </row>
    <row r="10713" s="105" customFormat="1" spans="9:12">
      <c r="I10713" s="225"/>
      <c r="K10713" s="9"/>
      <c r="L10713" s="9"/>
    </row>
    <row r="10714" s="105" customFormat="1" spans="9:12">
      <c r="I10714" s="225"/>
      <c r="K10714" s="9"/>
      <c r="L10714" s="9"/>
    </row>
    <row r="10715" s="105" customFormat="1" spans="9:12">
      <c r="I10715" s="225"/>
      <c r="K10715" s="9"/>
      <c r="L10715" s="9"/>
    </row>
    <row r="10716" s="105" customFormat="1" spans="9:12">
      <c r="I10716" s="225"/>
      <c r="K10716" s="9"/>
      <c r="L10716" s="9"/>
    </row>
    <row r="10717" s="105" customFormat="1" spans="9:12">
      <c r="I10717" s="225"/>
      <c r="K10717" s="9"/>
      <c r="L10717" s="9"/>
    </row>
    <row r="10718" s="105" customFormat="1" spans="9:12">
      <c r="I10718" s="225"/>
      <c r="K10718" s="9"/>
      <c r="L10718" s="9"/>
    </row>
    <row r="10719" s="105" customFormat="1" spans="9:12">
      <c r="I10719" s="225"/>
      <c r="K10719" s="9"/>
      <c r="L10719" s="9"/>
    </row>
    <row r="10720" s="105" customFormat="1" spans="9:12">
      <c r="I10720" s="225"/>
      <c r="K10720" s="9"/>
      <c r="L10720" s="9"/>
    </row>
    <row r="10721" s="105" customFormat="1" spans="9:12">
      <c r="I10721" s="225"/>
      <c r="K10721" s="9"/>
      <c r="L10721" s="9"/>
    </row>
    <row r="10722" s="105" customFormat="1" spans="9:12">
      <c r="I10722" s="225"/>
      <c r="K10722" s="9"/>
      <c r="L10722" s="9"/>
    </row>
    <row r="10723" s="105" customFormat="1" spans="9:12">
      <c r="I10723" s="225"/>
      <c r="K10723" s="9"/>
      <c r="L10723" s="9"/>
    </row>
    <row r="10724" s="105" customFormat="1" spans="9:12">
      <c r="I10724" s="225"/>
      <c r="K10724" s="9"/>
      <c r="L10724" s="9"/>
    </row>
    <row r="10725" s="105" customFormat="1" spans="9:12">
      <c r="I10725" s="225"/>
      <c r="K10725" s="9"/>
      <c r="L10725" s="9"/>
    </row>
    <row r="10726" s="105" customFormat="1" spans="9:12">
      <c r="I10726" s="225"/>
      <c r="K10726" s="9"/>
      <c r="L10726" s="9"/>
    </row>
    <row r="10727" s="105" customFormat="1" spans="9:12">
      <c r="I10727" s="225"/>
      <c r="K10727" s="9"/>
      <c r="L10727" s="9"/>
    </row>
    <row r="10728" s="105" customFormat="1" spans="9:12">
      <c r="I10728" s="225"/>
      <c r="K10728" s="9"/>
      <c r="L10728" s="9"/>
    </row>
    <row r="10729" s="105" customFormat="1" spans="9:12">
      <c r="I10729" s="225"/>
      <c r="K10729" s="9"/>
      <c r="L10729" s="9"/>
    </row>
    <row r="10730" s="105" customFormat="1" spans="9:12">
      <c r="I10730" s="225"/>
      <c r="K10730" s="9"/>
      <c r="L10730" s="9"/>
    </row>
    <row r="10731" s="105" customFormat="1" spans="9:12">
      <c r="I10731" s="225"/>
      <c r="K10731" s="9"/>
      <c r="L10731" s="9"/>
    </row>
    <row r="10732" s="105" customFormat="1" spans="9:12">
      <c r="I10732" s="225"/>
      <c r="K10732" s="9"/>
      <c r="L10732" s="9"/>
    </row>
    <row r="10733" s="105" customFormat="1" spans="9:12">
      <c r="I10733" s="225"/>
      <c r="K10733" s="9"/>
      <c r="L10733" s="9"/>
    </row>
    <row r="10734" s="105" customFormat="1" spans="9:12">
      <c r="I10734" s="225"/>
      <c r="K10734" s="9"/>
      <c r="L10734" s="9"/>
    </row>
    <row r="10735" s="105" customFormat="1" spans="9:12">
      <c r="I10735" s="225"/>
      <c r="K10735" s="9"/>
      <c r="L10735" s="9"/>
    </row>
    <row r="10736" s="105" customFormat="1" spans="9:12">
      <c r="I10736" s="225"/>
      <c r="K10736" s="9"/>
      <c r="L10736" s="9"/>
    </row>
    <row r="10737" s="105" customFormat="1" spans="9:12">
      <c r="I10737" s="225"/>
      <c r="K10737" s="9"/>
      <c r="L10737" s="9"/>
    </row>
    <row r="10738" s="105" customFormat="1" spans="9:12">
      <c r="I10738" s="225"/>
      <c r="K10738" s="9"/>
      <c r="L10738" s="9"/>
    </row>
    <row r="10739" s="105" customFormat="1" spans="9:12">
      <c r="I10739" s="225"/>
      <c r="K10739" s="9"/>
      <c r="L10739" s="9"/>
    </row>
    <row r="10740" s="105" customFormat="1" spans="9:12">
      <c r="I10740" s="225"/>
      <c r="K10740" s="9"/>
      <c r="L10740" s="9"/>
    </row>
    <row r="10741" s="105" customFormat="1" spans="9:12">
      <c r="I10741" s="225"/>
      <c r="K10741" s="9"/>
      <c r="L10741" s="9"/>
    </row>
    <row r="10742" s="105" customFormat="1" spans="9:12">
      <c r="I10742" s="225"/>
      <c r="K10742" s="9"/>
      <c r="L10742" s="9"/>
    </row>
    <row r="10743" s="105" customFormat="1" spans="9:12">
      <c r="I10743" s="225"/>
      <c r="K10743" s="9"/>
      <c r="L10743" s="9"/>
    </row>
    <row r="10744" s="105" customFormat="1" spans="9:12">
      <c r="I10744" s="225"/>
      <c r="K10744" s="9"/>
      <c r="L10744" s="9"/>
    </row>
    <row r="10745" s="105" customFormat="1" spans="9:12">
      <c r="I10745" s="225"/>
      <c r="K10745" s="9"/>
      <c r="L10745" s="9"/>
    </row>
    <row r="10746" s="105" customFormat="1" spans="9:12">
      <c r="I10746" s="225"/>
      <c r="K10746" s="9"/>
      <c r="L10746" s="9"/>
    </row>
    <row r="10747" s="105" customFormat="1" spans="9:12">
      <c r="I10747" s="225"/>
      <c r="K10747" s="9"/>
      <c r="L10747" s="9"/>
    </row>
    <row r="10748" s="105" customFormat="1" spans="9:12">
      <c r="I10748" s="225"/>
      <c r="K10748" s="9"/>
      <c r="L10748" s="9"/>
    </row>
    <row r="10749" s="105" customFormat="1" spans="9:12">
      <c r="I10749" s="225"/>
      <c r="K10749" s="9"/>
      <c r="L10749" s="9"/>
    </row>
    <row r="10750" s="105" customFormat="1" spans="9:12">
      <c r="I10750" s="225"/>
      <c r="K10750" s="9"/>
      <c r="L10750" s="9"/>
    </row>
    <row r="10751" s="105" customFormat="1" spans="9:12">
      <c r="I10751" s="225"/>
      <c r="K10751" s="9"/>
      <c r="L10751" s="9"/>
    </row>
    <row r="10752" s="105" customFormat="1" spans="9:12">
      <c r="I10752" s="225"/>
      <c r="K10752" s="9"/>
      <c r="L10752" s="9"/>
    </row>
    <row r="10753" s="105" customFormat="1" spans="9:12">
      <c r="I10753" s="225"/>
      <c r="K10753" s="9"/>
      <c r="L10753" s="9"/>
    </row>
    <row r="10754" s="105" customFormat="1" spans="9:12">
      <c r="I10754" s="225"/>
      <c r="K10754" s="9"/>
      <c r="L10754" s="9"/>
    </row>
    <row r="10755" s="105" customFormat="1" spans="9:12">
      <c r="I10755" s="225"/>
      <c r="K10755" s="9"/>
      <c r="L10755" s="9"/>
    </row>
    <row r="10756" s="105" customFormat="1" spans="9:12">
      <c r="I10756" s="225"/>
      <c r="K10756" s="9"/>
      <c r="L10756" s="9"/>
    </row>
    <row r="10757" s="105" customFormat="1" spans="9:12">
      <c r="I10757" s="225"/>
      <c r="K10757" s="9"/>
      <c r="L10757" s="9"/>
    </row>
    <row r="10758" s="105" customFormat="1" spans="9:12">
      <c r="I10758" s="225"/>
      <c r="K10758" s="9"/>
      <c r="L10758" s="9"/>
    </row>
    <row r="10759" s="105" customFormat="1" spans="9:12">
      <c r="I10759" s="225"/>
      <c r="K10759" s="9"/>
      <c r="L10759" s="9"/>
    </row>
    <row r="10760" s="105" customFormat="1" spans="9:12">
      <c r="I10760" s="225"/>
      <c r="K10760" s="9"/>
      <c r="L10760" s="9"/>
    </row>
    <row r="10761" s="105" customFormat="1" spans="9:12">
      <c r="I10761" s="225"/>
      <c r="K10761" s="9"/>
      <c r="L10761" s="9"/>
    </row>
    <row r="10762" s="105" customFormat="1" spans="9:12">
      <c r="I10762" s="225"/>
      <c r="K10762" s="9"/>
      <c r="L10762" s="9"/>
    </row>
    <row r="10763" s="105" customFormat="1" spans="9:12">
      <c r="I10763" s="225"/>
      <c r="K10763" s="9"/>
      <c r="L10763" s="9"/>
    </row>
    <row r="10764" s="105" customFormat="1" spans="9:12">
      <c r="I10764" s="225"/>
      <c r="K10764" s="9"/>
      <c r="L10764" s="9"/>
    </row>
    <row r="10765" s="105" customFormat="1" spans="9:12">
      <c r="I10765" s="225"/>
      <c r="K10765" s="9"/>
      <c r="L10765" s="9"/>
    </row>
    <row r="10766" s="105" customFormat="1" spans="9:12">
      <c r="I10766" s="225"/>
      <c r="K10766" s="9"/>
      <c r="L10766" s="9"/>
    </row>
    <row r="10767" s="105" customFormat="1" spans="9:12">
      <c r="I10767" s="225"/>
      <c r="K10767" s="9"/>
      <c r="L10767" s="9"/>
    </row>
    <row r="10768" s="105" customFormat="1" spans="9:12">
      <c r="I10768" s="225"/>
      <c r="K10768" s="9"/>
      <c r="L10768" s="9"/>
    </row>
    <row r="10769" s="105" customFormat="1" spans="9:12">
      <c r="I10769" s="225"/>
      <c r="K10769" s="9"/>
      <c r="L10769" s="9"/>
    </row>
    <row r="10770" s="105" customFormat="1" spans="9:12">
      <c r="I10770" s="225"/>
      <c r="K10770" s="9"/>
      <c r="L10770" s="9"/>
    </row>
    <row r="10771" s="105" customFormat="1" spans="9:12">
      <c r="I10771" s="225"/>
      <c r="K10771" s="9"/>
      <c r="L10771" s="9"/>
    </row>
    <row r="10772" s="105" customFormat="1" spans="9:12">
      <c r="I10772" s="225"/>
      <c r="K10772" s="9"/>
      <c r="L10772" s="9"/>
    </row>
    <row r="10773" s="105" customFormat="1" spans="9:12">
      <c r="I10773" s="225"/>
      <c r="K10773" s="9"/>
      <c r="L10773" s="9"/>
    </row>
    <row r="10774" s="105" customFormat="1" spans="9:12">
      <c r="I10774" s="225"/>
      <c r="K10774" s="9"/>
      <c r="L10774" s="9"/>
    </row>
    <row r="10775" s="105" customFormat="1" spans="9:12">
      <c r="I10775" s="225"/>
      <c r="K10775" s="9"/>
      <c r="L10775" s="9"/>
    </row>
    <row r="10776" s="105" customFormat="1" spans="9:12">
      <c r="I10776" s="225"/>
      <c r="K10776" s="9"/>
      <c r="L10776" s="9"/>
    </row>
    <row r="10777" s="105" customFormat="1" spans="9:12">
      <c r="I10777" s="225"/>
      <c r="K10777" s="9"/>
      <c r="L10777" s="9"/>
    </row>
    <row r="10778" s="105" customFormat="1" spans="9:12">
      <c r="I10778" s="225"/>
      <c r="K10778" s="9"/>
      <c r="L10778" s="9"/>
    </row>
    <row r="10779" s="105" customFormat="1" spans="9:12">
      <c r="I10779" s="225"/>
      <c r="K10779" s="9"/>
      <c r="L10779" s="9"/>
    </row>
    <row r="10780" s="105" customFormat="1" spans="9:12">
      <c r="I10780" s="225"/>
      <c r="K10780" s="9"/>
      <c r="L10780" s="9"/>
    </row>
    <row r="10781" s="105" customFormat="1" spans="9:12">
      <c r="I10781" s="225"/>
      <c r="K10781" s="9"/>
      <c r="L10781" s="9"/>
    </row>
    <row r="10782" s="105" customFormat="1" spans="9:12">
      <c r="I10782" s="225"/>
      <c r="K10782" s="9"/>
      <c r="L10782" s="9"/>
    </row>
    <row r="10783" s="105" customFormat="1" spans="9:12">
      <c r="I10783" s="225"/>
      <c r="K10783" s="9"/>
      <c r="L10783" s="9"/>
    </row>
    <row r="10784" s="105" customFormat="1" spans="9:12">
      <c r="I10784" s="225"/>
      <c r="K10784" s="9"/>
      <c r="L10784" s="9"/>
    </row>
    <row r="10785" s="105" customFormat="1" spans="9:12">
      <c r="I10785" s="225"/>
      <c r="K10785" s="9"/>
      <c r="L10785" s="9"/>
    </row>
    <row r="10786" s="105" customFormat="1" spans="9:12">
      <c r="I10786" s="225"/>
      <c r="K10786" s="9"/>
      <c r="L10786" s="9"/>
    </row>
    <row r="10787" s="105" customFormat="1" spans="9:12">
      <c r="I10787" s="225"/>
      <c r="K10787" s="9"/>
      <c r="L10787" s="9"/>
    </row>
    <row r="10788" s="105" customFormat="1" spans="9:12">
      <c r="I10788" s="225"/>
      <c r="K10788" s="9"/>
      <c r="L10788" s="9"/>
    </row>
    <row r="10789" s="105" customFormat="1" spans="9:12">
      <c r="I10789" s="225"/>
      <c r="K10789" s="9"/>
      <c r="L10789" s="9"/>
    </row>
    <row r="10790" s="105" customFormat="1" spans="9:12">
      <c r="I10790" s="225"/>
      <c r="K10790" s="9"/>
      <c r="L10790" s="9"/>
    </row>
    <row r="10791" s="105" customFormat="1" spans="9:12">
      <c r="I10791" s="225"/>
      <c r="K10791" s="9"/>
      <c r="L10791" s="9"/>
    </row>
    <row r="10792" s="105" customFormat="1" spans="9:12">
      <c r="I10792" s="225"/>
      <c r="K10792" s="9"/>
      <c r="L10792" s="9"/>
    </row>
    <row r="10793" s="105" customFormat="1" spans="9:12">
      <c r="I10793" s="225"/>
      <c r="K10793" s="9"/>
      <c r="L10793" s="9"/>
    </row>
    <row r="10794" s="105" customFormat="1" spans="9:12">
      <c r="I10794" s="225"/>
      <c r="K10794" s="9"/>
      <c r="L10794" s="9"/>
    </row>
    <row r="10795" s="105" customFormat="1" spans="9:12">
      <c r="I10795" s="225"/>
      <c r="K10795" s="9"/>
      <c r="L10795" s="9"/>
    </row>
    <row r="10796" s="105" customFormat="1" spans="9:12">
      <c r="I10796" s="225"/>
      <c r="K10796" s="9"/>
      <c r="L10796" s="9"/>
    </row>
    <row r="10797" s="105" customFormat="1" spans="9:12">
      <c r="I10797" s="225"/>
      <c r="K10797" s="9"/>
      <c r="L10797" s="9"/>
    </row>
    <row r="10798" s="105" customFormat="1" spans="9:12">
      <c r="I10798" s="225"/>
      <c r="K10798" s="9"/>
      <c r="L10798" s="9"/>
    </row>
    <row r="10799" s="105" customFormat="1" spans="9:12">
      <c r="I10799" s="225"/>
      <c r="K10799" s="9"/>
      <c r="L10799" s="9"/>
    </row>
    <row r="10800" s="105" customFormat="1" spans="9:12">
      <c r="I10800" s="225"/>
      <c r="K10800" s="9"/>
      <c r="L10800" s="9"/>
    </row>
    <row r="10801" s="105" customFormat="1" spans="9:12">
      <c r="I10801" s="225"/>
      <c r="K10801" s="9"/>
      <c r="L10801" s="9"/>
    </row>
    <row r="10802" s="105" customFormat="1" spans="9:12">
      <c r="I10802" s="225"/>
      <c r="K10802" s="9"/>
      <c r="L10802" s="9"/>
    </row>
    <row r="10803" s="105" customFormat="1" spans="9:12">
      <c r="I10803" s="225"/>
      <c r="K10803" s="9"/>
      <c r="L10803" s="9"/>
    </row>
    <row r="10804" s="105" customFormat="1" spans="9:12">
      <c r="I10804" s="225"/>
      <c r="K10804" s="9"/>
      <c r="L10804" s="9"/>
    </row>
    <row r="10805" s="105" customFormat="1" spans="9:12">
      <c r="I10805" s="225"/>
      <c r="K10805" s="9"/>
      <c r="L10805" s="9"/>
    </row>
    <row r="10806" s="105" customFormat="1" spans="9:12">
      <c r="I10806" s="225"/>
      <c r="K10806" s="9"/>
      <c r="L10806" s="9"/>
    </row>
    <row r="10807" s="105" customFormat="1" spans="9:12">
      <c r="I10807" s="225"/>
      <c r="K10807" s="9"/>
      <c r="L10807" s="9"/>
    </row>
    <row r="10808" s="105" customFormat="1" spans="9:12">
      <c r="I10808" s="225"/>
      <c r="K10808" s="9"/>
      <c r="L10808" s="9"/>
    </row>
    <row r="10809" s="105" customFormat="1" spans="9:12">
      <c r="I10809" s="225"/>
      <c r="K10809" s="9"/>
      <c r="L10809" s="9"/>
    </row>
    <row r="10810" s="105" customFormat="1" spans="9:12">
      <c r="I10810" s="225"/>
      <c r="K10810" s="9"/>
      <c r="L10810" s="9"/>
    </row>
    <row r="10811" s="105" customFormat="1" spans="9:12">
      <c r="I10811" s="225"/>
      <c r="K10811" s="9"/>
      <c r="L10811" s="9"/>
    </row>
    <row r="10812" s="105" customFormat="1" spans="9:12">
      <c r="I10812" s="225"/>
      <c r="K10812" s="9"/>
      <c r="L10812" s="9"/>
    </row>
    <row r="10813" s="105" customFormat="1" spans="9:12">
      <c r="I10813" s="225"/>
      <c r="K10813" s="9"/>
      <c r="L10813" s="9"/>
    </row>
    <row r="10814" s="105" customFormat="1" spans="9:12">
      <c r="I10814" s="225"/>
      <c r="K10814" s="9"/>
      <c r="L10814" s="9"/>
    </row>
    <row r="10815" s="105" customFormat="1" spans="9:12">
      <c r="I10815" s="225"/>
      <c r="K10815" s="9"/>
      <c r="L10815" s="9"/>
    </row>
    <row r="10816" s="105" customFormat="1" spans="9:12">
      <c r="I10816" s="225"/>
      <c r="K10816" s="9"/>
      <c r="L10816" s="9"/>
    </row>
    <row r="10817" s="105" customFormat="1" spans="9:12">
      <c r="I10817" s="225"/>
      <c r="K10817" s="9"/>
      <c r="L10817" s="9"/>
    </row>
    <row r="10818" s="105" customFormat="1" spans="9:12">
      <c r="I10818" s="225"/>
      <c r="K10818" s="9"/>
      <c r="L10818" s="9"/>
    </row>
    <row r="10819" s="105" customFormat="1" spans="9:12">
      <c r="I10819" s="225"/>
      <c r="K10819" s="9"/>
      <c r="L10819" s="9"/>
    </row>
    <row r="10820" s="105" customFormat="1" spans="9:12">
      <c r="I10820" s="225"/>
      <c r="K10820" s="9"/>
      <c r="L10820" s="9"/>
    </row>
    <row r="10821" s="105" customFormat="1" spans="9:12">
      <c r="I10821" s="225"/>
      <c r="K10821" s="9"/>
      <c r="L10821" s="9"/>
    </row>
    <row r="10822" s="105" customFormat="1" spans="9:12">
      <c r="I10822" s="225"/>
      <c r="K10822" s="9"/>
      <c r="L10822" s="9"/>
    </row>
    <row r="10823" s="105" customFormat="1" spans="9:12">
      <c r="I10823" s="225"/>
      <c r="K10823" s="9"/>
      <c r="L10823" s="9"/>
    </row>
    <row r="10824" s="105" customFormat="1" spans="9:12">
      <c r="I10824" s="225"/>
      <c r="K10824" s="9"/>
      <c r="L10824" s="9"/>
    </row>
    <row r="10825" s="105" customFormat="1" spans="9:12">
      <c r="I10825" s="225"/>
      <c r="K10825" s="9"/>
      <c r="L10825" s="9"/>
    </row>
    <row r="10826" s="105" customFormat="1" spans="9:12">
      <c r="I10826" s="225"/>
      <c r="K10826" s="9"/>
      <c r="L10826" s="9"/>
    </row>
    <row r="10827" s="105" customFormat="1" spans="9:12">
      <c r="I10827" s="225"/>
      <c r="K10827" s="9"/>
      <c r="L10827" s="9"/>
    </row>
    <row r="10828" s="105" customFormat="1" spans="9:12">
      <c r="I10828" s="225"/>
      <c r="K10828" s="9"/>
      <c r="L10828" s="9"/>
    </row>
    <row r="10829" s="105" customFormat="1" spans="9:12">
      <c r="I10829" s="225"/>
      <c r="K10829" s="9"/>
      <c r="L10829" s="9"/>
    </row>
    <row r="10830" s="105" customFormat="1" spans="9:12">
      <c r="I10830" s="225"/>
      <c r="K10830" s="9"/>
      <c r="L10830" s="9"/>
    </row>
    <row r="10831" s="105" customFormat="1" spans="9:12">
      <c r="I10831" s="225"/>
      <c r="K10831" s="9"/>
      <c r="L10831" s="9"/>
    </row>
    <row r="10832" s="105" customFormat="1" spans="9:12">
      <c r="I10832" s="225"/>
      <c r="K10832" s="9"/>
      <c r="L10832" s="9"/>
    </row>
    <row r="10833" s="105" customFormat="1" spans="9:12">
      <c r="I10833" s="225"/>
      <c r="K10833" s="9"/>
      <c r="L10833" s="9"/>
    </row>
    <row r="10834" s="105" customFormat="1" spans="9:12">
      <c r="I10834" s="225"/>
      <c r="K10834" s="9"/>
      <c r="L10834" s="9"/>
    </row>
    <row r="10835" s="105" customFormat="1" spans="9:12">
      <c r="I10835" s="225"/>
      <c r="K10835" s="9"/>
      <c r="L10835" s="9"/>
    </row>
    <row r="10836" s="105" customFormat="1" spans="9:12">
      <c r="I10836" s="225"/>
      <c r="K10836" s="9"/>
      <c r="L10836" s="9"/>
    </row>
    <row r="10837" s="105" customFormat="1" spans="9:12">
      <c r="I10837" s="225"/>
      <c r="K10837" s="9"/>
      <c r="L10837" s="9"/>
    </row>
    <row r="10838" s="105" customFormat="1" spans="9:12">
      <c r="I10838" s="225"/>
      <c r="K10838" s="9"/>
      <c r="L10838" s="9"/>
    </row>
    <row r="10839" s="105" customFormat="1" spans="9:12">
      <c r="I10839" s="225"/>
      <c r="K10839" s="9"/>
      <c r="L10839" s="9"/>
    </row>
    <row r="10840" s="105" customFormat="1" spans="9:12">
      <c r="I10840" s="225"/>
      <c r="K10840" s="9"/>
      <c r="L10840" s="9"/>
    </row>
    <row r="10841" s="105" customFormat="1" spans="9:12">
      <c r="I10841" s="225"/>
      <c r="K10841" s="9"/>
      <c r="L10841" s="9"/>
    </row>
    <row r="10842" s="105" customFormat="1" spans="9:12">
      <c r="I10842" s="225"/>
      <c r="K10842" s="9"/>
      <c r="L10842" s="9"/>
    </row>
    <row r="10843" s="105" customFormat="1" spans="9:12">
      <c r="I10843" s="225"/>
      <c r="K10843" s="9"/>
      <c r="L10843" s="9"/>
    </row>
    <row r="10844" s="105" customFormat="1" spans="9:12">
      <c r="I10844" s="225"/>
      <c r="K10844" s="9"/>
      <c r="L10844" s="9"/>
    </row>
    <row r="10845" s="105" customFormat="1" spans="9:12">
      <c r="I10845" s="225"/>
      <c r="K10845" s="9"/>
      <c r="L10845" s="9"/>
    </row>
    <row r="10846" s="105" customFormat="1" spans="9:12">
      <c r="I10846" s="225"/>
      <c r="K10846" s="9"/>
      <c r="L10846" s="9"/>
    </row>
    <row r="10847" s="105" customFormat="1" spans="9:12">
      <c r="I10847" s="225"/>
      <c r="K10847" s="9"/>
      <c r="L10847" s="9"/>
    </row>
    <row r="10848" s="105" customFormat="1" spans="9:12">
      <c r="I10848" s="225"/>
      <c r="K10848" s="9"/>
      <c r="L10848" s="9"/>
    </row>
    <row r="10849" s="105" customFormat="1" spans="9:12">
      <c r="I10849" s="225"/>
      <c r="K10849" s="9"/>
      <c r="L10849" s="9"/>
    </row>
    <row r="10850" s="105" customFormat="1" spans="9:12">
      <c r="I10850" s="225"/>
      <c r="K10850" s="9"/>
      <c r="L10850" s="9"/>
    </row>
    <row r="10851" s="105" customFormat="1" spans="9:12">
      <c r="I10851" s="225"/>
      <c r="K10851" s="9"/>
      <c r="L10851" s="9"/>
    </row>
    <row r="10852" s="105" customFormat="1" spans="9:12">
      <c r="I10852" s="225"/>
      <c r="K10852" s="9"/>
      <c r="L10852" s="9"/>
    </row>
    <row r="10853" s="105" customFormat="1" spans="9:12">
      <c r="I10853" s="225"/>
      <c r="K10853" s="9"/>
      <c r="L10853" s="9"/>
    </row>
    <row r="10854" s="105" customFormat="1" spans="9:12">
      <c r="I10854" s="225"/>
      <c r="K10854" s="9"/>
      <c r="L10854" s="9"/>
    </row>
    <row r="10855" s="105" customFormat="1" spans="9:12">
      <c r="I10855" s="225"/>
      <c r="K10855" s="9"/>
      <c r="L10855" s="9"/>
    </row>
    <row r="10856" s="105" customFormat="1" spans="9:12">
      <c r="I10856" s="225"/>
      <c r="K10856" s="9"/>
      <c r="L10856" s="9"/>
    </row>
    <row r="10857" s="105" customFormat="1" spans="9:12">
      <c r="I10857" s="225"/>
      <c r="K10857" s="9"/>
      <c r="L10857" s="9"/>
    </row>
    <row r="10858" s="105" customFormat="1" spans="9:12">
      <c r="I10858" s="225"/>
      <c r="K10858" s="9"/>
      <c r="L10858" s="9"/>
    </row>
    <row r="10859" s="105" customFormat="1" spans="9:12">
      <c r="I10859" s="225"/>
      <c r="K10859" s="9"/>
      <c r="L10859" s="9"/>
    </row>
    <row r="10860" s="105" customFormat="1" spans="9:12">
      <c r="I10860" s="225"/>
      <c r="K10860" s="9"/>
      <c r="L10860" s="9"/>
    </row>
    <row r="10861" s="105" customFormat="1" spans="9:12">
      <c r="I10861" s="225"/>
      <c r="K10861" s="9"/>
      <c r="L10861" s="9"/>
    </row>
    <row r="10862" s="105" customFormat="1" spans="9:12">
      <c r="I10862" s="225"/>
      <c r="K10862" s="9"/>
      <c r="L10862" s="9"/>
    </row>
    <row r="10863" s="105" customFormat="1" spans="9:12">
      <c r="I10863" s="225"/>
      <c r="K10863" s="9"/>
      <c r="L10863" s="9"/>
    </row>
    <row r="10864" s="105" customFormat="1" spans="9:12">
      <c r="I10864" s="225"/>
      <c r="K10864" s="9"/>
      <c r="L10864" s="9"/>
    </row>
    <row r="10865" s="105" customFormat="1" spans="9:12">
      <c r="I10865" s="225"/>
      <c r="K10865" s="9"/>
      <c r="L10865" s="9"/>
    </row>
    <row r="10866" s="105" customFormat="1" spans="9:12">
      <c r="I10866" s="225"/>
      <c r="K10866" s="9"/>
      <c r="L10866" s="9"/>
    </row>
    <row r="10867" s="105" customFormat="1" spans="9:12">
      <c r="I10867" s="225"/>
      <c r="K10867" s="9"/>
      <c r="L10867" s="9"/>
    </row>
    <row r="10868" s="105" customFormat="1" spans="9:12">
      <c r="I10868" s="225"/>
      <c r="K10868" s="9"/>
      <c r="L10868" s="9"/>
    </row>
    <row r="10869" s="105" customFormat="1" spans="9:12">
      <c r="I10869" s="225"/>
      <c r="K10869" s="9"/>
      <c r="L10869" s="9"/>
    </row>
    <row r="10870" s="105" customFormat="1" spans="9:12">
      <c r="I10870" s="225"/>
      <c r="K10870" s="9"/>
      <c r="L10870" s="9"/>
    </row>
    <row r="10871" s="105" customFormat="1" spans="9:12">
      <c r="I10871" s="225"/>
      <c r="K10871" s="9"/>
      <c r="L10871" s="9"/>
    </row>
    <row r="10872" s="105" customFormat="1" spans="9:12">
      <c r="I10872" s="225"/>
      <c r="K10872" s="9"/>
      <c r="L10872" s="9"/>
    </row>
    <row r="10873" s="105" customFormat="1" spans="9:12">
      <c r="I10873" s="225"/>
      <c r="K10873" s="9"/>
      <c r="L10873" s="9"/>
    </row>
    <row r="10874" s="105" customFormat="1" spans="9:12">
      <c r="I10874" s="225"/>
      <c r="K10874" s="9"/>
      <c r="L10874" s="9"/>
    </row>
    <row r="10875" s="105" customFormat="1" spans="9:12">
      <c r="I10875" s="225"/>
      <c r="K10875" s="9"/>
      <c r="L10875" s="9"/>
    </row>
    <row r="10876" s="105" customFormat="1" spans="9:12">
      <c r="I10876" s="225"/>
      <c r="K10876" s="9"/>
      <c r="L10876" s="9"/>
    </row>
    <row r="10877" s="105" customFormat="1" spans="9:12">
      <c r="I10877" s="225"/>
      <c r="K10877" s="9"/>
      <c r="L10877" s="9"/>
    </row>
    <row r="10878" s="105" customFormat="1" spans="9:12">
      <c r="I10878" s="225"/>
      <c r="K10878" s="9"/>
      <c r="L10878" s="9"/>
    </row>
    <row r="10879" s="105" customFormat="1" spans="9:12">
      <c r="I10879" s="225"/>
      <c r="K10879" s="9"/>
      <c r="L10879" s="9"/>
    </row>
    <row r="10880" s="105" customFormat="1" spans="9:12">
      <c r="I10880" s="225"/>
      <c r="K10880" s="9"/>
      <c r="L10880" s="9"/>
    </row>
    <row r="10881" s="105" customFormat="1" spans="9:12">
      <c r="I10881" s="225"/>
      <c r="K10881" s="9"/>
      <c r="L10881" s="9"/>
    </row>
    <row r="10882" s="105" customFormat="1" spans="9:12">
      <c r="I10882" s="225"/>
      <c r="K10882" s="9"/>
      <c r="L10882" s="9"/>
    </row>
    <row r="10883" s="105" customFormat="1" spans="9:12">
      <c r="I10883" s="225"/>
      <c r="K10883" s="9"/>
      <c r="L10883" s="9"/>
    </row>
    <row r="10884" s="105" customFormat="1" spans="9:12">
      <c r="I10884" s="225"/>
      <c r="K10884" s="9"/>
      <c r="L10884" s="9"/>
    </row>
    <row r="10885" s="105" customFormat="1" spans="9:12">
      <c r="I10885" s="225"/>
      <c r="K10885" s="9"/>
      <c r="L10885" s="9"/>
    </row>
    <row r="10886" s="105" customFormat="1" spans="9:12">
      <c r="I10886" s="225"/>
      <c r="K10886" s="9"/>
      <c r="L10886" s="9"/>
    </row>
    <row r="10887" s="105" customFormat="1" spans="9:12">
      <c r="I10887" s="225"/>
      <c r="K10887" s="9"/>
      <c r="L10887" s="9"/>
    </row>
    <row r="10888" s="105" customFormat="1" spans="9:12">
      <c r="I10888" s="225"/>
      <c r="K10888" s="9"/>
      <c r="L10888" s="9"/>
    </row>
    <row r="10889" s="105" customFormat="1" spans="9:12">
      <c r="I10889" s="225"/>
      <c r="K10889" s="9"/>
      <c r="L10889" s="9"/>
    </row>
    <row r="10890" s="105" customFormat="1" spans="9:12">
      <c r="I10890" s="225"/>
      <c r="K10890" s="9"/>
      <c r="L10890" s="9"/>
    </row>
    <row r="10891" s="105" customFormat="1" spans="9:12">
      <c r="I10891" s="225"/>
      <c r="K10891" s="9"/>
      <c r="L10891" s="9"/>
    </row>
    <row r="10892" s="105" customFormat="1" spans="9:12">
      <c r="I10892" s="225"/>
      <c r="K10892" s="9"/>
      <c r="L10892" s="9"/>
    </row>
    <row r="10893" s="105" customFormat="1" spans="9:12">
      <c r="I10893" s="225"/>
      <c r="K10893" s="9"/>
      <c r="L10893" s="9"/>
    </row>
    <row r="10894" s="105" customFormat="1" spans="9:12">
      <c r="I10894" s="225"/>
      <c r="K10894" s="9"/>
      <c r="L10894" s="9"/>
    </row>
    <row r="10895" s="105" customFormat="1" spans="9:12">
      <c r="I10895" s="225"/>
      <c r="K10895" s="9"/>
      <c r="L10895" s="9"/>
    </row>
    <row r="10896" s="105" customFormat="1" spans="9:12">
      <c r="I10896" s="225"/>
      <c r="K10896" s="9"/>
      <c r="L10896" s="9"/>
    </row>
    <row r="10897" s="105" customFormat="1" spans="9:12">
      <c r="I10897" s="225"/>
      <c r="K10897" s="9"/>
      <c r="L10897" s="9"/>
    </row>
    <row r="10898" s="105" customFormat="1" spans="9:12">
      <c r="I10898" s="225"/>
      <c r="K10898" s="9"/>
      <c r="L10898" s="9"/>
    </row>
    <row r="10899" s="105" customFormat="1" spans="9:12">
      <c r="I10899" s="225"/>
      <c r="K10899" s="9"/>
      <c r="L10899" s="9"/>
    </row>
    <row r="10900" s="105" customFormat="1" spans="9:12">
      <c r="I10900" s="225"/>
      <c r="K10900" s="9"/>
      <c r="L10900" s="9"/>
    </row>
    <row r="10901" s="105" customFormat="1" spans="9:12">
      <c r="I10901" s="225"/>
      <c r="K10901" s="9"/>
      <c r="L10901" s="9"/>
    </row>
    <row r="10902" s="105" customFormat="1" spans="9:12">
      <c r="I10902" s="225"/>
      <c r="K10902" s="9"/>
      <c r="L10902" s="9"/>
    </row>
    <row r="10903" s="105" customFormat="1" spans="9:12">
      <c r="I10903" s="225"/>
      <c r="K10903" s="9"/>
      <c r="L10903" s="9"/>
    </row>
    <row r="10904" s="105" customFormat="1" spans="9:12">
      <c r="I10904" s="225"/>
      <c r="K10904" s="9"/>
      <c r="L10904" s="9"/>
    </row>
    <row r="10905" s="105" customFormat="1" spans="9:12">
      <c r="I10905" s="225"/>
      <c r="K10905" s="9"/>
      <c r="L10905" s="9"/>
    </row>
    <row r="10906" s="105" customFormat="1" spans="9:12">
      <c r="I10906" s="225"/>
      <c r="K10906" s="9"/>
      <c r="L10906" s="9"/>
    </row>
    <row r="10907" s="105" customFormat="1" spans="9:12">
      <c r="I10907" s="225"/>
      <c r="K10907" s="9"/>
      <c r="L10907" s="9"/>
    </row>
    <row r="10908" s="105" customFormat="1" spans="9:12">
      <c r="I10908" s="225"/>
      <c r="K10908" s="9"/>
      <c r="L10908" s="9"/>
    </row>
    <row r="10909" s="105" customFormat="1" spans="9:12">
      <c r="I10909" s="225"/>
      <c r="K10909" s="9"/>
      <c r="L10909" s="9"/>
    </row>
    <row r="10910" s="105" customFormat="1" spans="9:12">
      <c r="I10910" s="225"/>
      <c r="K10910" s="9"/>
      <c r="L10910" s="9"/>
    </row>
    <row r="10911" s="105" customFormat="1" spans="9:12">
      <c r="I10911" s="225"/>
      <c r="K10911" s="9"/>
      <c r="L10911" s="9"/>
    </row>
    <row r="10912" s="105" customFormat="1" spans="9:12">
      <c r="I10912" s="225"/>
      <c r="K10912" s="9"/>
      <c r="L10912" s="9"/>
    </row>
    <row r="10913" s="105" customFormat="1" spans="9:12">
      <c r="I10913" s="225"/>
      <c r="K10913" s="9"/>
      <c r="L10913" s="9"/>
    </row>
    <row r="10914" s="105" customFormat="1" spans="9:12">
      <c r="I10914" s="225"/>
      <c r="K10914" s="9"/>
      <c r="L10914" s="9"/>
    </row>
    <row r="10915" s="105" customFormat="1" spans="9:12">
      <c r="I10915" s="225"/>
      <c r="K10915" s="9"/>
      <c r="L10915" s="9"/>
    </row>
    <row r="10916" s="105" customFormat="1" spans="9:12">
      <c r="I10916" s="225"/>
      <c r="K10916" s="9"/>
      <c r="L10916" s="9"/>
    </row>
    <row r="10917" s="105" customFormat="1" spans="9:12">
      <c r="I10917" s="225"/>
      <c r="K10917" s="9"/>
      <c r="L10917" s="9"/>
    </row>
    <row r="10918" s="105" customFormat="1" spans="9:12">
      <c r="I10918" s="225"/>
      <c r="K10918" s="9"/>
      <c r="L10918" s="9"/>
    </row>
    <row r="10919" s="105" customFormat="1" spans="9:12">
      <c r="I10919" s="225"/>
      <c r="K10919" s="9"/>
      <c r="L10919" s="9"/>
    </row>
    <row r="10920" s="105" customFormat="1" spans="9:12">
      <c r="I10920" s="225"/>
      <c r="K10920" s="9"/>
      <c r="L10920" s="9"/>
    </row>
    <row r="10921" s="105" customFormat="1" spans="9:12">
      <c r="I10921" s="225"/>
      <c r="K10921" s="9"/>
      <c r="L10921" s="9"/>
    </row>
    <row r="10922" s="105" customFormat="1" spans="9:12">
      <c r="I10922" s="225"/>
      <c r="K10922" s="9"/>
      <c r="L10922" s="9"/>
    </row>
    <row r="10923" s="105" customFormat="1" spans="9:12">
      <c r="I10923" s="225"/>
      <c r="K10923" s="9"/>
      <c r="L10923" s="9"/>
    </row>
    <row r="10924" s="105" customFormat="1" spans="9:12">
      <c r="I10924" s="225"/>
      <c r="K10924" s="9"/>
      <c r="L10924" s="9"/>
    </row>
    <row r="10925" s="105" customFormat="1" spans="9:12">
      <c r="I10925" s="225"/>
      <c r="K10925" s="9"/>
      <c r="L10925" s="9"/>
    </row>
    <row r="10926" s="105" customFormat="1" spans="9:12">
      <c r="I10926" s="225"/>
      <c r="K10926" s="9"/>
      <c r="L10926" s="9"/>
    </row>
    <row r="10927" s="105" customFormat="1" spans="9:12">
      <c r="I10927" s="225"/>
      <c r="K10927" s="9"/>
      <c r="L10927" s="9"/>
    </row>
    <row r="10928" s="105" customFormat="1" spans="9:12">
      <c r="I10928" s="225"/>
      <c r="K10928" s="9"/>
      <c r="L10928" s="9"/>
    </row>
    <row r="10929" s="105" customFormat="1" spans="9:12">
      <c r="I10929" s="225"/>
      <c r="K10929" s="9"/>
      <c r="L10929" s="9"/>
    </row>
    <row r="10930" s="105" customFormat="1" spans="9:12">
      <c r="I10930" s="225"/>
      <c r="K10930" s="9"/>
      <c r="L10930" s="9"/>
    </row>
    <row r="10931" s="105" customFormat="1" spans="9:12">
      <c r="I10931" s="225"/>
      <c r="K10931" s="9"/>
      <c r="L10931" s="9"/>
    </row>
    <row r="10932" s="105" customFormat="1" spans="9:12">
      <c r="I10932" s="225"/>
      <c r="K10932" s="9"/>
      <c r="L10932" s="9"/>
    </row>
    <row r="10933" s="105" customFormat="1" spans="9:12">
      <c r="I10933" s="225"/>
      <c r="K10933" s="9"/>
      <c r="L10933" s="9"/>
    </row>
    <row r="10934" s="105" customFormat="1" spans="9:12">
      <c r="I10934" s="225"/>
      <c r="K10934" s="9"/>
      <c r="L10934" s="9"/>
    </row>
    <row r="10935" s="105" customFormat="1" spans="9:12">
      <c r="I10935" s="225"/>
      <c r="K10935" s="9"/>
      <c r="L10935" s="9"/>
    </row>
    <row r="10936" s="105" customFormat="1" spans="9:12">
      <c r="I10936" s="225"/>
      <c r="K10936" s="9"/>
      <c r="L10936" s="9"/>
    </row>
    <row r="10937" s="105" customFormat="1" spans="9:12">
      <c r="I10937" s="225"/>
      <c r="K10937" s="9"/>
      <c r="L10937" s="9"/>
    </row>
    <row r="10938" s="105" customFormat="1" spans="9:12">
      <c r="I10938" s="225"/>
      <c r="K10938" s="9"/>
      <c r="L10938" s="9"/>
    </row>
    <row r="10939" s="105" customFormat="1" spans="9:12">
      <c r="I10939" s="225"/>
      <c r="K10939" s="9"/>
      <c r="L10939" s="9"/>
    </row>
    <row r="10940" s="105" customFormat="1" spans="9:12">
      <c r="I10940" s="225"/>
      <c r="K10940" s="9"/>
      <c r="L10940" s="9"/>
    </row>
    <row r="10941" s="105" customFormat="1" spans="9:12">
      <c r="I10941" s="225"/>
      <c r="K10941" s="9"/>
      <c r="L10941" s="9"/>
    </row>
    <row r="10942" s="105" customFormat="1" spans="9:12">
      <c r="I10942" s="225"/>
      <c r="K10942" s="9"/>
      <c r="L10942" s="9"/>
    </row>
    <row r="10943" s="105" customFormat="1" spans="9:12">
      <c r="I10943" s="225"/>
      <c r="K10943" s="9"/>
      <c r="L10943" s="9"/>
    </row>
    <row r="10944" s="105" customFormat="1" spans="9:12">
      <c r="I10944" s="225"/>
      <c r="K10944" s="9"/>
      <c r="L10944" s="9"/>
    </row>
    <row r="10945" s="105" customFormat="1" spans="9:12">
      <c r="I10945" s="225"/>
      <c r="K10945" s="9"/>
      <c r="L10945" s="9"/>
    </row>
    <row r="10946" s="105" customFormat="1" spans="9:12">
      <c r="I10946" s="225"/>
      <c r="K10946" s="9"/>
      <c r="L10946" s="9"/>
    </row>
    <row r="10947" s="105" customFormat="1" spans="9:12">
      <c r="I10947" s="225"/>
      <c r="K10947" s="9"/>
      <c r="L10947" s="9"/>
    </row>
    <row r="10948" s="105" customFormat="1" spans="9:12">
      <c r="I10948" s="225"/>
      <c r="K10948" s="9"/>
      <c r="L10948" s="9"/>
    </row>
    <row r="10949" s="105" customFormat="1" spans="9:12">
      <c r="I10949" s="225"/>
      <c r="K10949" s="9"/>
      <c r="L10949" s="9"/>
    </row>
    <row r="10950" s="105" customFormat="1" spans="9:12">
      <c r="I10950" s="225"/>
      <c r="K10950" s="9"/>
      <c r="L10950" s="9"/>
    </row>
    <row r="10951" s="105" customFormat="1" spans="9:12">
      <c r="I10951" s="225"/>
      <c r="K10951" s="9"/>
      <c r="L10951" s="9"/>
    </row>
    <row r="10952" s="105" customFormat="1" spans="9:12">
      <c r="I10952" s="225"/>
      <c r="K10952" s="9"/>
      <c r="L10952" s="9"/>
    </row>
    <row r="10953" s="105" customFormat="1" spans="9:12">
      <c r="I10953" s="225"/>
      <c r="K10953" s="9"/>
      <c r="L10953" s="9"/>
    </row>
    <row r="10954" s="105" customFormat="1" spans="9:12">
      <c r="I10954" s="225"/>
      <c r="K10954" s="9"/>
      <c r="L10954" s="9"/>
    </row>
    <row r="10955" s="105" customFormat="1" spans="9:12">
      <c r="I10955" s="225"/>
      <c r="K10955" s="9"/>
      <c r="L10955" s="9"/>
    </row>
    <row r="10956" s="105" customFormat="1" spans="9:12">
      <c r="I10956" s="225"/>
      <c r="K10956" s="9"/>
      <c r="L10956" s="9"/>
    </row>
    <row r="10957" s="105" customFormat="1" spans="9:12">
      <c r="I10957" s="225"/>
      <c r="K10957" s="9"/>
      <c r="L10957" s="9"/>
    </row>
    <row r="10958" s="105" customFormat="1" spans="9:12">
      <c r="I10958" s="225"/>
      <c r="K10958" s="9"/>
      <c r="L10958" s="9"/>
    </row>
    <row r="10959" s="105" customFormat="1" spans="9:12">
      <c r="I10959" s="225"/>
      <c r="K10959" s="9"/>
      <c r="L10959" s="9"/>
    </row>
    <row r="10960" s="105" customFormat="1" spans="9:12">
      <c r="I10960" s="225"/>
      <c r="K10960" s="9"/>
      <c r="L10960" s="9"/>
    </row>
    <row r="10961" s="105" customFormat="1" spans="9:12">
      <c r="I10961" s="225"/>
      <c r="K10961" s="9"/>
      <c r="L10961" s="9"/>
    </row>
    <row r="10962" s="105" customFormat="1" spans="9:12">
      <c r="I10962" s="225"/>
      <c r="K10962" s="9"/>
      <c r="L10962" s="9"/>
    </row>
    <row r="10963" s="105" customFormat="1" spans="9:12">
      <c r="I10963" s="225"/>
      <c r="K10963" s="9"/>
      <c r="L10963" s="9"/>
    </row>
    <row r="10964" s="105" customFormat="1" spans="9:12">
      <c r="I10964" s="225"/>
      <c r="K10964" s="9"/>
      <c r="L10964" s="9"/>
    </row>
    <row r="10965" s="105" customFormat="1" spans="9:12">
      <c r="I10965" s="225"/>
      <c r="K10965" s="9"/>
      <c r="L10965" s="9"/>
    </row>
    <row r="10966" s="105" customFormat="1" spans="9:12">
      <c r="I10966" s="225"/>
      <c r="K10966" s="9"/>
      <c r="L10966" s="9"/>
    </row>
    <row r="10967" s="105" customFormat="1" spans="9:12">
      <c r="I10967" s="225"/>
      <c r="K10967" s="9"/>
      <c r="L10967" s="9"/>
    </row>
    <row r="10968" s="105" customFormat="1" spans="9:12">
      <c r="I10968" s="225"/>
      <c r="K10968" s="9"/>
      <c r="L10968" s="9"/>
    </row>
    <row r="10969" s="105" customFormat="1" spans="9:12">
      <c r="I10969" s="225"/>
      <c r="K10969" s="9"/>
      <c r="L10969" s="9"/>
    </row>
    <row r="10970" s="105" customFormat="1" spans="9:12">
      <c r="I10970" s="225"/>
      <c r="K10970" s="9"/>
      <c r="L10970" s="9"/>
    </row>
    <row r="10971" s="105" customFormat="1" spans="9:12">
      <c r="I10971" s="225"/>
      <c r="K10971" s="9"/>
      <c r="L10971" s="9"/>
    </row>
    <row r="10972" s="105" customFormat="1" spans="9:12">
      <c r="I10972" s="225"/>
      <c r="K10972" s="9"/>
      <c r="L10972" s="9"/>
    </row>
    <row r="10973" s="105" customFormat="1" spans="9:12">
      <c r="I10973" s="225"/>
      <c r="K10973" s="9"/>
      <c r="L10973" s="9"/>
    </row>
    <row r="10974" s="105" customFormat="1" spans="9:12">
      <c r="I10974" s="225"/>
      <c r="K10974" s="9"/>
      <c r="L10974" s="9"/>
    </row>
    <row r="10975" s="105" customFormat="1" spans="9:12">
      <c r="I10975" s="225"/>
      <c r="K10975" s="9"/>
      <c r="L10975" s="9"/>
    </row>
    <row r="10976" s="105" customFormat="1" spans="9:12">
      <c r="I10976" s="225"/>
      <c r="K10976" s="9"/>
      <c r="L10976" s="9"/>
    </row>
    <row r="10977" s="105" customFormat="1" spans="9:12">
      <c r="I10977" s="225"/>
      <c r="K10977" s="9"/>
      <c r="L10977" s="9"/>
    </row>
    <row r="10978" s="105" customFormat="1" spans="9:12">
      <c r="I10978" s="225"/>
      <c r="K10978" s="9"/>
      <c r="L10978" s="9"/>
    </row>
    <row r="10979" s="105" customFormat="1" spans="9:12">
      <c r="I10979" s="225"/>
      <c r="K10979" s="9"/>
      <c r="L10979" s="9"/>
    </row>
    <row r="10980" s="105" customFormat="1" spans="9:12">
      <c r="I10980" s="225"/>
      <c r="K10980" s="9"/>
      <c r="L10980" s="9"/>
    </row>
    <row r="10981" s="105" customFormat="1" spans="9:12">
      <c r="I10981" s="225"/>
      <c r="K10981" s="9"/>
      <c r="L10981" s="9"/>
    </row>
    <row r="10982" s="105" customFormat="1" spans="9:12">
      <c r="I10982" s="225"/>
      <c r="K10982" s="9"/>
      <c r="L10982" s="9"/>
    </row>
    <row r="10983" s="105" customFormat="1" spans="9:12">
      <c r="I10983" s="225"/>
      <c r="K10983" s="9"/>
      <c r="L10983" s="9"/>
    </row>
    <row r="10984" s="105" customFormat="1" spans="9:12">
      <c r="I10984" s="225"/>
      <c r="K10984" s="9"/>
      <c r="L10984" s="9"/>
    </row>
    <row r="10985" s="105" customFormat="1" spans="9:12">
      <c r="I10985" s="225"/>
      <c r="K10985" s="9"/>
      <c r="L10985" s="9"/>
    </row>
    <row r="10986" s="105" customFormat="1" spans="9:12">
      <c r="I10986" s="225"/>
      <c r="K10986" s="9"/>
      <c r="L10986" s="9"/>
    </row>
    <row r="10987" s="105" customFormat="1" spans="9:12">
      <c r="I10987" s="225"/>
      <c r="K10987" s="9"/>
      <c r="L10987" s="9"/>
    </row>
    <row r="10988" s="105" customFormat="1" spans="9:12">
      <c r="I10988" s="225"/>
      <c r="K10988" s="9"/>
      <c r="L10988" s="9"/>
    </row>
    <row r="10989" s="105" customFormat="1" spans="9:12">
      <c r="I10989" s="225"/>
      <c r="K10989" s="9"/>
      <c r="L10989" s="9"/>
    </row>
    <row r="10990" s="105" customFormat="1" spans="9:12">
      <c r="I10990" s="225"/>
      <c r="K10990" s="9"/>
      <c r="L10990" s="9"/>
    </row>
    <row r="10991" s="105" customFormat="1" spans="9:12">
      <c r="I10991" s="225"/>
      <c r="K10991" s="9"/>
      <c r="L10991" s="9"/>
    </row>
    <row r="10992" s="105" customFormat="1" spans="9:12">
      <c r="I10992" s="225"/>
      <c r="K10992" s="9"/>
      <c r="L10992" s="9"/>
    </row>
    <row r="10993" s="105" customFormat="1" spans="9:12">
      <c r="I10993" s="225"/>
      <c r="K10993" s="9"/>
      <c r="L10993" s="9"/>
    </row>
    <row r="10994" s="105" customFormat="1" spans="9:12">
      <c r="I10994" s="225"/>
      <c r="K10994" s="9"/>
      <c r="L10994" s="9"/>
    </row>
    <row r="10995" s="105" customFormat="1" spans="9:12">
      <c r="I10995" s="225"/>
      <c r="K10995" s="9"/>
      <c r="L10995" s="9"/>
    </row>
    <row r="10996" s="105" customFormat="1" spans="9:12">
      <c r="I10996" s="225"/>
      <c r="K10996" s="9"/>
      <c r="L10996" s="9"/>
    </row>
    <row r="10997" s="105" customFormat="1" spans="9:12">
      <c r="I10997" s="225"/>
      <c r="K10997" s="9"/>
      <c r="L10997" s="9"/>
    </row>
    <row r="10998" s="105" customFormat="1" spans="9:12">
      <c r="I10998" s="225"/>
      <c r="K10998" s="9"/>
      <c r="L10998" s="9"/>
    </row>
    <row r="10999" s="105" customFormat="1" spans="9:12">
      <c r="I10999" s="225"/>
      <c r="K10999" s="9"/>
      <c r="L10999" s="9"/>
    </row>
    <row r="11000" s="105" customFormat="1" spans="9:12">
      <c r="I11000" s="225"/>
      <c r="K11000" s="9"/>
      <c r="L11000" s="9"/>
    </row>
    <row r="11001" s="105" customFormat="1" spans="9:12">
      <c r="I11001" s="225"/>
      <c r="K11001" s="9"/>
      <c r="L11001" s="9"/>
    </row>
    <row r="11002" s="105" customFormat="1" spans="9:12">
      <c r="I11002" s="225"/>
      <c r="K11002" s="9"/>
      <c r="L11002" s="9"/>
    </row>
    <row r="11003" s="105" customFormat="1" spans="9:12">
      <c r="I11003" s="225"/>
      <c r="K11003" s="9"/>
      <c r="L11003" s="9"/>
    </row>
    <row r="11004" s="105" customFormat="1" spans="9:12">
      <c r="I11004" s="225"/>
      <c r="K11004" s="9"/>
      <c r="L11004" s="9"/>
    </row>
    <row r="11005" s="105" customFormat="1" spans="9:12">
      <c r="I11005" s="225"/>
      <c r="K11005" s="9"/>
      <c r="L11005" s="9"/>
    </row>
    <row r="11006" s="105" customFormat="1" spans="9:12">
      <c r="I11006" s="225"/>
      <c r="K11006" s="9"/>
      <c r="L11006" s="9"/>
    </row>
    <row r="11007" s="105" customFormat="1" spans="9:12">
      <c r="I11007" s="225"/>
      <c r="K11007" s="9"/>
      <c r="L11007" s="9"/>
    </row>
    <row r="11008" s="105" customFormat="1" spans="9:12">
      <c r="I11008" s="225"/>
      <c r="K11008" s="9"/>
      <c r="L11008" s="9"/>
    </row>
    <row r="11009" s="105" customFormat="1" spans="9:12">
      <c r="I11009" s="225"/>
      <c r="K11009" s="9"/>
      <c r="L11009" s="9"/>
    </row>
    <row r="11010" s="105" customFormat="1" spans="9:12">
      <c r="I11010" s="225"/>
      <c r="K11010" s="9"/>
      <c r="L11010" s="9"/>
    </row>
    <row r="11011" s="105" customFormat="1" spans="9:12">
      <c r="I11011" s="225"/>
      <c r="K11011" s="9"/>
      <c r="L11011" s="9"/>
    </row>
    <row r="11012" s="105" customFormat="1" spans="9:12">
      <c r="I11012" s="225"/>
      <c r="K11012" s="9"/>
      <c r="L11012" s="9"/>
    </row>
    <row r="11013" s="105" customFormat="1" spans="9:12">
      <c r="I11013" s="225"/>
      <c r="K11013" s="9"/>
      <c r="L11013" s="9"/>
    </row>
    <row r="11014" s="105" customFormat="1" spans="9:12">
      <c r="I11014" s="225"/>
      <c r="K11014" s="9"/>
      <c r="L11014" s="9"/>
    </row>
    <row r="11015" s="105" customFormat="1" spans="9:12">
      <c r="I11015" s="225"/>
      <c r="K11015" s="9"/>
      <c r="L11015" s="9"/>
    </row>
    <row r="11016" s="105" customFormat="1" spans="9:12">
      <c r="I11016" s="225"/>
      <c r="K11016" s="9"/>
      <c r="L11016" s="9"/>
    </row>
    <row r="11017" s="105" customFormat="1" spans="9:12">
      <c r="I11017" s="225"/>
      <c r="K11017" s="9"/>
      <c r="L11017" s="9"/>
    </row>
    <row r="11018" s="105" customFormat="1" spans="9:12">
      <c r="I11018" s="225"/>
      <c r="K11018" s="9"/>
      <c r="L11018" s="9"/>
    </row>
    <row r="11019" s="105" customFormat="1" spans="9:12">
      <c r="I11019" s="225"/>
      <c r="K11019" s="9"/>
      <c r="L11019" s="9"/>
    </row>
    <row r="11020" s="105" customFormat="1" spans="9:12">
      <c r="I11020" s="225"/>
      <c r="K11020" s="9"/>
      <c r="L11020" s="9"/>
    </row>
    <row r="11021" s="105" customFormat="1" spans="9:12">
      <c r="I11021" s="225"/>
      <c r="K11021" s="9"/>
      <c r="L11021" s="9"/>
    </row>
    <row r="11022" s="105" customFormat="1" spans="9:12">
      <c r="I11022" s="225"/>
      <c r="K11022" s="9"/>
      <c r="L11022" s="9"/>
    </row>
    <row r="11023" s="105" customFormat="1" spans="9:12">
      <c r="I11023" s="225"/>
      <c r="K11023" s="9"/>
      <c r="L11023" s="9"/>
    </row>
    <row r="11024" s="105" customFormat="1" spans="9:12">
      <c r="I11024" s="225"/>
      <c r="K11024" s="9"/>
      <c r="L11024" s="9"/>
    </row>
    <row r="11025" s="105" customFormat="1" spans="9:12">
      <c r="I11025" s="225"/>
      <c r="K11025" s="9"/>
      <c r="L11025" s="9"/>
    </row>
    <row r="11026" s="105" customFormat="1" spans="9:12">
      <c r="I11026" s="225"/>
      <c r="K11026" s="9"/>
      <c r="L11026" s="9"/>
    </row>
    <row r="11027" s="105" customFormat="1" spans="9:12">
      <c r="I11027" s="225"/>
      <c r="K11027" s="9"/>
      <c r="L11027" s="9"/>
    </row>
    <row r="11028" s="105" customFormat="1" spans="9:12">
      <c r="I11028" s="225"/>
      <c r="K11028" s="9"/>
      <c r="L11028" s="9"/>
    </row>
    <row r="11029" s="105" customFormat="1" spans="9:12">
      <c r="I11029" s="225"/>
      <c r="K11029" s="9"/>
      <c r="L11029" s="9"/>
    </row>
    <row r="11030" s="105" customFormat="1" spans="9:12">
      <c r="I11030" s="225"/>
      <c r="K11030" s="9"/>
      <c r="L11030" s="9"/>
    </row>
    <row r="11031" s="105" customFormat="1" spans="9:12">
      <c r="I11031" s="225"/>
      <c r="K11031" s="9"/>
      <c r="L11031" s="9"/>
    </row>
    <row r="11032" s="105" customFormat="1" spans="9:12">
      <c r="I11032" s="225"/>
      <c r="K11032" s="9"/>
      <c r="L11032" s="9"/>
    </row>
    <row r="11033" s="105" customFormat="1" spans="9:12">
      <c r="I11033" s="225"/>
      <c r="K11033" s="9"/>
      <c r="L11033" s="9"/>
    </row>
    <row r="11034" s="105" customFormat="1" spans="9:12">
      <c r="I11034" s="225"/>
      <c r="K11034" s="9"/>
      <c r="L11034" s="9"/>
    </row>
    <row r="11035" s="105" customFormat="1" spans="9:12">
      <c r="I11035" s="225"/>
      <c r="K11035" s="9"/>
      <c r="L11035" s="9"/>
    </row>
    <row r="11036" s="105" customFormat="1" spans="9:12">
      <c r="I11036" s="225"/>
      <c r="K11036" s="9"/>
      <c r="L11036" s="9"/>
    </row>
    <row r="11037" s="105" customFormat="1" spans="9:12">
      <c r="I11037" s="225"/>
      <c r="K11037" s="9"/>
      <c r="L11037" s="9"/>
    </row>
    <row r="11038" s="105" customFormat="1" spans="9:12">
      <c r="I11038" s="225"/>
      <c r="K11038" s="9"/>
      <c r="L11038" s="9"/>
    </row>
    <row r="11039" s="105" customFormat="1" spans="9:12">
      <c r="I11039" s="225"/>
      <c r="K11039" s="9"/>
      <c r="L11039" s="9"/>
    </row>
    <row r="11040" s="105" customFormat="1" spans="9:12">
      <c r="I11040" s="225"/>
      <c r="K11040" s="9"/>
      <c r="L11040" s="9"/>
    </row>
    <row r="11041" s="105" customFormat="1" spans="9:12">
      <c r="I11041" s="225"/>
      <c r="K11041" s="9"/>
      <c r="L11041" s="9"/>
    </row>
    <row r="11042" s="105" customFormat="1" spans="9:12">
      <c r="I11042" s="225"/>
      <c r="K11042" s="9"/>
      <c r="L11042" s="9"/>
    </row>
    <row r="11043" s="105" customFormat="1" spans="9:12">
      <c r="I11043" s="225"/>
      <c r="K11043" s="9"/>
      <c r="L11043" s="9"/>
    </row>
    <row r="11044" s="105" customFormat="1" spans="9:12">
      <c r="I11044" s="225"/>
      <c r="K11044" s="9"/>
      <c r="L11044" s="9"/>
    </row>
    <row r="11045" s="105" customFormat="1" spans="9:12">
      <c r="I11045" s="225"/>
      <c r="K11045" s="9"/>
      <c r="L11045" s="9"/>
    </row>
    <row r="11046" s="105" customFormat="1" spans="9:12">
      <c r="I11046" s="225"/>
      <c r="K11046" s="9"/>
      <c r="L11046" s="9"/>
    </row>
    <row r="11047" s="105" customFormat="1" spans="9:12">
      <c r="I11047" s="225"/>
      <c r="K11047" s="9"/>
      <c r="L11047" s="9"/>
    </row>
    <row r="11048" s="105" customFormat="1" spans="9:12">
      <c r="I11048" s="225"/>
      <c r="K11048" s="9"/>
      <c r="L11048" s="9"/>
    </row>
    <row r="11049" s="105" customFormat="1" spans="9:12">
      <c r="I11049" s="225"/>
      <c r="K11049" s="9"/>
      <c r="L11049" s="9"/>
    </row>
    <row r="11050" s="105" customFormat="1" spans="9:12">
      <c r="I11050" s="225"/>
      <c r="K11050" s="9"/>
      <c r="L11050" s="9"/>
    </row>
    <row r="11051" s="105" customFormat="1" spans="9:12">
      <c r="I11051" s="225"/>
      <c r="K11051" s="9"/>
      <c r="L11051" s="9"/>
    </row>
    <row r="11052" s="105" customFormat="1" spans="9:12">
      <c r="I11052" s="225"/>
      <c r="K11052" s="9"/>
      <c r="L11052" s="9"/>
    </row>
    <row r="11053" s="105" customFormat="1" spans="9:12">
      <c r="I11053" s="225"/>
      <c r="K11053" s="9"/>
      <c r="L11053" s="9"/>
    </row>
    <row r="11054" s="105" customFormat="1" spans="9:12">
      <c r="I11054" s="225"/>
      <c r="K11054" s="9"/>
      <c r="L11054" s="9"/>
    </row>
    <row r="11055" s="105" customFormat="1" spans="9:12">
      <c r="I11055" s="225"/>
      <c r="K11055" s="9"/>
      <c r="L11055" s="9"/>
    </row>
    <row r="11056" s="105" customFormat="1" spans="9:12">
      <c r="I11056" s="225"/>
      <c r="K11056" s="9"/>
      <c r="L11056" s="9"/>
    </row>
    <row r="11057" s="105" customFormat="1" spans="9:12">
      <c r="I11057" s="225"/>
      <c r="K11057" s="9"/>
      <c r="L11057" s="9"/>
    </row>
    <row r="11058" s="105" customFormat="1" spans="9:12">
      <c r="I11058" s="225"/>
      <c r="K11058" s="9"/>
      <c r="L11058" s="9"/>
    </row>
    <row r="11059" s="105" customFormat="1" spans="9:12">
      <c r="I11059" s="225"/>
      <c r="K11059" s="9"/>
      <c r="L11059" s="9"/>
    </row>
    <row r="11060" s="105" customFormat="1" spans="9:12">
      <c r="I11060" s="225"/>
      <c r="K11060" s="9"/>
      <c r="L11060" s="9"/>
    </row>
    <row r="11061" s="105" customFormat="1" spans="9:12">
      <c r="I11061" s="225"/>
      <c r="K11061" s="9"/>
      <c r="L11061" s="9"/>
    </row>
    <row r="11062" s="105" customFormat="1" spans="9:12">
      <c r="I11062" s="225"/>
      <c r="K11062" s="9"/>
      <c r="L11062" s="9"/>
    </row>
    <row r="11063" s="105" customFormat="1" spans="9:12">
      <c r="I11063" s="225"/>
      <c r="K11063" s="9"/>
      <c r="L11063" s="9"/>
    </row>
    <row r="11064" s="105" customFormat="1" spans="9:12">
      <c r="I11064" s="225"/>
      <c r="K11064" s="9"/>
      <c r="L11064" s="9"/>
    </row>
    <row r="11065" s="105" customFormat="1" spans="9:12">
      <c r="I11065" s="225"/>
      <c r="K11065" s="9"/>
      <c r="L11065" s="9"/>
    </row>
    <row r="11066" s="105" customFormat="1" spans="9:12">
      <c r="I11066" s="225"/>
      <c r="K11066" s="9"/>
      <c r="L11066" s="9"/>
    </row>
    <row r="11067" s="105" customFormat="1" spans="9:12">
      <c r="I11067" s="225"/>
      <c r="K11067" s="9"/>
      <c r="L11067" s="9"/>
    </row>
    <row r="11068" s="105" customFormat="1" spans="9:12">
      <c r="I11068" s="225"/>
      <c r="K11068" s="9"/>
      <c r="L11068" s="9"/>
    </row>
    <row r="11069" s="105" customFormat="1" spans="9:12">
      <c r="I11069" s="225"/>
      <c r="K11069" s="9"/>
      <c r="L11069" s="9"/>
    </row>
    <row r="11070" s="105" customFormat="1" spans="9:12">
      <c r="I11070" s="225"/>
      <c r="K11070" s="9"/>
      <c r="L11070" s="9"/>
    </row>
    <row r="11071" s="105" customFormat="1" spans="9:12">
      <c r="I11071" s="225"/>
      <c r="K11071" s="9"/>
      <c r="L11071" s="9"/>
    </row>
    <row r="11072" s="105" customFormat="1" spans="9:12">
      <c r="I11072" s="225"/>
      <c r="K11072" s="9"/>
      <c r="L11072" s="9"/>
    </row>
    <row r="11073" s="105" customFormat="1" spans="9:12">
      <c r="I11073" s="225"/>
      <c r="K11073" s="9"/>
      <c r="L11073" s="9"/>
    </row>
    <row r="11074" s="105" customFormat="1" spans="9:12">
      <c r="I11074" s="225"/>
      <c r="K11074" s="9"/>
      <c r="L11074" s="9"/>
    </row>
    <row r="11075" s="105" customFormat="1" spans="9:12">
      <c r="I11075" s="225"/>
      <c r="K11075" s="9"/>
      <c r="L11075" s="9"/>
    </row>
    <row r="11076" s="105" customFormat="1" spans="9:12">
      <c r="I11076" s="225"/>
      <c r="K11076" s="9"/>
      <c r="L11076" s="9"/>
    </row>
    <row r="11077" s="105" customFormat="1" spans="9:12">
      <c r="I11077" s="225"/>
      <c r="K11077" s="9"/>
      <c r="L11077" s="9"/>
    </row>
    <row r="11078" s="105" customFormat="1" spans="9:12">
      <c r="I11078" s="225"/>
      <c r="K11078" s="9"/>
      <c r="L11078" s="9"/>
    </row>
    <row r="11079" s="105" customFormat="1" spans="9:12">
      <c r="I11079" s="225"/>
      <c r="K11079" s="9"/>
      <c r="L11079" s="9"/>
    </row>
    <row r="11080" s="105" customFormat="1" spans="9:12">
      <c r="I11080" s="225"/>
      <c r="K11080" s="9"/>
      <c r="L11080" s="9"/>
    </row>
    <row r="11081" s="105" customFormat="1" spans="9:12">
      <c r="I11081" s="225"/>
      <c r="K11081" s="9"/>
      <c r="L11081" s="9"/>
    </row>
    <row r="11082" s="105" customFormat="1" spans="9:12">
      <c r="I11082" s="225"/>
      <c r="K11082" s="9"/>
      <c r="L11082" s="9"/>
    </row>
    <row r="11083" s="105" customFormat="1" spans="9:12">
      <c r="I11083" s="225"/>
      <c r="K11083" s="9"/>
      <c r="L11083" s="9"/>
    </row>
    <row r="11084" s="105" customFormat="1" spans="9:12">
      <c r="I11084" s="225"/>
      <c r="K11084" s="9"/>
      <c r="L11084" s="9"/>
    </row>
    <row r="11085" s="105" customFormat="1" spans="9:12">
      <c r="I11085" s="225"/>
      <c r="K11085" s="9"/>
      <c r="L11085" s="9"/>
    </row>
    <row r="11086" s="105" customFormat="1" spans="9:12">
      <c r="I11086" s="225"/>
      <c r="K11086" s="9"/>
      <c r="L11086" s="9"/>
    </row>
    <row r="11087" s="105" customFormat="1" spans="9:12">
      <c r="I11087" s="225"/>
      <c r="K11087" s="9"/>
      <c r="L11087" s="9"/>
    </row>
    <row r="11088" s="105" customFormat="1" spans="9:12">
      <c r="I11088" s="225"/>
      <c r="K11088" s="9"/>
      <c r="L11088" s="9"/>
    </row>
    <row r="11089" s="105" customFormat="1" spans="9:12">
      <c r="I11089" s="225"/>
      <c r="K11089" s="9"/>
      <c r="L11089" s="9"/>
    </row>
    <row r="11090" s="105" customFormat="1" spans="9:12">
      <c r="I11090" s="225"/>
      <c r="K11090" s="9"/>
      <c r="L11090" s="9"/>
    </row>
    <row r="11091" s="105" customFormat="1" spans="9:12">
      <c r="I11091" s="225"/>
      <c r="K11091" s="9"/>
      <c r="L11091" s="9"/>
    </row>
    <row r="11092" s="105" customFormat="1" spans="9:12">
      <c r="I11092" s="225"/>
      <c r="K11092" s="9"/>
      <c r="L11092" s="9"/>
    </row>
    <row r="11093" s="105" customFormat="1" spans="9:12">
      <c r="I11093" s="225"/>
      <c r="K11093" s="9"/>
      <c r="L11093" s="9"/>
    </row>
    <row r="11094" s="105" customFormat="1" spans="9:12">
      <c r="I11094" s="225"/>
      <c r="K11094" s="9"/>
      <c r="L11094" s="9"/>
    </row>
    <row r="11095" s="105" customFormat="1" spans="9:12">
      <c r="I11095" s="225"/>
      <c r="K11095" s="9"/>
      <c r="L11095" s="9"/>
    </row>
    <row r="11096" s="105" customFormat="1" spans="9:12">
      <c r="I11096" s="225"/>
      <c r="K11096" s="9"/>
      <c r="L11096" s="9"/>
    </row>
    <row r="11097" s="105" customFormat="1" spans="9:12">
      <c r="I11097" s="225"/>
      <c r="K11097" s="9"/>
      <c r="L11097" s="9"/>
    </row>
    <row r="11098" s="105" customFormat="1" spans="9:12">
      <c r="I11098" s="225"/>
      <c r="K11098" s="9"/>
      <c r="L11098" s="9"/>
    </row>
    <row r="11099" s="105" customFormat="1" spans="9:12">
      <c r="I11099" s="225"/>
      <c r="K11099" s="9"/>
      <c r="L11099" s="9"/>
    </row>
    <row r="11100" s="105" customFormat="1" spans="9:12">
      <c r="I11100" s="225"/>
      <c r="K11100" s="9"/>
      <c r="L11100" s="9"/>
    </row>
    <row r="11101" s="105" customFormat="1" spans="9:12">
      <c r="I11101" s="225"/>
      <c r="K11101" s="9"/>
      <c r="L11101" s="9"/>
    </row>
    <row r="11102" s="105" customFormat="1" spans="9:12">
      <c r="I11102" s="225"/>
      <c r="K11102" s="9"/>
      <c r="L11102" s="9"/>
    </row>
    <row r="11103" s="105" customFormat="1" spans="9:12">
      <c r="I11103" s="225"/>
      <c r="K11103" s="9"/>
      <c r="L11103" s="9"/>
    </row>
    <row r="11104" s="105" customFormat="1" spans="9:12">
      <c r="I11104" s="225"/>
      <c r="K11104" s="9"/>
      <c r="L11104" s="9"/>
    </row>
    <row r="11105" s="105" customFormat="1" spans="9:12">
      <c r="I11105" s="225"/>
      <c r="K11105" s="9"/>
      <c r="L11105" s="9"/>
    </row>
    <row r="11106" s="105" customFormat="1" spans="9:12">
      <c r="I11106" s="225"/>
      <c r="K11106" s="9"/>
      <c r="L11106" s="9"/>
    </row>
    <row r="11107" s="105" customFormat="1" spans="9:12">
      <c r="I11107" s="225"/>
      <c r="K11107" s="9"/>
      <c r="L11107" s="9"/>
    </row>
    <row r="11108" s="105" customFormat="1" spans="9:12">
      <c r="I11108" s="225"/>
      <c r="K11108" s="9"/>
      <c r="L11108" s="9"/>
    </row>
    <row r="11109" s="105" customFormat="1" spans="9:12">
      <c r="I11109" s="225"/>
      <c r="K11109" s="9"/>
      <c r="L11109" s="9"/>
    </row>
    <row r="11110" s="105" customFormat="1" spans="9:12">
      <c r="I11110" s="225"/>
      <c r="K11110" s="9"/>
      <c r="L11110" s="9"/>
    </row>
    <row r="11111" s="105" customFormat="1" spans="9:12">
      <c r="I11111" s="225"/>
      <c r="K11111" s="9"/>
      <c r="L11111" s="9"/>
    </row>
    <row r="11112" s="105" customFormat="1" spans="9:12">
      <c r="I11112" s="225"/>
      <c r="K11112" s="9"/>
      <c r="L11112" s="9"/>
    </row>
    <row r="11113" s="105" customFormat="1" spans="9:12">
      <c r="I11113" s="225"/>
      <c r="K11113" s="9"/>
      <c r="L11113" s="9"/>
    </row>
    <row r="11114" s="105" customFormat="1" spans="9:12">
      <c r="I11114" s="225"/>
      <c r="K11114" s="9"/>
      <c r="L11114" s="9"/>
    </row>
    <row r="11115" s="105" customFormat="1" spans="9:12">
      <c r="I11115" s="225"/>
      <c r="K11115" s="9"/>
      <c r="L11115" s="9"/>
    </row>
    <row r="11116" s="105" customFormat="1" spans="9:12">
      <c r="I11116" s="225"/>
      <c r="K11116" s="9"/>
      <c r="L11116" s="9"/>
    </row>
    <row r="11117" s="105" customFormat="1" spans="9:12">
      <c r="I11117" s="225"/>
      <c r="K11117" s="9"/>
      <c r="L11117" s="9"/>
    </row>
    <row r="11118" s="105" customFormat="1" spans="9:12">
      <c r="I11118" s="225"/>
      <c r="K11118" s="9"/>
      <c r="L11118" s="9"/>
    </row>
    <row r="11119" s="105" customFormat="1" spans="9:12">
      <c r="I11119" s="225"/>
      <c r="K11119" s="9"/>
      <c r="L11119" s="9"/>
    </row>
    <row r="11120" s="105" customFormat="1" spans="9:12">
      <c r="I11120" s="225"/>
      <c r="K11120" s="9"/>
      <c r="L11120" s="9"/>
    </row>
    <row r="11121" s="105" customFormat="1" spans="9:12">
      <c r="I11121" s="225"/>
      <c r="K11121" s="9"/>
      <c r="L11121" s="9"/>
    </row>
    <row r="11122" s="105" customFormat="1" spans="9:12">
      <c r="I11122" s="225"/>
      <c r="K11122" s="9"/>
      <c r="L11122" s="9"/>
    </row>
    <row r="11123" s="105" customFormat="1" spans="9:12">
      <c r="I11123" s="225"/>
      <c r="K11123" s="9"/>
      <c r="L11123" s="9"/>
    </row>
    <row r="11124" s="105" customFormat="1" spans="9:12">
      <c r="I11124" s="225"/>
      <c r="K11124" s="9"/>
      <c r="L11124" s="9"/>
    </row>
    <row r="11125" s="105" customFormat="1" spans="9:12">
      <c r="I11125" s="225"/>
      <c r="K11125" s="9"/>
      <c r="L11125" s="9"/>
    </row>
    <row r="11126" s="105" customFormat="1" spans="9:12">
      <c r="I11126" s="225"/>
      <c r="K11126" s="9"/>
      <c r="L11126" s="9"/>
    </row>
    <row r="11127" s="105" customFormat="1" spans="9:12">
      <c r="I11127" s="225"/>
      <c r="K11127" s="9"/>
      <c r="L11127" s="9"/>
    </row>
    <row r="11128" s="105" customFormat="1" spans="9:12">
      <c r="I11128" s="225"/>
      <c r="K11128" s="9"/>
      <c r="L11128" s="9"/>
    </row>
    <row r="11129" s="105" customFormat="1" spans="9:12">
      <c r="I11129" s="225"/>
      <c r="K11129" s="9"/>
      <c r="L11129" s="9"/>
    </row>
    <row r="11130" s="105" customFormat="1" spans="9:12">
      <c r="I11130" s="225"/>
      <c r="K11130" s="9"/>
      <c r="L11130" s="9"/>
    </row>
    <row r="11131" s="105" customFormat="1" spans="9:12">
      <c r="I11131" s="225"/>
      <c r="K11131" s="9"/>
      <c r="L11131" s="9"/>
    </row>
    <row r="11132" s="105" customFormat="1" spans="9:12">
      <c r="I11132" s="225"/>
      <c r="K11132" s="9"/>
      <c r="L11132" s="9"/>
    </row>
    <row r="11133" s="105" customFormat="1" spans="9:12">
      <c r="I11133" s="225"/>
      <c r="K11133" s="9"/>
      <c r="L11133" s="9"/>
    </row>
    <row r="11134" s="105" customFormat="1" spans="9:12">
      <c r="I11134" s="225"/>
      <c r="K11134" s="9"/>
      <c r="L11134" s="9"/>
    </row>
    <row r="11135" s="105" customFormat="1" spans="9:12">
      <c r="I11135" s="225"/>
      <c r="K11135" s="9"/>
      <c r="L11135" s="9"/>
    </row>
    <row r="11136" s="105" customFormat="1" spans="9:12">
      <c r="I11136" s="225"/>
      <c r="K11136" s="9"/>
      <c r="L11136" s="9"/>
    </row>
    <row r="11137" s="105" customFormat="1" spans="9:12">
      <c r="I11137" s="225"/>
      <c r="K11137" s="9"/>
      <c r="L11137" s="9"/>
    </row>
    <row r="11138" s="105" customFormat="1" spans="9:12">
      <c r="I11138" s="225"/>
      <c r="K11138" s="9"/>
      <c r="L11138" s="9"/>
    </row>
    <row r="11139" s="105" customFormat="1" spans="9:12">
      <c r="I11139" s="225"/>
      <c r="K11139" s="9"/>
      <c r="L11139" s="9"/>
    </row>
    <row r="11140" s="105" customFormat="1" spans="9:12">
      <c r="I11140" s="225"/>
      <c r="K11140" s="9"/>
      <c r="L11140" s="9"/>
    </row>
    <row r="11141" s="105" customFormat="1" spans="9:12">
      <c r="I11141" s="225"/>
      <c r="K11141" s="9"/>
      <c r="L11141" s="9"/>
    </row>
    <row r="11142" s="105" customFormat="1" spans="9:12">
      <c r="I11142" s="225"/>
      <c r="K11142" s="9"/>
      <c r="L11142" s="9"/>
    </row>
    <row r="11143" s="105" customFormat="1" spans="9:12">
      <c r="I11143" s="225"/>
      <c r="K11143" s="9"/>
      <c r="L11143" s="9"/>
    </row>
    <row r="11144" s="105" customFormat="1" spans="9:12">
      <c r="I11144" s="225"/>
      <c r="K11144" s="9"/>
      <c r="L11144" s="9"/>
    </row>
    <row r="11145" s="105" customFormat="1" spans="9:12">
      <c r="I11145" s="225"/>
      <c r="K11145" s="9"/>
      <c r="L11145" s="9"/>
    </row>
    <row r="11146" s="105" customFormat="1" spans="9:12">
      <c r="I11146" s="225"/>
      <c r="K11146" s="9"/>
      <c r="L11146" s="9"/>
    </row>
    <row r="11147" s="105" customFormat="1" spans="9:12">
      <c r="I11147" s="225"/>
      <c r="K11147" s="9"/>
      <c r="L11147" s="9"/>
    </row>
    <row r="11148" s="105" customFormat="1" spans="9:12">
      <c r="I11148" s="225"/>
      <c r="K11148" s="9"/>
      <c r="L11148" s="9"/>
    </row>
    <row r="11149" s="105" customFormat="1" spans="9:12">
      <c r="I11149" s="225"/>
      <c r="K11149" s="9"/>
      <c r="L11149" s="9"/>
    </row>
    <row r="11150" s="105" customFormat="1" spans="9:12">
      <c r="I11150" s="225"/>
      <c r="K11150" s="9"/>
      <c r="L11150" s="9"/>
    </row>
    <row r="11151" s="105" customFormat="1" spans="9:12">
      <c r="I11151" s="225"/>
      <c r="K11151" s="9"/>
      <c r="L11151" s="9"/>
    </row>
    <row r="11152" s="105" customFormat="1" spans="9:12">
      <c r="I11152" s="225"/>
      <c r="K11152" s="9"/>
      <c r="L11152" s="9"/>
    </row>
    <row r="11153" s="105" customFormat="1" spans="9:12">
      <c r="I11153" s="225"/>
      <c r="K11153" s="9"/>
      <c r="L11153" s="9"/>
    </row>
    <row r="11154" s="105" customFormat="1" spans="9:12">
      <c r="I11154" s="225"/>
      <c r="K11154" s="9"/>
      <c r="L11154" s="9"/>
    </row>
    <row r="11155" s="105" customFormat="1" spans="9:12">
      <c r="I11155" s="225"/>
      <c r="K11155" s="9"/>
      <c r="L11155" s="9"/>
    </row>
    <row r="11156" s="105" customFormat="1" spans="9:12">
      <c r="I11156" s="225"/>
      <c r="K11156" s="9"/>
      <c r="L11156" s="9"/>
    </row>
    <row r="11157" s="105" customFormat="1" spans="9:12">
      <c r="I11157" s="225"/>
      <c r="K11157" s="9"/>
      <c r="L11157" s="9"/>
    </row>
    <row r="11158" s="105" customFormat="1" spans="9:12">
      <c r="I11158" s="225"/>
      <c r="K11158" s="9"/>
      <c r="L11158" s="9"/>
    </row>
    <row r="11159" s="105" customFormat="1" spans="9:12">
      <c r="I11159" s="225"/>
      <c r="K11159" s="9"/>
      <c r="L11159" s="9"/>
    </row>
    <row r="11160" s="105" customFormat="1" spans="9:12">
      <c r="I11160" s="225"/>
      <c r="K11160" s="9"/>
      <c r="L11160" s="9"/>
    </row>
    <row r="11161" s="105" customFormat="1" spans="9:12">
      <c r="I11161" s="225"/>
      <c r="K11161" s="9"/>
      <c r="L11161" s="9"/>
    </row>
    <row r="11162" s="105" customFormat="1" spans="9:12">
      <c r="I11162" s="225"/>
      <c r="K11162" s="9"/>
      <c r="L11162" s="9"/>
    </row>
    <row r="11163" s="105" customFormat="1" spans="9:12">
      <c r="I11163" s="225"/>
      <c r="K11163" s="9"/>
      <c r="L11163" s="9"/>
    </row>
    <row r="11164" s="105" customFormat="1" spans="9:12">
      <c r="I11164" s="225"/>
      <c r="K11164" s="9"/>
      <c r="L11164" s="9"/>
    </row>
    <row r="11165" s="105" customFormat="1" spans="9:12">
      <c r="I11165" s="225"/>
      <c r="K11165" s="9"/>
      <c r="L11165" s="9"/>
    </row>
    <row r="11166" s="105" customFormat="1" spans="9:12">
      <c r="I11166" s="225"/>
      <c r="K11166" s="9"/>
      <c r="L11166" s="9"/>
    </row>
    <row r="11167" s="105" customFormat="1" spans="9:12">
      <c r="I11167" s="225"/>
      <c r="K11167" s="9"/>
      <c r="L11167" s="9"/>
    </row>
    <row r="11168" s="105" customFormat="1" spans="9:12">
      <c r="I11168" s="225"/>
      <c r="K11168" s="9"/>
      <c r="L11168" s="9"/>
    </row>
    <row r="11169" s="105" customFormat="1" spans="9:12">
      <c r="I11169" s="225"/>
      <c r="K11169" s="9"/>
      <c r="L11169" s="9"/>
    </row>
    <row r="11170" s="105" customFormat="1" spans="9:12">
      <c r="I11170" s="225"/>
      <c r="K11170" s="9"/>
      <c r="L11170" s="9"/>
    </row>
    <row r="11171" s="105" customFormat="1" spans="9:12">
      <c r="I11171" s="225"/>
      <c r="K11171" s="9"/>
      <c r="L11171" s="9"/>
    </row>
    <row r="11172" s="105" customFormat="1" spans="9:12">
      <c r="I11172" s="225"/>
      <c r="K11172" s="9"/>
      <c r="L11172" s="9"/>
    </row>
    <row r="11173" s="105" customFormat="1" spans="9:12">
      <c r="I11173" s="225"/>
      <c r="K11173" s="9"/>
      <c r="L11173" s="9"/>
    </row>
    <row r="11174" s="105" customFormat="1" spans="9:12">
      <c r="I11174" s="225"/>
      <c r="K11174" s="9"/>
      <c r="L11174" s="9"/>
    </row>
    <row r="11175" s="105" customFormat="1" spans="9:12">
      <c r="I11175" s="225"/>
      <c r="K11175" s="9"/>
      <c r="L11175" s="9"/>
    </row>
    <row r="11176" s="105" customFormat="1" spans="9:12">
      <c r="I11176" s="225"/>
      <c r="K11176" s="9"/>
      <c r="L11176" s="9"/>
    </row>
    <row r="11177" s="105" customFormat="1" spans="9:12">
      <c r="I11177" s="225"/>
      <c r="K11177" s="9"/>
      <c r="L11177" s="9"/>
    </row>
    <row r="11178" s="105" customFormat="1" spans="9:12">
      <c r="I11178" s="225"/>
      <c r="K11178" s="9"/>
      <c r="L11178" s="9"/>
    </row>
    <row r="11179" s="105" customFormat="1" spans="9:12">
      <c r="I11179" s="225"/>
      <c r="K11179" s="9"/>
      <c r="L11179" s="9"/>
    </row>
    <row r="11180" s="105" customFormat="1" spans="9:12">
      <c r="I11180" s="225"/>
      <c r="K11180" s="9"/>
      <c r="L11180" s="9"/>
    </row>
    <row r="11181" s="105" customFormat="1" spans="9:12">
      <c r="I11181" s="225"/>
      <c r="K11181" s="9"/>
      <c r="L11181" s="9"/>
    </row>
    <row r="11182" s="105" customFormat="1" spans="9:12">
      <c r="I11182" s="225"/>
      <c r="K11182" s="9"/>
      <c r="L11182" s="9"/>
    </row>
    <row r="11183" s="105" customFormat="1" spans="9:12">
      <c r="I11183" s="225"/>
      <c r="K11183" s="9"/>
      <c r="L11183" s="9"/>
    </row>
    <row r="11184" s="105" customFormat="1" spans="9:12">
      <c r="I11184" s="225"/>
      <c r="K11184" s="9"/>
      <c r="L11184" s="9"/>
    </row>
    <row r="11185" s="105" customFormat="1" spans="9:12">
      <c r="I11185" s="225"/>
      <c r="K11185" s="9"/>
      <c r="L11185" s="9"/>
    </row>
    <row r="11186" s="105" customFormat="1" spans="9:12">
      <c r="I11186" s="225"/>
      <c r="K11186" s="9"/>
      <c r="L11186" s="9"/>
    </row>
    <row r="11187" s="105" customFormat="1" spans="9:12">
      <c r="I11187" s="225"/>
      <c r="K11187" s="9"/>
      <c r="L11187" s="9"/>
    </row>
    <row r="11188" s="105" customFormat="1" spans="9:12">
      <c r="I11188" s="225"/>
      <c r="K11188" s="9"/>
      <c r="L11188" s="9"/>
    </row>
    <row r="11189" s="105" customFormat="1" spans="9:12">
      <c r="I11189" s="225"/>
      <c r="K11189" s="9"/>
      <c r="L11189" s="9"/>
    </row>
    <row r="11190" s="105" customFormat="1" spans="9:12">
      <c r="I11190" s="225"/>
      <c r="K11190" s="9"/>
      <c r="L11190" s="9"/>
    </row>
    <row r="11191" s="105" customFormat="1" spans="9:12">
      <c r="I11191" s="225"/>
      <c r="K11191" s="9"/>
      <c r="L11191" s="9"/>
    </row>
    <row r="11192" s="105" customFormat="1" spans="9:12">
      <c r="I11192" s="225"/>
      <c r="K11192" s="9"/>
      <c r="L11192" s="9"/>
    </row>
    <row r="11193" s="105" customFormat="1" spans="9:12">
      <c r="I11193" s="225"/>
      <c r="K11193" s="9"/>
      <c r="L11193" s="9"/>
    </row>
    <row r="11194" s="105" customFormat="1" spans="9:12">
      <c r="I11194" s="225"/>
      <c r="K11194" s="9"/>
      <c r="L11194" s="9"/>
    </row>
    <row r="11195" s="105" customFormat="1" spans="9:12">
      <c r="I11195" s="225"/>
      <c r="K11195" s="9"/>
      <c r="L11195" s="9"/>
    </row>
    <row r="11196" s="105" customFormat="1" spans="9:12">
      <c r="I11196" s="225"/>
      <c r="K11196" s="9"/>
      <c r="L11196" s="9"/>
    </row>
    <row r="11197" s="105" customFormat="1" spans="9:12">
      <c r="I11197" s="225"/>
      <c r="K11197" s="9"/>
      <c r="L11197" s="9"/>
    </row>
    <row r="11198" s="105" customFormat="1" spans="9:12">
      <c r="I11198" s="225"/>
      <c r="K11198" s="9"/>
      <c r="L11198" s="9"/>
    </row>
    <row r="11199" s="105" customFormat="1" spans="9:12">
      <c r="I11199" s="225"/>
      <c r="K11199" s="9"/>
      <c r="L11199" s="9"/>
    </row>
    <row r="11200" s="105" customFormat="1" spans="9:12">
      <c r="I11200" s="225"/>
      <c r="K11200" s="9"/>
      <c r="L11200" s="9"/>
    </row>
    <row r="11201" s="105" customFormat="1" spans="9:12">
      <c r="I11201" s="225"/>
      <c r="K11201" s="9"/>
      <c r="L11201" s="9"/>
    </row>
    <row r="11202" s="105" customFormat="1" spans="9:12">
      <c r="I11202" s="225"/>
      <c r="K11202" s="9"/>
      <c r="L11202" s="9"/>
    </row>
    <row r="11203" s="105" customFormat="1" spans="9:12">
      <c r="I11203" s="225"/>
      <c r="K11203" s="9"/>
      <c r="L11203" s="9"/>
    </row>
    <row r="11204" s="105" customFormat="1" spans="9:12">
      <c r="I11204" s="225"/>
      <c r="K11204" s="9"/>
      <c r="L11204" s="9"/>
    </row>
    <row r="11205" s="105" customFormat="1" spans="9:12">
      <c r="I11205" s="225"/>
      <c r="K11205" s="9"/>
      <c r="L11205" s="9"/>
    </row>
    <row r="11206" s="105" customFormat="1" spans="9:12">
      <c r="I11206" s="225"/>
      <c r="K11206" s="9"/>
      <c r="L11206" s="9"/>
    </row>
    <row r="11207" s="105" customFormat="1" spans="9:12">
      <c r="I11207" s="225"/>
      <c r="K11207" s="9"/>
      <c r="L11207" s="9"/>
    </row>
    <row r="11208" s="105" customFormat="1" spans="9:12">
      <c r="I11208" s="225"/>
      <c r="K11208" s="9"/>
      <c r="L11208" s="9"/>
    </row>
    <row r="11209" s="105" customFormat="1" spans="9:12">
      <c r="I11209" s="225"/>
      <c r="K11209" s="9"/>
      <c r="L11209" s="9"/>
    </row>
    <row r="11210" s="105" customFormat="1" spans="9:12">
      <c r="I11210" s="225"/>
      <c r="K11210" s="9"/>
      <c r="L11210" s="9"/>
    </row>
    <row r="11211" s="105" customFormat="1" spans="9:12">
      <c r="I11211" s="225"/>
      <c r="K11211" s="9"/>
      <c r="L11211" s="9"/>
    </row>
    <row r="11212" s="105" customFormat="1" spans="9:12">
      <c r="I11212" s="225"/>
      <c r="K11212" s="9"/>
      <c r="L11212" s="9"/>
    </row>
    <row r="11213" s="105" customFormat="1" spans="9:12">
      <c r="I11213" s="225"/>
      <c r="K11213" s="9"/>
      <c r="L11213" s="9"/>
    </row>
    <row r="11214" s="105" customFormat="1" spans="9:12">
      <c r="I11214" s="225"/>
      <c r="K11214" s="9"/>
      <c r="L11214" s="9"/>
    </row>
    <row r="11215" s="105" customFormat="1" spans="9:12">
      <c r="I11215" s="225"/>
      <c r="K11215" s="9"/>
      <c r="L11215" s="9"/>
    </row>
    <row r="11216" s="105" customFormat="1" spans="9:12">
      <c r="I11216" s="225"/>
      <c r="K11216" s="9"/>
      <c r="L11216" s="9"/>
    </row>
    <row r="11217" s="105" customFormat="1" spans="9:12">
      <c r="I11217" s="225"/>
      <c r="K11217" s="9"/>
      <c r="L11217" s="9"/>
    </row>
    <row r="11218" s="105" customFormat="1" spans="9:12">
      <c r="I11218" s="225"/>
      <c r="K11218" s="9"/>
      <c r="L11218" s="9"/>
    </row>
    <row r="11219" s="105" customFormat="1" spans="9:12">
      <c r="I11219" s="225"/>
      <c r="K11219" s="9"/>
      <c r="L11219" s="9"/>
    </row>
    <row r="11220" s="105" customFormat="1" spans="9:12">
      <c r="I11220" s="225"/>
      <c r="K11220" s="9"/>
      <c r="L11220" s="9"/>
    </row>
    <row r="11221" s="105" customFormat="1" spans="9:12">
      <c r="I11221" s="225"/>
      <c r="K11221" s="9"/>
      <c r="L11221" s="9"/>
    </row>
    <row r="11222" s="105" customFormat="1" spans="9:12">
      <c r="I11222" s="225"/>
      <c r="K11222" s="9"/>
      <c r="L11222" s="9"/>
    </row>
    <row r="11223" s="105" customFormat="1" spans="9:12">
      <c r="I11223" s="225"/>
      <c r="K11223" s="9"/>
      <c r="L11223" s="9"/>
    </row>
    <row r="11224" s="105" customFormat="1" spans="9:12">
      <c r="I11224" s="225"/>
      <c r="K11224" s="9"/>
      <c r="L11224" s="9"/>
    </row>
    <row r="11225" s="105" customFormat="1" spans="9:12">
      <c r="I11225" s="225"/>
      <c r="K11225" s="9"/>
      <c r="L11225" s="9"/>
    </row>
    <row r="11226" s="105" customFormat="1" spans="9:12">
      <c r="I11226" s="225"/>
      <c r="K11226" s="9"/>
      <c r="L11226" s="9"/>
    </row>
    <row r="11227" s="105" customFormat="1" spans="9:12">
      <c r="I11227" s="225"/>
      <c r="K11227" s="9"/>
      <c r="L11227" s="9"/>
    </row>
    <row r="11228" s="105" customFormat="1" spans="9:12">
      <c r="I11228" s="225"/>
      <c r="K11228" s="9"/>
      <c r="L11228" s="9"/>
    </row>
    <row r="11229" s="105" customFormat="1" spans="9:12">
      <c r="I11229" s="225"/>
      <c r="K11229" s="9"/>
      <c r="L11229" s="9"/>
    </row>
    <row r="11230" s="105" customFormat="1" spans="9:12">
      <c r="I11230" s="225"/>
      <c r="K11230" s="9"/>
      <c r="L11230" s="9"/>
    </row>
    <row r="11231" s="105" customFormat="1" spans="9:12">
      <c r="I11231" s="225"/>
      <c r="K11231" s="9"/>
      <c r="L11231" s="9"/>
    </row>
    <row r="11232" s="105" customFormat="1" spans="9:12">
      <c r="I11232" s="225"/>
      <c r="K11232" s="9"/>
      <c r="L11232" s="9"/>
    </row>
    <row r="11233" s="105" customFormat="1" spans="9:12">
      <c r="I11233" s="225"/>
      <c r="K11233" s="9"/>
      <c r="L11233" s="9"/>
    </row>
    <row r="11234" s="105" customFormat="1" spans="9:12">
      <c r="I11234" s="225"/>
      <c r="K11234" s="9"/>
      <c r="L11234" s="9"/>
    </row>
    <row r="11235" s="105" customFormat="1" spans="9:12">
      <c r="I11235" s="225"/>
      <c r="K11235" s="9"/>
      <c r="L11235" s="9"/>
    </row>
    <row r="11236" s="105" customFormat="1" spans="9:12">
      <c r="I11236" s="225"/>
      <c r="K11236" s="9"/>
      <c r="L11236" s="9"/>
    </row>
    <row r="11237" s="105" customFormat="1" spans="9:12">
      <c r="I11237" s="225"/>
      <c r="K11237" s="9"/>
      <c r="L11237" s="9"/>
    </row>
    <row r="11238" s="105" customFormat="1" spans="9:12">
      <c r="I11238" s="225"/>
      <c r="K11238" s="9"/>
      <c r="L11238" s="9"/>
    </row>
    <row r="11239" s="105" customFormat="1" spans="9:12">
      <c r="I11239" s="225"/>
      <c r="K11239" s="9"/>
      <c r="L11239" s="9"/>
    </row>
    <row r="11240" s="105" customFormat="1" spans="9:12">
      <c r="I11240" s="225"/>
      <c r="K11240" s="9"/>
      <c r="L11240" s="9"/>
    </row>
    <row r="11241" s="105" customFormat="1" spans="9:12">
      <c r="I11241" s="225"/>
      <c r="K11241" s="9"/>
      <c r="L11241" s="9"/>
    </row>
    <row r="11242" s="105" customFormat="1" spans="9:12">
      <c r="I11242" s="225"/>
      <c r="K11242" s="9"/>
      <c r="L11242" s="9"/>
    </row>
    <row r="11243" s="105" customFormat="1" spans="9:12">
      <c r="I11243" s="225"/>
      <c r="K11243" s="9"/>
      <c r="L11243" s="9"/>
    </row>
    <row r="11244" s="105" customFormat="1" spans="9:12">
      <c r="I11244" s="225"/>
      <c r="K11244" s="9"/>
      <c r="L11244" s="9"/>
    </row>
    <row r="11245" s="105" customFormat="1" spans="9:12">
      <c r="I11245" s="225"/>
      <c r="K11245" s="9"/>
      <c r="L11245" s="9"/>
    </row>
    <row r="11246" s="105" customFormat="1" spans="9:12">
      <c r="I11246" s="225"/>
      <c r="K11246" s="9"/>
      <c r="L11246" s="9"/>
    </row>
    <row r="11247" s="105" customFormat="1" spans="9:12">
      <c r="I11247" s="225"/>
      <c r="K11247" s="9"/>
      <c r="L11247" s="9"/>
    </row>
    <row r="11248" s="105" customFormat="1" spans="9:12">
      <c r="I11248" s="225"/>
      <c r="K11248" s="9"/>
      <c r="L11248" s="9"/>
    </row>
    <row r="11249" s="105" customFormat="1" spans="9:12">
      <c r="I11249" s="225"/>
      <c r="K11249" s="9"/>
      <c r="L11249" s="9"/>
    </row>
    <row r="11250" s="105" customFormat="1" spans="9:12">
      <c r="I11250" s="225"/>
      <c r="K11250" s="9"/>
      <c r="L11250" s="9"/>
    </row>
    <row r="11251" s="105" customFormat="1" spans="9:12">
      <c r="I11251" s="225"/>
      <c r="K11251" s="9"/>
      <c r="L11251" s="9"/>
    </row>
    <row r="11252" s="105" customFormat="1" spans="9:12">
      <c r="I11252" s="225"/>
      <c r="K11252" s="9"/>
      <c r="L11252" s="9"/>
    </row>
    <row r="11253" s="105" customFormat="1" spans="9:12">
      <c r="I11253" s="225"/>
      <c r="K11253" s="9"/>
      <c r="L11253" s="9"/>
    </row>
    <row r="11254" s="105" customFormat="1" spans="9:12">
      <c r="I11254" s="225"/>
      <c r="K11254" s="9"/>
      <c r="L11254" s="9"/>
    </row>
    <row r="11255" s="105" customFormat="1" spans="9:12">
      <c r="I11255" s="225"/>
      <c r="K11255" s="9"/>
      <c r="L11255" s="9"/>
    </row>
    <row r="11256" s="105" customFormat="1" spans="9:12">
      <c r="I11256" s="225"/>
      <c r="K11256" s="9"/>
      <c r="L11256" s="9"/>
    </row>
    <row r="11257" s="105" customFormat="1" spans="9:12">
      <c r="I11257" s="225"/>
      <c r="K11257" s="9"/>
      <c r="L11257" s="9"/>
    </row>
    <row r="11258" s="105" customFormat="1" spans="9:12">
      <c r="I11258" s="225"/>
      <c r="K11258" s="9"/>
      <c r="L11258" s="9"/>
    </row>
    <row r="11259" s="105" customFormat="1" spans="9:12">
      <c r="I11259" s="225"/>
      <c r="K11259" s="9"/>
      <c r="L11259" s="9"/>
    </row>
    <row r="11260" s="105" customFormat="1" spans="9:12">
      <c r="I11260" s="225"/>
      <c r="K11260" s="9"/>
      <c r="L11260" s="9"/>
    </row>
    <row r="11261" s="105" customFormat="1" spans="9:12">
      <c r="I11261" s="225"/>
      <c r="K11261" s="9"/>
      <c r="L11261" s="9"/>
    </row>
    <row r="11262" s="105" customFormat="1" spans="9:12">
      <c r="I11262" s="225"/>
      <c r="K11262" s="9"/>
      <c r="L11262" s="9"/>
    </row>
    <row r="11263" s="105" customFormat="1" spans="9:12">
      <c r="I11263" s="225"/>
      <c r="K11263" s="9"/>
      <c r="L11263" s="9"/>
    </row>
    <row r="11264" s="105" customFormat="1" spans="9:12">
      <c r="I11264" s="225"/>
      <c r="K11264" s="9"/>
      <c r="L11264" s="9"/>
    </row>
    <row r="11265" s="105" customFormat="1" spans="9:12">
      <c r="I11265" s="225"/>
      <c r="K11265" s="9"/>
      <c r="L11265" s="9"/>
    </row>
    <row r="11266" s="105" customFormat="1" spans="9:12">
      <c r="I11266" s="225"/>
      <c r="K11266" s="9"/>
      <c r="L11266" s="9"/>
    </row>
    <row r="11267" s="105" customFormat="1" spans="9:12">
      <c r="I11267" s="225"/>
      <c r="K11267" s="9"/>
      <c r="L11267" s="9"/>
    </row>
    <row r="11268" s="105" customFormat="1" spans="9:12">
      <c r="I11268" s="225"/>
      <c r="K11268" s="9"/>
      <c r="L11268" s="9"/>
    </row>
    <row r="11269" s="105" customFormat="1" spans="9:12">
      <c r="I11269" s="225"/>
      <c r="K11269" s="9"/>
      <c r="L11269" s="9"/>
    </row>
    <row r="11270" s="105" customFormat="1" spans="9:12">
      <c r="I11270" s="225"/>
      <c r="K11270" s="9"/>
      <c r="L11270" s="9"/>
    </row>
    <row r="11271" s="105" customFormat="1" spans="9:12">
      <c r="I11271" s="225"/>
      <c r="K11271" s="9"/>
      <c r="L11271" s="9"/>
    </row>
    <row r="11272" s="105" customFormat="1" spans="9:12">
      <c r="I11272" s="225"/>
      <c r="K11272" s="9"/>
      <c r="L11272" s="9"/>
    </row>
    <row r="11273" s="105" customFormat="1" spans="9:12">
      <c r="I11273" s="225"/>
      <c r="K11273" s="9"/>
      <c r="L11273" s="9"/>
    </row>
    <row r="11274" s="105" customFormat="1" spans="9:12">
      <c r="I11274" s="225"/>
      <c r="K11274" s="9"/>
      <c r="L11274" s="9"/>
    </row>
    <row r="11275" s="105" customFormat="1" spans="9:12">
      <c r="I11275" s="225"/>
      <c r="K11275" s="9"/>
      <c r="L11275" s="9"/>
    </row>
    <row r="11276" s="105" customFormat="1" spans="9:12">
      <c r="I11276" s="225"/>
      <c r="K11276" s="9"/>
      <c r="L11276" s="9"/>
    </row>
    <row r="11277" s="105" customFormat="1" spans="9:12">
      <c r="I11277" s="225"/>
      <c r="K11277" s="9"/>
      <c r="L11277" s="9"/>
    </row>
    <row r="11278" s="105" customFormat="1" spans="9:12">
      <c r="I11278" s="225"/>
      <c r="K11278" s="9"/>
      <c r="L11278" s="9"/>
    </row>
    <row r="11279" s="105" customFormat="1" spans="9:12">
      <c r="I11279" s="225"/>
      <c r="K11279" s="9"/>
      <c r="L11279" s="9"/>
    </row>
    <row r="11280" s="105" customFormat="1" spans="9:12">
      <c r="I11280" s="225"/>
      <c r="K11280" s="9"/>
      <c r="L11280" s="9"/>
    </row>
    <row r="11281" s="105" customFormat="1" spans="9:12">
      <c r="I11281" s="225"/>
      <c r="K11281" s="9"/>
      <c r="L11281" s="9"/>
    </row>
    <row r="11282" s="105" customFormat="1" spans="9:12">
      <c r="I11282" s="225"/>
      <c r="K11282" s="9"/>
      <c r="L11282" s="9"/>
    </row>
    <row r="11283" s="105" customFormat="1" spans="9:12">
      <c r="I11283" s="225"/>
      <c r="K11283" s="9"/>
      <c r="L11283" s="9"/>
    </row>
    <row r="11284" s="105" customFormat="1" spans="9:12">
      <c r="I11284" s="225"/>
      <c r="K11284" s="9"/>
      <c r="L11284" s="9"/>
    </row>
    <row r="11285" s="105" customFormat="1" spans="9:12">
      <c r="I11285" s="225"/>
      <c r="K11285" s="9"/>
      <c r="L11285" s="9"/>
    </row>
    <row r="11286" s="105" customFormat="1" spans="9:12">
      <c r="I11286" s="225"/>
      <c r="K11286" s="9"/>
      <c r="L11286" s="9"/>
    </row>
    <row r="11287" s="105" customFormat="1" spans="9:12">
      <c r="I11287" s="225"/>
      <c r="K11287" s="9"/>
      <c r="L11287" s="9"/>
    </row>
    <row r="11288" s="105" customFormat="1" spans="9:12">
      <c r="I11288" s="225"/>
      <c r="K11288" s="9"/>
      <c r="L11288" s="9"/>
    </row>
    <row r="11289" s="105" customFormat="1" spans="9:12">
      <c r="I11289" s="225"/>
      <c r="K11289" s="9"/>
      <c r="L11289" s="9"/>
    </row>
    <row r="11290" s="105" customFormat="1" spans="9:12">
      <c r="I11290" s="225"/>
      <c r="K11290" s="9"/>
      <c r="L11290" s="9"/>
    </row>
    <row r="11291" s="105" customFormat="1" spans="9:12">
      <c r="I11291" s="225"/>
      <c r="K11291" s="9"/>
      <c r="L11291" s="9"/>
    </row>
    <row r="11292" s="105" customFormat="1" spans="9:12">
      <c r="I11292" s="225"/>
      <c r="K11292" s="9"/>
      <c r="L11292" s="9"/>
    </row>
    <row r="11293" s="105" customFormat="1" spans="9:12">
      <c r="I11293" s="225"/>
      <c r="K11293" s="9"/>
      <c r="L11293" s="9"/>
    </row>
    <row r="11294" s="105" customFormat="1" spans="9:12">
      <c r="I11294" s="225"/>
      <c r="K11294" s="9"/>
      <c r="L11294" s="9"/>
    </row>
    <row r="11295" s="105" customFormat="1" spans="9:12">
      <c r="I11295" s="225"/>
      <c r="K11295" s="9"/>
      <c r="L11295" s="9"/>
    </row>
    <row r="11296" s="105" customFormat="1" spans="9:12">
      <c r="I11296" s="225"/>
      <c r="K11296" s="9"/>
      <c r="L11296" s="9"/>
    </row>
    <row r="11297" s="105" customFormat="1" spans="9:12">
      <c r="I11297" s="225"/>
      <c r="K11297" s="9"/>
      <c r="L11297" s="9"/>
    </row>
    <row r="11298" s="105" customFormat="1" spans="9:12">
      <c r="I11298" s="225"/>
      <c r="K11298" s="9"/>
      <c r="L11298" s="9"/>
    </row>
    <row r="11299" s="105" customFormat="1" spans="9:12">
      <c r="I11299" s="225"/>
      <c r="K11299" s="9"/>
      <c r="L11299" s="9"/>
    </row>
    <row r="11300" s="105" customFormat="1" spans="9:12">
      <c r="I11300" s="225"/>
      <c r="K11300" s="9"/>
      <c r="L11300" s="9"/>
    </row>
    <row r="11301" s="105" customFormat="1" spans="9:12">
      <c r="I11301" s="225"/>
      <c r="K11301" s="9"/>
      <c r="L11301" s="9"/>
    </row>
    <row r="11302" s="105" customFormat="1" spans="9:12">
      <c r="I11302" s="225"/>
      <c r="K11302" s="9"/>
      <c r="L11302" s="9"/>
    </row>
    <row r="11303" s="105" customFormat="1" spans="9:12">
      <c r="I11303" s="225"/>
      <c r="K11303" s="9"/>
      <c r="L11303" s="9"/>
    </row>
    <row r="11304" s="105" customFormat="1" spans="9:12">
      <c r="I11304" s="225"/>
      <c r="K11304" s="9"/>
      <c r="L11304" s="9"/>
    </row>
    <row r="11305" s="105" customFormat="1" spans="9:12">
      <c r="I11305" s="225"/>
      <c r="K11305" s="9"/>
      <c r="L11305" s="9"/>
    </row>
    <row r="11306" s="105" customFormat="1" spans="9:12">
      <c r="I11306" s="225"/>
      <c r="K11306" s="9"/>
      <c r="L11306" s="9"/>
    </row>
    <row r="11307" s="105" customFormat="1" spans="9:12">
      <c r="I11307" s="225"/>
      <c r="K11307" s="9"/>
      <c r="L11307" s="9"/>
    </row>
    <row r="11308" s="105" customFormat="1" spans="9:12">
      <c r="I11308" s="225"/>
      <c r="K11308" s="9"/>
      <c r="L11308" s="9"/>
    </row>
    <row r="11309" s="105" customFormat="1" spans="9:12">
      <c r="I11309" s="225"/>
      <c r="K11309" s="9"/>
      <c r="L11309" s="9"/>
    </row>
    <row r="11310" s="105" customFormat="1" spans="9:12">
      <c r="I11310" s="225"/>
      <c r="K11310" s="9"/>
      <c r="L11310" s="9"/>
    </row>
    <row r="11311" s="105" customFormat="1" spans="9:12">
      <c r="I11311" s="225"/>
      <c r="K11311" s="9"/>
      <c r="L11311" s="9"/>
    </row>
    <row r="11312" s="105" customFormat="1" spans="9:12">
      <c r="I11312" s="225"/>
      <c r="K11312" s="9"/>
      <c r="L11312" s="9"/>
    </row>
    <row r="11313" s="105" customFormat="1" spans="9:12">
      <c r="I11313" s="225"/>
      <c r="K11313" s="9"/>
      <c r="L11313" s="9"/>
    </row>
    <row r="11314" s="105" customFormat="1" spans="9:12">
      <c r="I11314" s="225"/>
      <c r="K11314" s="9"/>
      <c r="L11314" s="9"/>
    </row>
    <row r="11315" s="105" customFormat="1" spans="9:12">
      <c r="I11315" s="225"/>
      <c r="K11315" s="9"/>
      <c r="L11315" s="9"/>
    </row>
    <row r="11316" s="105" customFormat="1" spans="9:12">
      <c r="I11316" s="225"/>
      <c r="K11316" s="9"/>
      <c r="L11316" s="9"/>
    </row>
    <row r="11317" s="105" customFormat="1" spans="9:12">
      <c r="I11317" s="225"/>
      <c r="K11317" s="9"/>
      <c r="L11317" s="9"/>
    </row>
    <row r="11318" s="105" customFormat="1" spans="9:12">
      <c r="I11318" s="225"/>
      <c r="K11318" s="9"/>
      <c r="L11318" s="9"/>
    </row>
    <row r="11319" s="105" customFormat="1" spans="9:12">
      <c r="I11319" s="225"/>
      <c r="K11319" s="9"/>
      <c r="L11319" s="9"/>
    </row>
    <row r="11320" s="105" customFormat="1" spans="9:12">
      <c r="I11320" s="225"/>
      <c r="K11320" s="9"/>
      <c r="L11320" s="9"/>
    </row>
    <row r="11321" s="105" customFormat="1" spans="9:12">
      <c r="I11321" s="225"/>
      <c r="K11321" s="9"/>
      <c r="L11321" s="9"/>
    </row>
    <row r="11322" s="105" customFormat="1" spans="9:12">
      <c r="I11322" s="225"/>
      <c r="K11322" s="9"/>
      <c r="L11322" s="9"/>
    </row>
    <row r="11323" s="105" customFormat="1" spans="9:12">
      <c r="I11323" s="225"/>
      <c r="K11323" s="9"/>
      <c r="L11323" s="9"/>
    </row>
    <row r="11324" s="105" customFormat="1" spans="9:12">
      <c r="I11324" s="225"/>
      <c r="K11324" s="9"/>
      <c r="L11324" s="9"/>
    </row>
    <row r="11325" s="105" customFormat="1" spans="9:12">
      <c r="I11325" s="225"/>
      <c r="K11325" s="9"/>
      <c r="L11325" s="9"/>
    </row>
    <row r="11326" s="105" customFormat="1" spans="9:12">
      <c r="I11326" s="225"/>
      <c r="K11326" s="9"/>
      <c r="L11326" s="9"/>
    </row>
    <row r="11327" s="105" customFormat="1" spans="9:12">
      <c r="I11327" s="225"/>
      <c r="K11327" s="9"/>
      <c r="L11327" s="9"/>
    </row>
    <row r="11328" s="105" customFormat="1" spans="9:12">
      <c r="I11328" s="225"/>
      <c r="K11328" s="9"/>
      <c r="L11328" s="9"/>
    </row>
    <row r="11329" s="105" customFormat="1" spans="9:12">
      <c r="I11329" s="225"/>
      <c r="K11329" s="9"/>
      <c r="L11329" s="9"/>
    </row>
    <row r="11330" s="105" customFormat="1" spans="9:12">
      <c r="I11330" s="225"/>
      <c r="K11330" s="9"/>
      <c r="L11330" s="9"/>
    </row>
    <row r="11331" s="105" customFormat="1" spans="9:12">
      <c r="I11331" s="225"/>
      <c r="K11331" s="9"/>
      <c r="L11331" s="9"/>
    </row>
    <row r="11332" s="105" customFormat="1" spans="9:12">
      <c r="I11332" s="225"/>
      <c r="K11332" s="9"/>
      <c r="L11332" s="9"/>
    </row>
    <row r="11333" s="105" customFormat="1" spans="9:12">
      <c r="I11333" s="225"/>
      <c r="K11333" s="9"/>
      <c r="L11333" s="9"/>
    </row>
    <row r="11334" s="105" customFormat="1" spans="9:12">
      <c r="I11334" s="225"/>
      <c r="K11334" s="9"/>
      <c r="L11334" s="9"/>
    </row>
    <row r="11335" s="105" customFormat="1" spans="9:12">
      <c r="I11335" s="225"/>
      <c r="K11335" s="9"/>
      <c r="L11335" s="9"/>
    </row>
    <row r="11336" s="105" customFormat="1" spans="9:12">
      <c r="I11336" s="225"/>
      <c r="K11336" s="9"/>
      <c r="L11336" s="9"/>
    </row>
    <row r="11337" s="105" customFormat="1" spans="9:12">
      <c r="I11337" s="225"/>
      <c r="K11337" s="9"/>
      <c r="L11337" s="9"/>
    </row>
    <row r="11338" s="105" customFormat="1" spans="9:12">
      <c r="I11338" s="225"/>
      <c r="K11338" s="9"/>
      <c r="L11338" s="9"/>
    </row>
    <row r="11339" s="105" customFormat="1" spans="9:12">
      <c r="I11339" s="225"/>
      <c r="K11339" s="9"/>
      <c r="L11339" s="9"/>
    </row>
    <row r="11340" s="105" customFormat="1" spans="9:12">
      <c r="I11340" s="225"/>
      <c r="K11340" s="9"/>
      <c r="L11340" s="9"/>
    </row>
    <row r="11341" s="105" customFormat="1" spans="9:12">
      <c r="I11341" s="225"/>
      <c r="K11341" s="9"/>
      <c r="L11341" s="9"/>
    </row>
    <row r="11342" s="105" customFormat="1" spans="9:12">
      <c r="I11342" s="225"/>
      <c r="K11342" s="9"/>
      <c r="L11342" s="9"/>
    </row>
    <row r="11343" s="105" customFormat="1" spans="9:12">
      <c r="I11343" s="225"/>
      <c r="K11343" s="9"/>
      <c r="L11343" s="9"/>
    </row>
    <row r="11344" s="105" customFormat="1" spans="9:12">
      <c r="I11344" s="225"/>
      <c r="K11344" s="9"/>
      <c r="L11344" s="9"/>
    </row>
    <row r="11345" s="105" customFormat="1" spans="9:12">
      <c r="I11345" s="225"/>
      <c r="K11345" s="9"/>
      <c r="L11345" s="9"/>
    </row>
    <row r="11346" s="105" customFormat="1" spans="9:12">
      <c r="I11346" s="225"/>
      <c r="K11346" s="9"/>
      <c r="L11346" s="9"/>
    </row>
    <row r="11347" s="105" customFormat="1" spans="9:12">
      <c r="I11347" s="225"/>
      <c r="K11347" s="9"/>
      <c r="L11347" s="9"/>
    </row>
    <row r="11348" s="105" customFormat="1" spans="9:12">
      <c r="I11348" s="225"/>
      <c r="K11348" s="9"/>
      <c r="L11348" s="9"/>
    </row>
    <row r="11349" s="105" customFormat="1" spans="9:12">
      <c r="I11349" s="225"/>
      <c r="K11349" s="9"/>
      <c r="L11349" s="9"/>
    </row>
    <row r="11350" s="105" customFormat="1" spans="9:12">
      <c r="I11350" s="225"/>
      <c r="K11350" s="9"/>
      <c r="L11350" s="9"/>
    </row>
    <row r="11351" s="105" customFormat="1" spans="9:12">
      <c r="I11351" s="225"/>
      <c r="K11351" s="9"/>
      <c r="L11351" s="9"/>
    </row>
    <row r="11352" s="105" customFormat="1" spans="9:12">
      <c r="I11352" s="225"/>
      <c r="K11352" s="9"/>
      <c r="L11352" s="9"/>
    </row>
    <row r="11353" s="105" customFormat="1" spans="9:12">
      <c r="I11353" s="225"/>
      <c r="K11353" s="9"/>
      <c r="L11353" s="9"/>
    </row>
    <row r="11354" s="105" customFormat="1" spans="9:12">
      <c r="I11354" s="225"/>
      <c r="K11354" s="9"/>
      <c r="L11354" s="9"/>
    </row>
    <row r="11355" s="105" customFormat="1" spans="9:12">
      <c r="I11355" s="225"/>
      <c r="K11355" s="9"/>
      <c r="L11355" s="9"/>
    </row>
    <row r="11356" s="105" customFormat="1" spans="9:12">
      <c r="I11356" s="225"/>
      <c r="K11356" s="9"/>
      <c r="L11356" s="9"/>
    </row>
    <row r="11357" s="105" customFormat="1" spans="9:12">
      <c r="I11357" s="225"/>
      <c r="K11357" s="9"/>
      <c r="L11357" s="9"/>
    </row>
    <row r="11358" s="105" customFormat="1" spans="9:12">
      <c r="I11358" s="225"/>
      <c r="K11358" s="9"/>
      <c r="L11358" s="9"/>
    </row>
    <row r="11359" s="105" customFormat="1" spans="9:12">
      <c r="I11359" s="225"/>
      <c r="K11359" s="9"/>
      <c r="L11359" s="9"/>
    </row>
    <row r="11360" s="105" customFormat="1" spans="9:12">
      <c r="I11360" s="225"/>
      <c r="K11360" s="9"/>
      <c r="L11360" s="9"/>
    </row>
    <row r="11361" s="105" customFormat="1" spans="9:12">
      <c r="I11361" s="225"/>
      <c r="K11361" s="9"/>
      <c r="L11361" s="9"/>
    </row>
    <row r="11362" s="105" customFormat="1" spans="9:12">
      <c r="I11362" s="225"/>
      <c r="K11362" s="9"/>
      <c r="L11362" s="9"/>
    </row>
    <row r="11363" s="105" customFormat="1" spans="9:12">
      <c r="I11363" s="225"/>
      <c r="K11363" s="9"/>
      <c r="L11363" s="9"/>
    </row>
    <row r="11364" s="105" customFormat="1" spans="9:12">
      <c r="I11364" s="225"/>
      <c r="K11364" s="9"/>
      <c r="L11364" s="9"/>
    </row>
    <row r="11365" s="105" customFormat="1" spans="9:12">
      <c r="I11365" s="225"/>
      <c r="K11365" s="9"/>
      <c r="L11365" s="9"/>
    </row>
    <row r="11366" s="105" customFormat="1" spans="9:12">
      <c r="I11366" s="225"/>
      <c r="K11366" s="9"/>
      <c r="L11366" s="9"/>
    </row>
    <row r="11367" s="105" customFormat="1" spans="9:12">
      <c r="I11367" s="225"/>
      <c r="K11367" s="9"/>
      <c r="L11367" s="9"/>
    </row>
    <row r="11368" s="105" customFormat="1" spans="9:12">
      <c r="I11368" s="225"/>
      <c r="K11368" s="9"/>
      <c r="L11368" s="9"/>
    </row>
    <row r="11369" s="105" customFormat="1" spans="9:12">
      <c r="I11369" s="225"/>
      <c r="K11369" s="9"/>
      <c r="L11369" s="9"/>
    </row>
    <row r="11370" s="105" customFormat="1" spans="9:12">
      <c r="I11370" s="225"/>
      <c r="K11370" s="9"/>
      <c r="L11370" s="9"/>
    </row>
    <row r="11371" s="105" customFormat="1" spans="9:12">
      <c r="I11371" s="225"/>
      <c r="K11371" s="9"/>
      <c r="L11371" s="9"/>
    </row>
    <row r="11372" s="105" customFormat="1" spans="9:12">
      <c r="I11372" s="225"/>
      <c r="K11372" s="9"/>
      <c r="L11372" s="9"/>
    </row>
    <row r="11373" s="105" customFormat="1" spans="9:12">
      <c r="I11373" s="225"/>
      <c r="K11373" s="9"/>
      <c r="L11373" s="9"/>
    </row>
    <row r="11374" s="105" customFormat="1" spans="9:12">
      <c r="I11374" s="225"/>
      <c r="K11374" s="9"/>
      <c r="L11374" s="9"/>
    </row>
    <row r="11375" s="105" customFormat="1" spans="9:12">
      <c r="I11375" s="225"/>
      <c r="K11375" s="9"/>
      <c r="L11375" s="9"/>
    </row>
    <row r="11376" s="105" customFormat="1" spans="9:12">
      <c r="I11376" s="225"/>
      <c r="K11376" s="9"/>
      <c r="L11376" s="9"/>
    </row>
    <row r="11377" s="105" customFormat="1" spans="9:12">
      <c r="I11377" s="225"/>
      <c r="K11377" s="9"/>
      <c r="L11377" s="9"/>
    </row>
    <row r="11378" s="105" customFormat="1" spans="9:12">
      <c r="I11378" s="225"/>
      <c r="K11378" s="9"/>
      <c r="L11378" s="9"/>
    </row>
    <row r="11379" s="105" customFormat="1" spans="9:12">
      <c r="I11379" s="225"/>
      <c r="K11379" s="9"/>
      <c r="L11379" s="9"/>
    </row>
    <row r="11380" s="105" customFormat="1" spans="9:12">
      <c r="I11380" s="225"/>
      <c r="K11380" s="9"/>
      <c r="L11380" s="9"/>
    </row>
    <row r="11381" s="105" customFormat="1" spans="9:12">
      <c r="I11381" s="225"/>
      <c r="K11381" s="9"/>
      <c r="L11381" s="9"/>
    </row>
    <row r="11382" s="105" customFormat="1" spans="9:12">
      <c r="I11382" s="225"/>
      <c r="K11382" s="9"/>
      <c r="L11382" s="9"/>
    </row>
    <row r="11383" s="105" customFormat="1" spans="9:12">
      <c r="I11383" s="225"/>
      <c r="K11383" s="9"/>
      <c r="L11383" s="9"/>
    </row>
    <row r="11384" s="105" customFormat="1" spans="9:12">
      <c r="I11384" s="225"/>
      <c r="K11384" s="9"/>
      <c r="L11384" s="9"/>
    </row>
    <row r="11385" s="105" customFormat="1" spans="9:12">
      <c r="I11385" s="225"/>
      <c r="K11385" s="9"/>
      <c r="L11385" s="9"/>
    </row>
    <row r="11386" s="105" customFormat="1" spans="9:12">
      <c r="I11386" s="225"/>
      <c r="K11386" s="9"/>
      <c r="L11386" s="9"/>
    </row>
    <row r="11387" s="105" customFormat="1" spans="9:12">
      <c r="I11387" s="225"/>
      <c r="K11387" s="9"/>
      <c r="L11387" s="9"/>
    </row>
    <row r="11388" s="105" customFormat="1" spans="9:12">
      <c r="I11388" s="225"/>
      <c r="K11388" s="9"/>
      <c r="L11388" s="9"/>
    </row>
    <row r="11389" s="105" customFormat="1" spans="9:12">
      <c r="I11389" s="225"/>
      <c r="K11389" s="9"/>
      <c r="L11389" s="9"/>
    </row>
    <row r="11390" s="105" customFormat="1" spans="9:12">
      <c r="I11390" s="225"/>
      <c r="K11390" s="9"/>
      <c r="L11390" s="9"/>
    </row>
    <row r="11391" s="105" customFormat="1" spans="9:12">
      <c r="I11391" s="225"/>
      <c r="K11391" s="9"/>
      <c r="L11391" s="9"/>
    </row>
    <row r="11392" s="105" customFormat="1" spans="9:12">
      <c r="I11392" s="225"/>
      <c r="K11392" s="9"/>
      <c r="L11392" s="9"/>
    </row>
    <row r="11393" s="105" customFormat="1" spans="9:12">
      <c r="I11393" s="225"/>
      <c r="K11393" s="9"/>
      <c r="L11393" s="9"/>
    </row>
    <row r="11394" s="105" customFormat="1" spans="9:12">
      <c r="I11394" s="225"/>
      <c r="K11394" s="9"/>
      <c r="L11394" s="9"/>
    </row>
    <row r="11395" s="105" customFormat="1" spans="9:12">
      <c r="I11395" s="225"/>
      <c r="K11395" s="9"/>
      <c r="L11395" s="9"/>
    </row>
    <row r="11396" s="105" customFormat="1" spans="9:12">
      <c r="I11396" s="225"/>
      <c r="K11396" s="9"/>
      <c r="L11396" s="9"/>
    </row>
    <row r="11397" s="105" customFormat="1" spans="9:12">
      <c r="I11397" s="225"/>
      <c r="K11397" s="9"/>
      <c r="L11397" s="9"/>
    </row>
    <row r="11398" s="105" customFormat="1" spans="9:12">
      <c r="I11398" s="225"/>
      <c r="K11398" s="9"/>
      <c r="L11398" s="9"/>
    </row>
    <row r="11399" s="105" customFormat="1" spans="9:12">
      <c r="I11399" s="225"/>
      <c r="K11399" s="9"/>
      <c r="L11399" s="9"/>
    </row>
    <row r="11400" s="105" customFormat="1" spans="9:12">
      <c r="I11400" s="225"/>
      <c r="K11400" s="9"/>
      <c r="L11400" s="9"/>
    </row>
    <row r="11401" s="105" customFormat="1" spans="9:12">
      <c r="I11401" s="225"/>
      <c r="K11401" s="9"/>
      <c r="L11401" s="9"/>
    </row>
    <row r="11402" s="105" customFormat="1" spans="9:12">
      <c r="I11402" s="225"/>
      <c r="K11402" s="9"/>
      <c r="L11402" s="9"/>
    </row>
    <row r="11403" s="105" customFormat="1" spans="9:12">
      <c r="I11403" s="225"/>
      <c r="K11403" s="9"/>
      <c r="L11403" s="9"/>
    </row>
    <row r="11404" s="105" customFormat="1" spans="9:12">
      <c r="I11404" s="225"/>
      <c r="K11404" s="9"/>
      <c r="L11404" s="9"/>
    </row>
    <row r="11405" s="105" customFormat="1" spans="9:12">
      <c r="I11405" s="225"/>
      <c r="K11405" s="9"/>
      <c r="L11405" s="9"/>
    </row>
    <row r="11406" s="105" customFormat="1" spans="9:12">
      <c r="I11406" s="225"/>
      <c r="K11406" s="9"/>
      <c r="L11406" s="9"/>
    </row>
    <row r="11407" s="105" customFormat="1" spans="9:12">
      <c r="I11407" s="225"/>
      <c r="K11407" s="9"/>
      <c r="L11407" s="9"/>
    </row>
    <row r="11408" s="105" customFormat="1" spans="9:12">
      <c r="I11408" s="225"/>
      <c r="K11408" s="9"/>
      <c r="L11408" s="9"/>
    </row>
    <row r="11409" s="105" customFormat="1" spans="9:12">
      <c r="I11409" s="225"/>
      <c r="K11409" s="9"/>
      <c r="L11409" s="9"/>
    </row>
    <row r="11410" s="105" customFormat="1" spans="9:12">
      <c r="I11410" s="225"/>
      <c r="K11410" s="9"/>
      <c r="L11410" s="9"/>
    </row>
    <row r="11411" s="105" customFormat="1" spans="9:12">
      <c r="I11411" s="225"/>
      <c r="K11411" s="9"/>
      <c r="L11411" s="9"/>
    </row>
    <row r="11412" s="105" customFormat="1" spans="9:12">
      <c r="I11412" s="225"/>
      <c r="K11412" s="9"/>
      <c r="L11412" s="9"/>
    </row>
    <row r="11413" s="105" customFormat="1" spans="9:12">
      <c r="I11413" s="225"/>
      <c r="K11413" s="9"/>
      <c r="L11413" s="9"/>
    </row>
    <row r="11414" s="105" customFormat="1" spans="9:12">
      <c r="I11414" s="225"/>
      <c r="K11414" s="9"/>
      <c r="L11414" s="9"/>
    </row>
    <row r="11415" s="105" customFormat="1" spans="9:12">
      <c r="I11415" s="225"/>
      <c r="K11415" s="9"/>
      <c r="L11415" s="9"/>
    </row>
    <row r="11416" s="105" customFormat="1" spans="9:12">
      <c r="I11416" s="225"/>
      <c r="K11416" s="9"/>
      <c r="L11416" s="9"/>
    </row>
    <row r="11417" s="105" customFormat="1" spans="9:12">
      <c r="I11417" s="225"/>
      <c r="K11417" s="9"/>
      <c r="L11417" s="9"/>
    </row>
    <row r="11418" s="105" customFormat="1" spans="9:12">
      <c r="I11418" s="225"/>
      <c r="K11418" s="9"/>
      <c r="L11418" s="9"/>
    </row>
    <row r="11419" s="105" customFormat="1" spans="9:12">
      <c r="I11419" s="225"/>
      <c r="K11419" s="9"/>
      <c r="L11419" s="9"/>
    </row>
    <row r="11420" s="105" customFormat="1" spans="9:12">
      <c r="I11420" s="225"/>
      <c r="K11420" s="9"/>
      <c r="L11420" s="9"/>
    </row>
    <row r="11421" s="105" customFormat="1" spans="9:12">
      <c r="I11421" s="225"/>
      <c r="K11421" s="9"/>
      <c r="L11421" s="9"/>
    </row>
    <row r="11422" s="105" customFormat="1" spans="9:12">
      <c r="I11422" s="225"/>
      <c r="K11422" s="9"/>
      <c r="L11422" s="9"/>
    </row>
    <row r="11423" s="105" customFormat="1" spans="9:12">
      <c r="I11423" s="225"/>
      <c r="K11423" s="9"/>
      <c r="L11423" s="9"/>
    </row>
    <row r="11424" s="105" customFormat="1" spans="9:12">
      <c r="I11424" s="225"/>
      <c r="K11424" s="9"/>
      <c r="L11424" s="9"/>
    </row>
    <row r="11425" s="105" customFormat="1" spans="9:12">
      <c r="I11425" s="225"/>
      <c r="K11425" s="9"/>
      <c r="L11425" s="9"/>
    </row>
    <row r="11426" s="105" customFormat="1" spans="9:12">
      <c r="I11426" s="225"/>
      <c r="K11426" s="9"/>
      <c r="L11426" s="9"/>
    </row>
    <row r="11427" s="105" customFormat="1" spans="9:12">
      <c r="I11427" s="225"/>
      <c r="K11427" s="9"/>
      <c r="L11427" s="9"/>
    </row>
    <row r="11428" s="105" customFormat="1" spans="9:12">
      <c r="I11428" s="225"/>
      <c r="K11428" s="9"/>
      <c r="L11428" s="9"/>
    </row>
    <row r="11429" s="105" customFormat="1" spans="9:12">
      <c r="I11429" s="225"/>
      <c r="K11429" s="9"/>
      <c r="L11429" s="9"/>
    </row>
    <row r="11430" s="105" customFormat="1" spans="9:12">
      <c r="I11430" s="225"/>
      <c r="K11430" s="9"/>
      <c r="L11430" s="9"/>
    </row>
    <row r="11431" s="105" customFormat="1" spans="9:12">
      <c r="I11431" s="225"/>
      <c r="K11431" s="9"/>
      <c r="L11431" s="9"/>
    </row>
    <row r="11432" s="105" customFormat="1" spans="9:12">
      <c r="I11432" s="225"/>
      <c r="K11432" s="9"/>
      <c r="L11432" s="9"/>
    </row>
    <row r="11433" s="105" customFormat="1" spans="9:12">
      <c r="I11433" s="225"/>
      <c r="K11433" s="9"/>
      <c r="L11433" s="9"/>
    </row>
    <row r="11434" s="105" customFormat="1" spans="9:12">
      <c r="I11434" s="225"/>
      <c r="K11434" s="9"/>
      <c r="L11434" s="9"/>
    </row>
    <row r="11435" s="105" customFormat="1" spans="9:12">
      <c r="I11435" s="225"/>
      <c r="K11435" s="9"/>
      <c r="L11435" s="9"/>
    </row>
    <row r="11436" s="105" customFormat="1" spans="9:12">
      <c r="I11436" s="225"/>
      <c r="K11436" s="9"/>
      <c r="L11436" s="9"/>
    </row>
    <row r="11437" s="105" customFormat="1" spans="9:12">
      <c r="I11437" s="225"/>
      <c r="K11437" s="9"/>
      <c r="L11437" s="9"/>
    </row>
    <row r="11438" s="105" customFormat="1" spans="9:12">
      <c r="I11438" s="225"/>
      <c r="K11438" s="9"/>
      <c r="L11438" s="9"/>
    </row>
    <row r="11439" s="105" customFormat="1" spans="9:12">
      <c r="I11439" s="225"/>
      <c r="K11439" s="9"/>
      <c r="L11439" s="9"/>
    </row>
    <row r="11440" s="105" customFormat="1" spans="9:12">
      <c r="I11440" s="225"/>
      <c r="K11440" s="9"/>
      <c r="L11440" s="9"/>
    </row>
    <row r="11441" s="105" customFormat="1" spans="9:12">
      <c r="I11441" s="225"/>
      <c r="K11441" s="9"/>
      <c r="L11441" s="9"/>
    </row>
    <row r="11442" s="105" customFormat="1" spans="9:12">
      <c r="I11442" s="225"/>
      <c r="K11442" s="9"/>
      <c r="L11442" s="9"/>
    </row>
    <row r="11443" s="105" customFormat="1" spans="9:12">
      <c r="I11443" s="225"/>
      <c r="K11443" s="9"/>
      <c r="L11443" s="9"/>
    </row>
    <row r="11444" s="105" customFormat="1" spans="9:12">
      <c r="I11444" s="225"/>
      <c r="K11444" s="9"/>
      <c r="L11444" s="9"/>
    </row>
    <row r="11445" s="105" customFormat="1" spans="9:12">
      <c r="I11445" s="225"/>
      <c r="K11445" s="9"/>
      <c r="L11445" s="9"/>
    </row>
    <row r="11446" s="105" customFormat="1" spans="9:12">
      <c r="I11446" s="225"/>
      <c r="K11446" s="9"/>
      <c r="L11446" s="9"/>
    </row>
    <row r="11447" s="105" customFormat="1" spans="9:12">
      <c r="I11447" s="225"/>
      <c r="K11447" s="9"/>
      <c r="L11447" s="9"/>
    </row>
    <row r="11448" s="105" customFormat="1" spans="9:12">
      <c r="I11448" s="225"/>
      <c r="K11448" s="9"/>
      <c r="L11448" s="9"/>
    </row>
    <row r="11449" s="105" customFormat="1" spans="9:12">
      <c r="I11449" s="225"/>
      <c r="K11449" s="9"/>
      <c r="L11449" s="9"/>
    </row>
    <row r="11450" s="105" customFormat="1" spans="9:12">
      <c r="I11450" s="225"/>
      <c r="K11450" s="9"/>
      <c r="L11450" s="9"/>
    </row>
    <row r="11451" s="105" customFormat="1" spans="9:12">
      <c r="I11451" s="225"/>
      <c r="K11451" s="9"/>
      <c r="L11451" s="9"/>
    </row>
    <row r="11452" s="105" customFormat="1" spans="9:12">
      <c r="I11452" s="225"/>
      <c r="K11452" s="9"/>
      <c r="L11452" s="9"/>
    </row>
    <row r="11453" s="105" customFormat="1" spans="9:12">
      <c r="I11453" s="225"/>
      <c r="K11453" s="9"/>
      <c r="L11453" s="9"/>
    </row>
    <row r="11454" s="105" customFormat="1" spans="9:12">
      <c r="I11454" s="225"/>
      <c r="K11454" s="9"/>
      <c r="L11454" s="9"/>
    </row>
    <row r="11455" s="105" customFormat="1" spans="9:12">
      <c r="I11455" s="225"/>
      <c r="K11455" s="9"/>
      <c r="L11455" s="9"/>
    </row>
    <row r="11456" s="105" customFormat="1" spans="9:12">
      <c r="I11456" s="225"/>
      <c r="K11456" s="9"/>
      <c r="L11456" s="9"/>
    </row>
    <row r="11457" s="105" customFormat="1" spans="9:12">
      <c r="I11457" s="225"/>
      <c r="K11457" s="9"/>
      <c r="L11457" s="9"/>
    </row>
    <row r="11458" s="105" customFormat="1" spans="9:12">
      <c r="I11458" s="225"/>
      <c r="K11458" s="9"/>
      <c r="L11458" s="9"/>
    </row>
    <row r="11459" s="105" customFormat="1" spans="9:12">
      <c r="I11459" s="225"/>
      <c r="K11459" s="9"/>
      <c r="L11459" s="9"/>
    </row>
    <row r="11460" s="105" customFormat="1" spans="9:12">
      <c r="I11460" s="225"/>
      <c r="K11460" s="9"/>
      <c r="L11460" s="9"/>
    </row>
    <row r="11461" s="105" customFormat="1" spans="9:12">
      <c r="I11461" s="225"/>
      <c r="K11461" s="9"/>
      <c r="L11461" s="9"/>
    </row>
    <row r="11462" s="105" customFormat="1" spans="9:12">
      <c r="I11462" s="225"/>
      <c r="K11462" s="9"/>
      <c r="L11462" s="9"/>
    </row>
    <row r="11463" s="105" customFormat="1" spans="9:12">
      <c r="I11463" s="225"/>
      <c r="K11463" s="9"/>
      <c r="L11463" s="9"/>
    </row>
    <row r="11464" s="105" customFormat="1" spans="9:12">
      <c r="I11464" s="225"/>
      <c r="K11464" s="9"/>
      <c r="L11464" s="9"/>
    </row>
    <row r="11465" s="105" customFormat="1" spans="9:12">
      <c r="I11465" s="225"/>
      <c r="K11465" s="9"/>
      <c r="L11465" s="9"/>
    </row>
    <row r="11466" s="105" customFormat="1" spans="9:12">
      <c r="I11466" s="225"/>
      <c r="K11466" s="9"/>
      <c r="L11466" s="9"/>
    </row>
    <row r="11467" s="105" customFormat="1" spans="9:12">
      <c r="I11467" s="225"/>
      <c r="K11467" s="9"/>
      <c r="L11467" s="9"/>
    </row>
    <row r="11468" s="105" customFormat="1" spans="9:12">
      <c r="I11468" s="225"/>
      <c r="K11468" s="9"/>
      <c r="L11468" s="9"/>
    </row>
    <row r="11469" s="105" customFormat="1" spans="9:12">
      <c r="I11469" s="225"/>
      <c r="K11469" s="9"/>
      <c r="L11469" s="9"/>
    </row>
    <row r="11470" s="105" customFormat="1" spans="9:12">
      <c r="I11470" s="225"/>
      <c r="K11470" s="9"/>
      <c r="L11470" s="9"/>
    </row>
    <row r="11471" s="105" customFormat="1" spans="9:12">
      <c r="I11471" s="225"/>
      <c r="K11471" s="9"/>
      <c r="L11471" s="9"/>
    </row>
    <row r="11472" s="105" customFormat="1" spans="9:12">
      <c r="I11472" s="225"/>
      <c r="K11472" s="9"/>
      <c r="L11472" s="9"/>
    </row>
    <row r="11473" s="105" customFormat="1" spans="9:12">
      <c r="I11473" s="225"/>
      <c r="K11473" s="9"/>
      <c r="L11473" s="9"/>
    </row>
    <row r="11474" s="105" customFormat="1" spans="9:12">
      <c r="I11474" s="225"/>
      <c r="K11474" s="9"/>
      <c r="L11474" s="9"/>
    </row>
    <row r="11475" s="105" customFormat="1" spans="9:12">
      <c r="I11475" s="225"/>
      <c r="K11475" s="9"/>
      <c r="L11475" s="9"/>
    </row>
    <row r="11476" s="105" customFormat="1" spans="9:12">
      <c r="I11476" s="225"/>
      <c r="K11476" s="9"/>
      <c r="L11476" s="9"/>
    </row>
    <row r="11477" s="105" customFormat="1" spans="9:12">
      <c r="I11477" s="225"/>
      <c r="K11477" s="9"/>
      <c r="L11477" s="9"/>
    </row>
    <row r="11478" s="105" customFormat="1" spans="9:12">
      <c r="I11478" s="225"/>
      <c r="K11478" s="9"/>
      <c r="L11478" s="9"/>
    </row>
    <row r="11479" s="105" customFormat="1" spans="9:12">
      <c r="I11479" s="225"/>
      <c r="K11479" s="9"/>
      <c r="L11479" s="9"/>
    </row>
    <row r="11480" s="105" customFormat="1" spans="9:12">
      <c r="I11480" s="225"/>
      <c r="K11480" s="9"/>
      <c r="L11480" s="9"/>
    </row>
    <row r="11481" s="105" customFormat="1" spans="9:12">
      <c r="I11481" s="225"/>
      <c r="K11481" s="9"/>
      <c r="L11481" s="9"/>
    </row>
    <row r="11482" s="105" customFormat="1" spans="9:12">
      <c r="I11482" s="225"/>
      <c r="K11482" s="9"/>
      <c r="L11482" s="9"/>
    </row>
    <row r="11483" s="105" customFormat="1" spans="9:12">
      <c r="I11483" s="225"/>
      <c r="K11483" s="9"/>
      <c r="L11483" s="9"/>
    </row>
    <row r="11484" s="105" customFormat="1" spans="9:12">
      <c r="I11484" s="225"/>
      <c r="K11484" s="9"/>
      <c r="L11484" s="9"/>
    </row>
    <row r="11485" s="105" customFormat="1" spans="9:12">
      <c r="I11485" s="225"/>
      <c r="K11485" s="9"/>
      <c r="L11485" s="9"/>
    </row>
    <row r="11486" s="105" customFormat="1" spans="9:12">
      <c r="I11486" s="225"/>
      <c r="K11486" s="9"/>
      <c r="L11486" s="9"/>
    </row>
    <row r="11487" s="105" customFormat="1" spans="9:12">
      <c r="I11487" s="225"/>
      <c r="K11487" s="9"/>
      <c r="L11487" s="9"/>
    </row>
    <row r="11488" s="105" customFormat="1" spans="9:12">
      <c r="I11488" s="225"/>
      <c r="K11488" s="9"/>
      <c r="L11488" s="9"/>
    </row>
    <row r="11489" s="105" customFormat="1" spans="9:12">
      <c r="I11489" s="225"/>
      <c r="K11489" s="9"/>
      <c r="L11489" s="9"/>
    </row>
    <row r="11490" s="105" customFormat="1" spans="9:12">
      <c r="I11490" s="225"/>
      <c r="K11490" s="9"/>
      <c r="L11490" s="9"/>
    </row>
    <row r="11491" s="105" customFormat="1" spans="9:12">
      <c r="I11491" s="225"/>
      <c r="K11491" s="9"/>
      <c r="L11491" s="9"/>
    </row>
    <row r="11492" s="105" customFormat="1" spans="9:12">
      <c r="I11492" s="225"/>
      <c r="K11492" s="9"/>
      <c r="L11492" s="9"/>
    </row>
    <row r="11493" s="105" customFormat="1" spans="9:12">
      <c r="I11493" s="225"/>
      <c r="K11493" s="9"/>
      <c r="L11493" s="9"/>
    </row>
    <row r="11494" s="105" customFormat="1" spans="9:12">
      <c r="I11494" s="225"/>
      <c r="K11494" s="9"/>
      <c r="L11494" s="9"/>
    </row>
    <row r="11495" s="105" customFormat="1" spans="9:12">
      <c r="I11495" s="225"/>
      <c r="K11495" s="9"/>
      <c r="L11495" s="9"/>
    </row>
    <row r="11496" s="105" customFormat="1" spans="9:12">
      <c r="I11496" s="225"/>
      <c r="K11496" s="9"/>
      <c r="L11496" s="9"/>
    </row>
    <row r="11497" s="105" customFormat="1" spans="9:12">
      <c r="I11497" s="225"/>
      <c r="K11497" s="9"/>
      <c r="L11497" s="9"/>
    </row>
    <row r="11498" s="105" customFormat="1" spans="9:12">
      <c r="I11498" s="225"/>
      <c r="K11498" s="9"/>
      <c r="L11498" s="9"/>
    </row>
    <row r="11499" s="105" customFormat="1" spans="9:12">
      <c r="I11499" s="225"/>
      <c r="K11499" s="9"/>
      <c r="L11499" s="9"/>
    </row>
    <row r="11500" s="105" customFormat="1" spans="9:12">
      <c r="I11500" s="225"/>
      <c r="K11500" s="9"/>
      <c r="L11500" s="9"/>
    </row>
    <row r="11501" s="105" customFormat="1" spans="9:12">
      <c r="I11501" s="225"/>
      <c r="K11501" s="9"/>
      <c r="L11501" s="9"/>
    </row>
    <row r="11502" s="105" customFormat="1" spans="9:12">
      <c r="I11502" s="225"/>
      <c r="K11502" s="9"/>
      <c r="L11502" s="9"/>
    </row>
    <row r="11503" s="105" customFormat="1" spans="9:12">
      <c r="I11503" s="225"/>
      <c r="K11503" s="9"/>
      <c r="L11503" s="9"/>
    </row>
    <row r="11504" s="105" customFormat="1" spans="9:12">
      <c r="I11504" s="225"/>
      <c r="K11504" s="9"/>
      <c r="L11504" s="9"/>
    </row>
    <row r="11505" s="105" customFormat="1" spans="9:12">
      <c r="I11505" s="225"/>
      <c r="K11505" s="9"/>
      <c r="L11505" s="9"/>
    </row>
    <row r="11506" s="105" customFormat="1" spans="9:12">
      <c r="I11506" s="225"/>
      <c r="K11506" s="9"/>
      <c r="L11506" s="9"/>
    </row>
    <row r="11507" s="105" customFormat="1" spans="9:12">
      <c r="I11507" s="225"/>
      <c r="K11507" s="9"/>
      <c r="L11507" s="9"/>
    </row>
    <row r="11508" s="105" customFormat="1" spans="9:12">
      <c r="I11508" s="225"/>
      <c r="K11508" s="9"/>
      <c r="L11508" s="9"/>
    </row>
    <row r="11509" s="105" customFormat="1" spans="9:12">
      <c r="I11509" s="225"/>
      <c r="K11509" s="9"/>
      <c r="L11509" s="9"/>
    </row>
    <row r="11510" s="105" customFormat="1" spans="9:12">
      <c r="I11510" s="225"/>
      <c r="K11510" s="9"/>
      <c r="L11510" s="9"/>
    </row>
    <row r="11511" s="105" customFormat="1" spans="9:12">
      <c r="I11511" s="225"/>
      <c r="K11511" s="9"/>
      <c r="L11511" s="9"/>
    </row>
    <row r="11512" s="105" customFormat="1" spans="9:12">
      <c r="I11512" s="225"/>
      <c r="K11512" s="9"/>
      <c r="L11512" s="9"/>
    </row>
    <row r="11513" s="105" customFormat="1" spans="9:12">
      <c r="I11513" s="225"/>
      <c r="K11513" s="9"/>
      <c r="L11513" s="9"/>
    </row>
    <row r="11514" s="105" customFormat="1" spans="9:12">
      <c r="I11514" s="225"/>
      <c r="K11514" s="9"/>
      <c r="L11514" s="9"/>
    </row>
    <row r="11515" s="105" customFormat="1" spans="9:12">
      <c r="I11515" s="225"/>
      <c r="K11515" s="9"/>
      <c r="L11515" s="9"/>
    </row>
    <row r="11516" s="105" customFormat="1" spans="9:12">
      <c r="I11516" s="225"/>
      <c r="K11516" s="9"/>
      <c r="L11516" s="9"/>
    </row>
    <row r="11517" s="105" customFormat="1" spans="9:12">
      <c r="I11517" s="225"/>
      <c r="K11517" s="9"/>
      <c r="L11517" s="9"/>
    </row>
    <row r="11518" s="105" customFormat="1" spans="9:12">
      <c r="I11518" s="225"/>
      <c r="K11518" s="9"/>
      <c r="L11518" s="9"/>
    </row>
    <row r="11519" s="105" customFormat="1" spans="9:12">
      <c r="I11519" s="225"/>
      <c r="K11519" s="9"/>
      <c r="L11519" s="9"/>
    </row>
    <row r="11520" s="105" customFormat="1" spans="9:12">
      <c r="I11520" s="225"/>
      <c r="K11520" s="9"/>
      <c r="L11520" s="9"/>
    </row>
    <row r="11521" s="105" customFormat="1" spans="9:12">
      <c r="I11521" s="225"/>
      <c r="K11521" s="9"/>
      <c r="L11521" s="9"/>
    </row>
    <row r="11522" s="105" customFormat="1" spans="9:12">
      <c r="I11522" s="225"/>
      <c r="K11522" s="9"/>
      <c r="L11522" s="9"/>
    </row>
    <row r="11523" s="105" customFormat="1" spans="9:12">
      <c r="I11523" s="225"/>
      <c r="K11523" s="9"/>
      <c r="L11523" s="9"/>
    </row>
    <row r="11524" s="105" customFormat="1" spans="9:12">
      <c r="I11524" s="225"/>
      <c r="K11524" s="9"/>
      <c r="L11524" s="9"/>
    </row>
    <row r="11525" s="105" customFormat="1" spans="9:12">
      <c r="I11525" s="225"/>
      <c r="K11525" s="9"/>
      <c r="L11525" s="9"/>
    </row>
    <row r="11526" s="105" customFormat="1" spans="9:12">
      <c r="I11526" s="225"/>
      <c r="K11526" s="9"/>
      <c r="L11526" s="9"/>
    </row>
    <row r="11527" s="105" customFormat="1" spans="9:12">
      <c r="I11527" s="225"/>
      <c r="K11527" s="9"/>
      <c r="L11527" s="9"/>
    </row>
    <row r="11528" s="105" customFormat="1" spans="9:12">
      <c r="I11528" s="225"/>
      <c r="K11528" s="9"/>
      <c r="L11528" s="9"/>
    </row>
    <row r="11529" s="105" customFormat="1" spans="9:12">
      <c r="I11529" s="225"/>
      <c r="K11529" s="9"/>
      <c r="L11529" s="9"/>
    </row>
    <row r="11530" s="105" customFormat="1" spans="9:12">
      <c r="I11530" s="225"/>
      <c r="K11530" s="9"/>
      <c r="L11530" s="9"/>
    </row>
    <row r="11531" s="105" customFormat="1" spans="9:12">
      <c r="I11531" s="225"/>
      <c r="K11531" s="9"/>
      <c r="L11531" s="9"/>
    </row>
    <row r="11532" s="105" customFormat="1" spans="9:12">
      <c r="I11532" s="225"/>
      <c r="K11532" s="9"/>
      <c r="L11532" s="9"/>
    </row>
    <row r="11533" s="105" customFormat="1" spans="9:12">
      <c r="I11533" s="225"/>
      <c r="K11533" s="9"/>
      <c r="L11533" s="9"/>
    </row>
    <row r="11534" s="105" customFormat="1" spans="9:12">
      <c r="I11534" s="225"/>
      <c r="K11534" s="9"/>
      <c r="L11534" s="9"/>
    </row>
    <row r="11535" s="105" customFormat="1" spans="9:12">
      <c r="I11535" s="225"/>
      <c r="K11535" s="9"/>
      <c r="L11535" s="9"/>
    </row>
    <row r="11536" s="105" customFormat="1" spans="9:12">
      <c r="I11536" s="225"/>
      <c r="K11536" s="9"/>
      <c r="L11536" s="9"/>
    </row>
    <row r="11537" s="105" customFormat="1" spans="9:12">
      <c r="I11537" s="225"/>
      <c r="K11537" s="9"/>
      <c r="L11537" s="9"/>
    </row>
    <row r="11538" s="105" customFormat="1" spans="9:12">
      <c r="I11538" s="225"/>
      <c r="K11538" s="9"/>
      <c r="L11538" s="9"/>
    </row>
    <row r="11539" s="105" customFormat="1" spans="9:12">
      <c r="I11539" s="225"/>
      <c r="K11539" s="9"/>
      <c r="L11539" s="9"/>
    </row>
    <row r="11540" s="105" customFormat="1" spans="9:12">
      <c r="I11540" s="225"/>
      <c r="K11540" s="9"/>
      <c r="L11540" s="9"/>
    </row>
    <row r="11541" s="105" customFormat="1" spans="9:12">
      <c r="I11541" s="225"/>
      <c r="K11541" s="9"/>
      <c r="L11541" s="9"/>
    </row>
    <row r="11542" s="105" customFormat="1" spans="9:12">
      <c r="I11542" s="225"/>
      <c r="K11542" s="9"/>
      <c r="L11542" s="9"/>
    </row>
    <row r="11543" s="105" customFormat="1" spans="9:12">
      <c r="I11543" s="225"/>
      <c r="K11543" s="9"/>
      <c r="L11543" s="9"/>
    </row>
    <row r="11544" s="105" customFormat="1" spans="9:12">
      <c r="I11544" s="225"/>
      <c r="K11544" s="9"/>
      <c r="L11544" s="9"/>
    </row>
    <row r="11545" s="105" customFormat="1" spans="9:12">
      <c r="I11545" s="225"/>
      <c r="K11545" s="9"/>
      <c r="L11545" s="9"/>
    </row>
    <row r="11546" s="105" customFormat="1" spans="9:12">
      <c r="I11546" s="225"/>
      <c r="K11546" s="9"/>
      <c r="L11546" s="9"/>
    </row>
    <row r="11547" s="105" customFormat="1" spans="9:12">
      <c r="I11547" s="225"/>
      <c r="K11547" s="9"/>
      <c r="L11547" s="9"/>
    </row>
    <row r="11548" s="105" customFormat="1" spans="9:12">
      <c r="I11548" s="225"/>
      <c r="K11548" s="9"/>
      <c r="L11548" s="9"/>
    </row>
    <row r="11549" s="105" customFormat="1" spans="9:12">
      <c r="I11549" s="225"/>
      <c r="K11549" s="9"/>
      <c r="L11549" s="9"/>
    </row>
    <row r="11550" s="105" customFormat="1" spans="9:12">
      <c r="I11550" s="225"/>
      <c r="K11550" s="9"/>
      <c r="L11550" s="9"/>
    </row>
    <row r="11551" s="105" customFormat="1" spans="9:12">
      <c r="I11551" s="225"/>
      <c r="K11551" s="9"/>
      <c r="L11551" s="9"/>
    </row>
    <row r="11552" s="105" customFormat="1" spans="9:12">
      <c r="I11552" s="225"/>
      <c r="K11552" s="9"/>
      <c r="L11552" s="9"/>
    </row>
    <row r="11553" s="105" customFormat="1" spans="9:12">
      <c r="I11553" s="225"/>
      <c r="K11553" s="9"/>
      <c r="L11553" s="9"/>
    </row>
    <row r="11554" s="105" customFormat="1" spans="9:12">
      <c r="I11554" s="225"/>
      <c r="K11554" s="9"/>
      <c r="L11554" s="9"/>
    </row>
    <row r="11555" s="105" customFormat="1" spans="9:12">
      <c r="I11555" s="225"/>
      <c r="K11555" s="9"/>
      <c r="L11555" s="9"/>
    </row>
    <row r="11556" s="105" customFormat="1" spans="9:12">
      <c r="I11556" s="225"/>
      <c r="K11556" s="9"/>
      <c r="L11556" s="9"/>
    </row>
    <row r="11557" s="105" customFormat="1" spans="9:12">
      <c r="I11557" s="225"/>
      <c r="K11557" s="9"/>
      <c r="L11557" s="9"/>
    </row>
    <row r="11558" s="105" customFormat="1" spans="9:12">
      <c r="I11558" s="225"/>
      <c r="K11558" s="9"/>
      <c r="L11558" s="9"/>
    </row>
    <row r="11559" s="105" customFormat="1" spans="9:12">
      <c r="I11559" s="225"/>
      <c r="K11559" s="9"/>
      <c r="L11559" s="9"/>
    </row>
    <row r="11560" s="105" customFormat="1" spans="9:12">
      <c r="I11560" s="225"/>
      <c r="K11560" s="9"/>
      <c r="L11560" s="9"/>
    </row>
    <row r="11561" s="105" customFormat="1" spans="9:12">
      <c r="I11561" s="225"/>
      <c r="K11561" s="9"/>
      <c r="L11561" s="9"/>
    </row>
    <row r="11562" s="105" customFormat="1" spans="9:12">
      <c r="I11562" s="225"/>
      <c r="K11562" s="9"/>
      <c r="L11562" s="9"/>
    </row>
    <row r="11563" s="105" customFormat="1" spans="9:12">
      <c r="I11563" s="225"/>
      <c r="K11563" s="9"/>
      <c r="L11563" s="9"/>
    </row>
    <row r="11564" s="105" customFormat="1" spans="9:12">
      <c r="I11564" s="225"/>
      <c r="K11564" s="9"/>
      <c r="L11564" s="9"/>
    </row>
    <row r="11565" s="105" customFormat="1" spans="9:12">
      <c r="I11565" s="225"/>
      <c r="K11565" s="9"/>
      <c r="L11565" s="9"/>
    </row>
    <row r="11566" s="105" customFormat="1" spans="9:12">
      <c r="I11566" s="225"/>
      <c r="K11566" s="9"/>
      <c r="L11566" s="9"/>
    </row>
    <row r="11567" s="105" customFormat="1" spans="9:12">
      <c r="I11567" s="225"/>
      <c r="K11567" s="9"/>
      <c r="L11567" s="9"/>
    </row>
    <row r="11568" s="105" customFormat="1" spans="9:12">
      <c r="I11568" s="225"/>
      <c r="K11568" s="9"/>
      <c r="L11568" s="9"/>
    </row>
    <row r="11569" s="105" customFormat="1" spans="9:12">
      <c r="I11569" s="225"/>
      <c r="K11569" s="9"/>
      <c r="L11569" s="9"/>
    </row>
    <row r="11570" s="105" customFormat="1" spans="9:12">
      <c r="I11570" s="225"/>
      <c r="K11570" s="9"/>
      <c r="L11570" s="9"/>
    </row>
    <row r="11571" s="105" customFormat="1" spans="9:12">
      <c r="I11571" s="225"/>
      <c r="K11571" s="9"/>
      <c r="L11571" s="9"/>
    </row>
    <row r="11572" s="105" customFormat="1" spans="9:12">
      <c r="I11572" s="225"/>
      <c r="K11572" s="9"/>
      <c r="L11572" s="9"/>
    </row>
    <row r="11573" s="105" customFormat="1" spans="9:12">
      <c r="I11573" s="225"/>
      <c r="K11573" s="9"/>
      <c r="L11573" s="9"/>
    </row>
    <row r="11574" s="105" customFormat="1" spans="9:12">
      <c r="I11574" s="225"/>
      <c r="K11574" s="9"/>
      <c r="L11574" s="9"/>
    </row>
    <row r="11575" s="105" customFormat="1" spans="9:12">
      <c r="I11575" s="225"/>
      <c r="K11575" s="9"/>
      <c r="L11575" s="9"/>
    </row>
    <row r="11576" s="105" customFormat="1" spans="9:12">
      <c r="I11576" s="225"/>
      <c r="K11576" s="9"/>
      <c r="L11576" s="9"/>
    </row>
    <row r="11577" s="105" customFormat="1" spans="9:12">
      <c r="I11577" s="225"/>
      <c r="K11577" s="9"/>
      <c r="L11577" s="9"/>
    </row>
    <row r="11578" s="105" customFormat="1" spans="9:12">
      <c r="I11578" s="225"/>
      <c r="K11578" s="9"/>
      <c r="L11578" s="9"/>
    </row>
    <row r="11579" s="105" customFormat="1" spans="9:12">
      <c r="I11579" s="225"/>
      <c r="K11579" s="9"/>
      <c r="L11579" s="9"/>
    </row>
    <row r="11580" s="105" customFormat="1" spans="9:12">
      <c r="I11580" s="225"/>
      <c r="K11580" s="9"/>
      <c r="L11580" s="9"/>
    </row>
    <row r="11581" s="105" customFormat="1" spans="9:12">
      <c r="I11581" s="225"/>
      <c r="K11581" s="9"/>
      <c r="L11581" s="9"/>
    </row>
    <row r="11582" s="105" customFormat="1" spans="9:12">
      <c r="I11582" s="225"/>
      <c r="K11582" s="9"/>
      <c r="L11582" s="9"/>
    </row>
    <row r="11583" s="105" customFormat="1" spans="9:12">
      <c r="I11583" s="225"/>
      <c r="K11583" s="9"/>
      <c r="L11583" s="9"/>
    </row>
    <row r="11584" s="105" customFormat="1" spans="9:12">
      <c r="I11584" s="225"/>
      <c r="K11584" s="9"/>
      <c r="L11584" s="9"/>
    </row>
    <row r="11585" s="105" customFormat="1" spans="9:12">
      <c r="I11585" s="225"/>
      <c r="K11585" s="9"/>
      <c r="L11585" s="9"/>
    </row>
    <row r="11586" s="105" customFormat="1" spans="9:12">
      <c r="I11586" s="225"/>
      <c r="K11586" s="9"/>
      <c r="L11586" s="9"/>
    </row>
    <row r="11587" s="105" customFormat="1" spans="9:12">
      <c r="I11587" s="225"/>
      <c r="K11587" s="9"/>
      <c r="L11587" s="9"/>
    </row>
    <row r="11588" s="105" customFormat="1" spans="9:12">
      <c r="I11588" s="225"/>
      <c r="K11588" s="9"/>
      <c r="L11588" s="9"/>
    </row>
    <row r="11589" s="105" customFormat="1" spans="9:12">
      <c r="I11589" s="225"/>
      <c r="K11589" s="9"/>
      <c r="L11589" s="9"/>
    </row>
    <row r="11590" s="105" customFormat="1" spans="9:12">
      <c r="I11590" s="225"/>
      <c r="K11590" s="9"/>
      <c r="L11590" s="9"/>
    </row>
    <row r="11591" s="105" customFormat="1" spans="9:12">
      <c r="I11591" s="225"/>
      <c r="K11591" s="9"/>
      <c r="L11591" s="9"/>
    </row>
    <row r="11592" s="105" customFormat="1" spans="9:12">
      <c r="I11592" s="225"/>
      <c r="K11592" s="9"/>
      <c r="L11592" s="9"/>
    </row>
    <row r="11593" s="105" customFormat="1" spans="9:12">
      <c r="I11593" s="225"/>
      <c r="K11593" s="9"/>
      <c r="L11593" s="9"/>
    </row>
    <row r="11594" s="105" customFormat="1" spans="9:12">
      <c r="I11594" s="225"/>
      <c r="K11594" s="9"/>
      <c r="L11594" s="9"/>
    </row>
    <row r="11595" s="105" customFormat="1" spans="9:12">
      <c r="I11595" s="225"/>
      <c r="K11595" s="9"/>
      <c r="L11595" s="9"/>
    </row>
    <row r="11596" s="105" customFormat="1" spans="9:12">
      <c r="I11596" s="225"/>
      <c r="K11596" s="9"/>
      <c r="L11596" s="9"/>
    </row>
    <row r="11597" s="105" customFormat="1" spans="9:12">
      <c r="I11597" s="225"/>
      <c r="K11597" s="9"/>
      <c r="L11597" s="9"/>
    </row>
    <row r="11598" s="105" customFormat="1" spans="9:12">
      <c r="I11598" s="225"/>
      <c r="K11598" s="9"/>
      <c r="L11598" s="9"/>
    </row>
    <row r="11599" s="105" customFormat="1" spans="9:12">
      <c r="I11599" s="225"/>
      <c r="K11599" s="9"/>
      <c r="L11599" s="9"/>
    </row>
    <row r="11600" s="105" customFormat="1" spans="9:12">
      <c r="I11600" s="225"/>
      <c r="K11600" s="9"/>
      <c r="L11600" s="9"/>
    </row>
    <row r="11601" s="105" customFormat="1" spans="9:12">
      <c r="I11601" s="225"/>
      <c r="K11601" s="9"/>
      <c r="L11601" s="9"/>
    </row>
    <row r="11602" s="105" customFormat="1" spans="9:12">
      <c r="I11602" s="225"/>
      <c r="K11602" s="9"/>
      <c r="L11602" s="9"/>
    </row>
    <row r="11603" s="105" customFormat="1" spans="9:12">
      <c r="I11603" s="225"/>
      <c r="K11603" s="9"/>
      <c r="L11603" s="9"/>
    </row>
    <row r="11604" s="105" customFormat="1" spans="9:12">
      <c r="I11604" s="225"/>
      <c r="K11604" s="9"/>
      <c r="L11604" s="9"/>
    </row>
    <row r="11605" s="105" customFormat="1" spans="9:12">
      <c r="I11605" s="225"/>
      <c r="K11605" s="9"/>
      <c r="L11605" s="9"/>
    </row>
    <row r="11606" s="105" customFormat="1" spans="9:12">
      <c r="I11606" s="225"/>
      <c r="K11606" s="9"/>
      <c r="L11606" s="9"/>
    </row>
    <row r="11607" s="105" customFormat="1" spans="9:12">
      <c r="I11607" s="225"/>
      <c r="K11607" s="9"/>
      <c r="L11607" s="9"/>
    </row>
    <row r="11608" s="105" customFormat="1" spans="9:12">
      <c r="I11608" s="225"/>
      <c r="K11608" s="9"/>
      <c r="L11608" s="9"/>
    </row>
    <row r="11609" s="105" customFormat="1" spans="9:12">
      <c r="I11609" s="225"/>
      <c r="K11609" s="9"/>
      <c r="L11609" s="9"/>
    </row>
    <row r="11610" s="105" customFormat="1" spans="9:12">
      <c r="I11610" s="225"/>
      <c r="K11610" s="9"/>
      <c r="L11610" s="9"/>
    </row>
    <row r="11611" s="105" customFormat="1" spans="9:12">
      <c r="I11611" s="225"/>
      <c r="K11611" s="9"/>
      <c r="L11611" s="9"/>
    </row>
    <row r="11612" s="105" customFormat="1" spans="9:12">
      <c r="I11612" s="225"/>
      <c r="K11612" s="9"/>
      <c r="L11612" s="9"/>
    </row>
    <row r="11613" s="105" customFormat="1" spans="9:12">
      <c r="I11613" s="225"/>
      <c r="K11613" s="9"/>
      <c r="L11613" s="9"/>
    </row>
    <row r="11614" s="105" customFormat="1" spans="9:12">
      <c r="I11614" s="225"/>
      <c r="K11614" s="9"/>
      <c r="L11614" s="9"/>
    </row>
    <row r="11615" s="105" customFormat="1" spans="9:12">
      <c r="I11615" s="225"/>
      <c r="K11615" s="9"/>
      <c r="L11615" s="9"/>
    </row>
    <row r="11616" s="105" customFormat="1" spans="9:12">
      <c r="I11616" s="225"/>
      <c r="K11616" s="9"/>
      <c r="L11616" s="9"/>
    </row>
    <row r="11617" s="105" customFormat="1" spans="9:12">
      <c r="I11617" s="225"/>
      <c r="K11617" s="9"/>
      <c r="L11617" s="9"/>
    </row>
    <row r="11618" s="105" customFormat="1" spans="9:12">
      <c r="I11618" s="225"/>
      <c r="K11618" s="9"/>
      <c r="L11618" s="9"/>
    </row>
    <row r="11619" s="105" customFormat="1" spans="9:12">
      <c r="I11619" s="225"/>
      <c r="K11619" s="9"/>
      <c r="L11619" s="9"/>
    </row>
    <row r="11620" s="105" customFormat="1" spans="9:12">
      <c r="I11620" s="225"/>
      <c r="K11620" s="9"/>
      <c r="L11620" s="9"/>
    </row>
    <row r="11621" s="105" customFormat="1" spans="9:12">
      <c r="I11621" s="225"/>
      <c r="K11621" s="9"/>
      <c r="L11621" s="9"/>
    </row>
    <row r="11622" s="105" customFormat="1" spans="9:12">
      <c r="I11622" s="225"/>
      <c r="K11622" s="9"/>
      <c r="L11622" s="9"/>
    </row>
    <row r="11623" s="105" customFormat="1" spans="9:12">
      <c r="I11623" s="225"/>
      <c r="K11623" s="9"/>
      <c r="L11623" s="9"/>
    </row>
    <row r="11624" s="105" customFormat="1" spans="9:12">
      <c r="I11624" s="225"/>
      <c r="K11624" s="9"/>
      <c r="L11624" s="9"/>
    </row>
    <row r="11625" s="105" customFormat="1" spans="9:12">
      <c r="I11625" s="225"/>
      <c r="K11625" s="9"/>
      <c r="L11625" s="9"/>
    </row>
    <row r="11626" s="105" customFormat="1" spans="9:12">
      <c r="I11626" s="225"/>
      <c r="K11626" s="9"/>
      <c r="L11626" s="9"/>
    </row>
    <row r="11627" s="105" customFormat="1" spans="9:12">
      <c r="I11627" s="225"/>
      <c r="K11627" s="9"/>
      <c r="L11627" s="9"/>
    </row>
    <row r="11628" s="105" customFormat="1" spans="9:12">
      <c r="I11628" s="225"/>
      <c r="K11628" s="9"/>
      <c r="L11628" s="9"/>
    </row>
    <row r="11629" s="105" customFormat="1" spans="9:12">
      <c r="I11629" s="225"/>
      <c r="K11629" s="9"/>
      <c r="L11629" s="9"/>
    </row>
    <row r="11630" s="105" customFormat="1" spans="9:12">
      <c r="I11630" s="225"/>
      <c r="K11630" s="9"/>
      <c r="L11630" s="9"/>
    </row>
    <row r="11631" s="105" customFormat="1" spans="9:12">
      <c r="I11631" s="225"/>
      <c r="K11631" s="9"/>
      <c r="L11631" s="9"/>
    </row>
    <row r="11632" s="105" customFormat="1" spans="9:12">
      <c r="I11632" s="225"/>
      <c r="K11632" s="9"/>
      <c r="L11632" s="9"/>
    </row>
    <row r="11633" s="105" customFormat="1" spans="9:12">
      <c r="I11633" s="225"/>
      <c r="K11633" s="9"/>
      <c r="L11633" s="9"/>
    </row>
    <row r="11634" s="105" customFormat="1" spans="9:12">
      <c r="I11634" s="225"/>
      <c r="K11634" s="9"/>
      <c r="L11634" s="9"/>
    </row>
    <row r="11635" s="105" customFormat="1" spans="9:12">
      <c r="I11635" s="225"/>
      <c r="K11635" s="9"/>
      <c r="L11635" s="9"/>
    </row>
    <row r="11636" s="105" customFormat="1" spans="9:12">
      <c r="I11636" s="225"/>
      <c r="K11636" s="9"/>
      <c r="L11636" s="9"/>
    </row>
    <row r="11637" s="105" customFormat="1" spans="9:12">
      <c r="I11637" s="225"/>
      <c r="K11637" s="9"/>
      <c r="L11637" s="9"/>
    </row>
    <row r="11638" s="105" customFormat="1" spans="9:12">
      <c r="I11638" s="225"/>
      <c r="K11638" s="9"/>
      <c r="L11638" s="9"/>
    </row>
    <row r="11639" s="105" customFormat="1" spans="9:12">
      <c r="I11639" s="225"/>
      <c r="K11639" s="9"/>
      <c r="L11639" s="9"/>
    </row>
    <row r="11640" s="105" customFormat="1" spans="9:12">
      <c r="I11640" s="225"/>
      <c r="K11640" s="9"/>
      <c r="L11640" s="9"/>
    </row>
    <row r="11641" s="105" customFormat="1" spans="9:12">
      <c r="I11641" s="225"/>
      <c r="K11641" s="9"/>
      <c r="L11641" s="9"/>
    </row>
    <row r="11642" s="105" customFormat="1" spans="9:12">
      <c r="I11642" s="225"/>
      <c r="K11642" s="9"/>
      <c r="L11642" s="9"/>
    </row>
    <row r="11643" s="105" customFormat="1" spans="9:12">
      <c r="I11643" s="225"/>
      <c r="K11643" s="9"/>
      <c r="L11643" s="9"/>
    </row>
    <row r="11644" s="105" customFormat="1" spans="9:12">
      <c r="I11644" s="225"/>
      <c r="K11644" s="9"/>
      <c r="L11644" s="9"/>
    </row>
    <row r="11645" s="105" customFormat="1" spans="9:12">
      <c r="I11645" s="225"/>
      <c r="K11645" s="9"/>
      <c r="L11645" s="9"/>
    </row>
    <row r="11646" s="105" customFormat="1" spans="9:12">
      <c r="I11646" s="225"/>
      <c r="K11646" s="9"/>
      <c r="L11646" s="9"/>
    </row>
    <row r="11647" s="105" customFormat="1" spans="9:12">
      <c r="I11647" s="225"/>
      <c r="K11647" s="9"/>
      <c r="L11647" s="9"/>
    </row>
    <row r="11648" s="105" customFormat="1" spans="9:12">
      <c r="I11648" s="225"/>
      <c r="K11648" s="9"/>
      <c r="L11648" s="9"/>
    </row>
    <row r="11649" s="105" customFormat="1" spans="9:12">
      <c r="I11649" s="225"/>
      <c r="K11649" s="9"/>
      <c r="L11649" s="9"/>
    </row>
    <row r="11650" s="105" customFormat="1" spans="9:12">
      <c r="I11650" s="225"/>
      <c r="K11650" s="9"/>
      <c r="L11650" s="9"/>
    </row>
    <row r="11651" s="105" customFormat="1" spans="9:12">
      <c r="I11651" s="225"/>
      <c r="K11651" s="9"/>
      <c r="L11651" s="9"/>
    </row>
    <row r="11652" s="105" customFormat="1" spans="9:12">
      <c r="I11652" s="225"/>
      <c r="K11652" s="9"/>
      <c r="L11652" s="9"/>
    </row>
    <row r="11653" s="105" customFormat="1" spans="9:12">
      <c r="I11653" s="225"/>
      <c r="K11653" s="9"/>
      <c r="L11653" s="9"/>
    </row>
    <row r="11654" s="105" customFormat="1" spans="9:12">
      <c r="I11654" s="225"/>
      <c r="K11654" s="9"/>
      <c r="L11654" s="9"/>
    </row>
    <row r="11655" s="105" customFormat="1" spans="9:12">
      <c r="I11655" s="225"/>
      <c r="K11655" s="9"/>
      <c r="L11655" s="9"/>
    </row>
    <row r="11656" s="105" customFormat="1" spans="9:12">
      <c r="I11656" s="225"/>
      <c r="K11656" s="9"/>
      <c r="L11656" s="9"/>
    </row>
    <row r="11657" s="105" customFormat="1" spans="9:12">
      <c r="I11657" s="225"/>
      <c r="K11657" s="9"/>
      <c r="L11657" s="9"/>
    </row>
    <row r="11658" s="105" customFormat="1" spans="9:12">
      <c r="I11658" s="225"/>
      <c r="K11658" s="9"/>
      <c r="L11658" s="9"/>
    </row>
    <row r="11659" s="105" customFormat="1" spans="9:12">
      <c r="I11659" s="225"/>
      <c r="K11659" s="9"/>
      <c r="L11659" s="9"/>
    </row>
    <row r="11660" s="105" customFormat="1" spans="9:12">
      <c r="I11660" s="225"/>
      <c r="K11660" s="9"/>
      <c r="L11660" s="9"/>
    </row>
    <row r="11661" s="105" customFormat="1" spans="9:12">
      <c r="I11661" s="225"/>
      <c r="K11661" s="9"/>
      <c r="L11661" s="9"/>
    </row>
    <row r="11662" s="105" customFormat="1" spans="9:12">
      <c r="I11662" s="225"/>
      <c r="K11662" s="9"/>
      <c r="L11662" s="9"/>
    </row>
    <row r="11663" s="105" customFormat="1" spans="9:12">
      <c r="I11663" s="225"/>
      <c r="K11663" s="9"/>
      <c r="L11663" s="9"/>
    </row>
    <row r="11664" s="105" customFormat="1" spans="9:12">
      <c r="I11664" s="225"/>
      <c r="K11664" s="9"/>
      <c r="L11664" s="9"/>
    </row>
    <row r="11665" s="105" customFormat="1" spans="9:12">
      <c r="I11665" s="225"/>
      <c r="K11665" s="9"/>
      <c r="L11665" s="9"/>
    </row>
    <row r="11666" s="105" customFormat="1" spans="9:12">
      <c r="I11666" s="225"/>
      <c r="K11666" s="9"/>
      <c r="L11666" s="9"/>
    </row>
    <row r="11667" s="105" customFormat="1" spans="9:12">
      <c r="I11667" s="225"/>
      <c r="K11667" s="9"/>
      <c r="L11667" s="9"/>
    </row>
    <row r="11668" s="105" customFormat="1" spans="9:12">
      <c r="I11668" s="225"/>
      <c r="K11668" s="9"/>
      <c r="L11668" s="9"/>
    </row>
    <row r="11669" s="105" customFormat="1" spans="9:12">
      <c r="I11669" s="225"/>
      <c r="K11669" s="9"/>
      <c r="L11669" s="9"/>
    </row>
    <row r="11670" s="105" customFormat="1" spans="9:12">
      <c r="I11670" s="225"/>
      <c r="K11670" s="9"/>
      <c r="L11670" s="9"/>
    </row>
    <row r="11671" s="105" customFormat="1" spans="9:12">
      <c r="I11671" s="225"/>
      <c r="K11671" s="9"/>
      <c r="L11671" s="9"/>
    </row>
    <row r="11672" s="105" customFormat="1" spans="9:12">
      <c r="I11672" s="225"/>
      <c r="K11672" s="9"/>
      <c r="L11672" s="9"/>
    </row>
    <row r="11673" s="105" customFormat="1" spans="9:12">
      <c r="I11673" s="225"/>
      <c r="K11673" s="9"/>
      <c r="L11673" s="9"/>
    </row>
    <row r="11674" s="105" customFormat="1" spans="9:12">
      <c r="I11674" s="225"/>
      <c r="K11674" s="9"/>
      <c r="L11674" s="9"/>
    </row>
    <row r="11675" s="105" customFormat="1" spans="9:12">
      <c r="I11675" s="225"/>
      <c r="K11675" s="9"/>
      <c r="L11675" s="9"/>
    </row>
    <row r="11676" s="105" customFormat="1" spans="9:12">
      <c r="I11676" s="225"/>
      <c r="K11676" s="9"/>
      <c r="L11676" s="9"/>
    </row>
    <row r="11677" s="105" customFormat="1" spans="9:12">
      <c r="I11677" s="225"/>
      <c r="K11677" s="9"/>
      <c r="L11677" s="9"/>
    </row>
    <row r="11678" s="105" customFormat="1" spans="9:12">
      <c r="I11678" s="225"/>
      <c r="K11678" s="9"/>
      <c r="L11678" s="9"/>
    </row>
    <row r="11679" s="105" customFormat="1" spans="9:12">
      <c r="I11679" s="225"/>
      <c r="K11679" s="9"/>
      <c r="L11679" s="9"/>
    </row>
    <row r="11680" s="105" customFormat="1" spans="9:12">
      <c r="I11680" s="225"/>
      <c r="K11680" s="9"/>
      <c r="L11680" s="9"/>
    </row>
    <row r="11681" s="105" customFormat="1" spans="9:12">
      <c r="I11681" s="225"/>
      <c r="K11681" s="9"/>
      <c r="L11681" s="9"/>
    </row>
    <row r="11682" s="105" customFormat="1" spans="9:12">
      <c r="I11682" s="225"/>
      <c r="K11682" s="9"/>
      <c r="L11682" s="9"/>
    </row>
    <row r="11683" s="105" customFormat="1" spans="9:12">
      <c r="I11683" s="225"/>
      <c r="K11683" s="9"/>
      <c r="L11683" s="9"/>
    </row>
    <row r="11684" s="105" customFormat="1" spans="9:12">
      <c r="I11684" s="225"/>
      <c r="K11684" s="9"/>
      <c r="L11684" s="9"/>
    </row>
    <row r="11685" s="105" customFormat="1" spans="9:12">
      <c r="I11685" s="225"/>
      <c r="K11685" s="9"/>
      <c r="L11685" s="9"/>
    </row>
    <row r="11686" s="105" customFormat="1" spans="9:12">
      <c r="I11686" s="225"/>
      <c r="K11686" s="9"/>
      <c r="L11686" s="9"/>
    </row>
    <row r="11687" s="105" customFormat="1" spans="9:12">
      <c r="I11687" s="225"/>
      <c r="K11687" s="9"/>
      <c r="L11687" s="9"/>
    </row>
    <row r="11688" s="105" customFormat="1" spans="9:12">
      <c r="I11688" s="225"/>
      <c r="K11688" s="9"/>
      <c r="L11688" s="9"/>
    </row>
    <row r="11689" s="105" customFormat="1" spans="9:12">
      <c r="I11689" s="225"/>
      <c r="K11689" s="9"/>
      <c r="L11689" s="9"/>
    </row>
    <row r="11690" s="105" customFormat="1" spans="9:12">
      <c r="I11690" s="225"/>
      <c r="K11690" s="9"/>
      <c r="L11690" s="9"/>
    </row>
    <row r="11691" s="105" customFormat="1" spans="9:12">
      <c r="I11691" s="225"/>
      <c r="K11691" s="9"/>
      <c r="L11691" s="9"/>
    </row>
    <row r="11692" s="105" customFormat="1" spans="9:12">
      <c r="I11692" s="225"/>
      <c r="K11692" s="9"/>
      <c r="L11692" s="9"/>
    </row>
    <row r="11693" s="105" customFormat="1" spans="9:12">
      <c r="I11693" s="225"/>
      <c r="K11693" s="9"/>
      <c r="L11693" s="9"/>
    </row>
    <row r="11694" s="105" customFormat="1" spans="9:12">
      <c r="I11694" s="225"/>
      <c r="K11694" s="9"/>
      <c r="L11694" s="9"/>
    </row>
    <row r="11695" s="105" customFormat="1" spans="9:12">
      <c r="I11695" s="225"/>
      <c r="K11695" s="9"/>
      <c r="L11695" s="9"/>
    </row>
    <row r="11696" s="105" customFormat="1" spans="9:12">
      <c r="I11696" s="225"/>
      <c r="K11696" s="9"/>
      <c r="L11696" s="9"/>
    </row>
    <row r="11697" s="105" customFormat="1" spans="9:12">
      <c r="I11697" s="225"/>
      <c r="K11697" s="9"/>
      <c r="L11697" s="9"/>
    </row>
    <row r="11698" s="105" customFormat="1" spans="9:12">
      <c r="I11698" s="225"/>
      <c r="K11698" s="9"/>
      <c r="L11698" s="9"/>
    </row>
    <row r="11699" s="105" customFormat="1" spans="9:12">
      <c r="I11699" s="225"/>
      <c r="K11699" s="9"/>
      <c r="L11699" s="9"/>
    </row>
    <row r="11700" s="105" customFormat="1" spans="9:12">
      <c r="I11700" s="225"/>
      <c r="K11700" s="9"/>
      <c r="L11700" s="9"/>
    </row>
    <row r="11701" s="105" customFormat="1" spans="9:12">
      <c r="I11701" s="225"/>
      <c r="K11701" s="9"/>
      <c r="L11701" s="9"/>
    </row>
    <row r="11702" s="105" customFormat="1" spans="9:12">
      <c r="I11702" s="225"/>
      <c r="K11702" s="9"/>
      <c r="L11702" s="9"/>
    </row>
    <row r="11703" s="105" customFormat="1" spans="9:12">
      <c r="I11703" s="225"/>
      <c r="K11703" s="9"/>
      <c r="L11703" s="9"/>
    </row>
    <row r="11704" s="105" customFormat="1" spans="9:12">
      <c r="I11704" s="225"/>
      <c r="K11704" s="9"/>
      <c r="L11704" s="9"/>
    </row>
    <row r="11705" s="105" customFormat="1" spans="9:12">
      <c r="I11705" s="225"/>
      <c r="K11705" s="9"/>
      <c r="L11705" s="9"/>
    </row>
    <row r="11706" s="105" customFormat="1" spans="9:12">
      <c r="I11706" s="225"/>
      <c r="K11706" s="9"/>
      <c r="L11706" s="9"/>
    </row>
    <row r="11707" s="105" customFormat="1" spans="9:12">
      <c r="I11707" s="225"/>
      <c r="K11707" s="9"/>
      <c r="L11707" s="9"/>
    </row>
    <row r="11708" s="105" customFormat="1" spans="9:12">
      <c r="I11708" s="225"/>
      <c r="K11708" s="9"/>
      <c r="L11708" s="9"/>
    </row>
    <row r="11709" s="105" customFormat="1" spans="9:12">
      <c r="I11709" s="225"/>
      <c r="K11709" s="9"/>
      <c r="L11709" s="9"/>
    </row>
    <row r="11710" s="105" customFormat="1" spans="9:12">
      <c r="I11710" s="225"/>
      <c r="K11710" s="9"/>
      <c r="L11710" s="9"/>
    </row>
    <row r="11711" s="105" customFormat="1" spans="9:12">
      <c r="I11711" s="225"/>
      <c r="K11711" s="9"/>
      <c r="L11711" s="9"/>
    </row>
    <row r="11712" s="105" customFormat="1" spans="9:12">
      <c r="I11712" s="225"/>
      <c r="K11712" s="9"/>
      <c r="L11712" s="9"/>
    </row>
    <row r="11713" s="105" customFormat="1" spans="9:12">
      <c r="I11713" s="225"/>
      <c r="K11713" s="9"/>
      <c r="L11713" s="9"/>
    </row>
    <row r="11714" s="105" customFormat="1" spans="9:12">
      <c r="I11714" s="225"/>
      <c r="K11714" s="9"/>
      <c r="L11714" s="9"/>
    </row>
    <row r="11715" s="105" customFormat="1" spans="9:12">
      <c r="I11715" s="225"/>
      <c r="K11715" s="9"/>
      <c r="L11715" s="9"/>
    </row>
    <row r="11716" s="105" customFormat="1" spans="9:12">
      <c r="I11716" s="225"/>
      <c r="K11716" s="9"/>
      <c r="L11716" s="9"/>
    </row>
    <row r="11717" s="105" customFormat="1" spans="9:12">
      <c r="I11717" s="225"/>
      <c r="K11717" s="9"/>
      <c r="L11717" s="9"/>
    </row>
    <row r="11718" s="105" customFormat="1" spans="9:12">
      <c r="I11718" s="225"/>
      <c r="K11718" s="9"/>
      <c r="L11718" s="9"/>
    </row>
    <row r="11719" s="105" customFormat="1" spans="9:12">
      <c r="I11719" s="225"/>
      <c r="K11719" s="9"/>
      <c r="L11719" s="9"/>
    </row>
    <row r="11720" s="105" customFormat="1" spans="9:12">
      <c r="I11720" s="225"/>
      <c r="K11720" s="9"/>
      <c r="L11720" s="9"/>
    </row>
    <row r="11721" s="105" customFormat="1" spans="9:12">
      <c r="I11721" s="225"/>
      <c r="K11721" s="9"/>
      <c r="L11721" s="9"/>
    </row>
    <row r="11722" s="105" customFormat="1" spans="9:12">
      <c r="I11722" s="225"/>
      <c r="K11722" s="9"/>
      <c r="L11722" s="9"/>
    </row>
    <row r="11723" s="105" customFormat="1" spans="9:12">
      <c r="I11723" s="225"/>
      <c r="K11723" s="9"/>
      <c r="L11723" s="9"/>
    </row>
    <row r="11724" s="105" customFormat="1" spans="9:12">
      <c r="I11724" s="225"/>
      <c r="K11724" s="9"/>
      <c r="L11724" s="9"/>
    </row>
    <row r="11725" s="105" customFormat="1" spans="9:12">
      <c r="I11725" s="225"/>
      <c r="K11725" s="9"/>
      <c r="L11725" s="9"/>
    </row>
    <row r="11726" s="105" customFormat="1" spans="9:12">
      <c r="I11726" s="225"/>
      <c r="K11726" s="9"/>
      <c r="L11726" s="9"/>
    </row>
    <row r="11727" s="105" customFormat="1" spans="9:12">
      <c r="I11727" s="225"/>
      <c r="K11727" s="9"/>
      <c r="L11727" s="9"/>
    </row>
    <row r="11728" s="105" customFormat="1" spans="9:12">
      <c r="I11728" s="225"/>
      <c r="K11728" s="9"/>
      <c r="L11728" s="9"/>
    </row>
    <row r="11729" s="105" customFormat="1" spans="9:12">
      <c r="I11729" s="225"/>
      <c r="K11729" s="9"/>
      <c r="L11729" s="9"/>
    </row>
    <row r="11730" s="105" customFormat="1" spans="9:12">
      <c r="I11730" s="225"/>
      <c r="K11730" s="9"/>
      <c r="L11730" s="9"/>
    </row>
    <row r="11731" s="105" customFormat="1" spans="9:12">
      <c r="I11731" s="225"/>
      <c r="K11731" s="9"/>
      <c r="L11731" s="9"/>
    </row>
    <row r="11732" s="105" customFormat="1" spans="9:12">
      <c r="I11732" s="225"/>
      <c r="K11732" s="9"/>
      <c r="L11732" s="9"/>
    </row>
    <row r="11733" s="105" customFormat="1" spans="9:12">
      <c r="I11733" s="225"/>
      <c r="K11733" s="9"/>
      <c r="L11733" s="9"/>
    </row>
    <row r="11734" s="105" customFormat="1" spans="9:12">
      <c r="I11734" s="225"/>
      <c r="K11734" s="9"/>
      <c r="L11734" s="9"/>
    </row>
    <row r="11735" s="105" customFormat="1" spans="9:12">
      <c r="I11735" s="225"/>
      <c r="K11735" s="9"/>
      <c r="L11735" s="9"/>
    </row>
    <row r="11736" s="105" customFormat="1" spans="9:12">
      <c r="I11736" s="225"/>
      <c r="K11736" s="9"/>
      <c r="L11736" s="9"/>
    </row>
    <row r="11737" s="105" customFormat="1" spans="9:12">
      <c r="I11737" s="225"/>
      <c r="K11737" s="9"/>
      <c r="L11737" s="9"/>
    </row>
    <row r="11738" s="105" customFormat="1" spans="9:12">
      <c r="I11738" s="225"/>
      <c r="K11738" s="9"/>
      <c r="L11738" s="9"/>
    </row>
    <row r="11739" s="105" customFormat="1" spans="9:12">
      <c r="I11739" s="225"/>
      <c r="K11739" s="9"/>
      <c r="L11739" s="9"/>
    </row>
    <row r="11740" s="105" customFormat="1" spans="9:12">
      <c r="I11740" s="225"/>
      <c r="K11740" s="9"/>
      <c r="L11740" s="9"/>
    </row>
    <row r="11741" s="105" customFormat="1" spans="9:12">
      <c r="I11741" s="225"/>
      <c r="K11741" s="9"/>
      <c r="L11741" s="9"/>
    </row>
    <row r="11742" s="105" customFormat="1" spans="9:12">
      <c r="I11742" s="225"/>
      <c r="K11742" s="9"/>
      <c r="L11742" s="9"/>
    </row>
    <row r="11743" s="105" customFormat="1" spans="9:12">
      <c r="I11743" s="225"/>
      <c r="K11743" s="9"/>
      <c r="L11743" s="9"/>
    </row>
    <row r="11744" s="105" customFormat="1" spans="9:12">
      <c r="I11744" s="225"/>
      <c r="K11744" s="9"/>
      <c r="L11744" s="9"/>
    </row>
    <row r="11745" s="105" customFormat="1" spans="9:12">
      <c r="I11745" s="225"/>
      <c r="K11745" s="9"/>
      <c r="L11745" s="9"/>
    </row>
    <row r="11746" s="105" customFormat="1" spans="9:12">
      <c r="I11746" s="225"/>
      <c r="K11746" s="9"/>
      <c r="L11746" s="9"/>
    </row>
    <row r="11747" s="105" customFormat="1" spans="9:12">
      <c r="I11747" s="225"/>
      <c r="K11747" s="9"/>
      <c r="L11747" s="9"/>
    </row>
    <row r="11748" s="105" customFormat="1" spans="9:12">
      <c r="I11748" s="225"/>
      <c r="K11748" s="9"/>
      <c r="L11748" s="9"/>
    </row>
    <row r="11749" s="105" customFormat="1" spans="9:12">
      <c r="I11749" s="225"/>
      <c r="K11749" s="9"/>
      <c r="L11749" s="9"/>
    </row>
    <row r="11750" s="105" customFormat="1" spans="9:12">
      <c r="I11750" s="225"/>
      <c r="K11750" s="9"/>
      <c r="L11750" s="9"/>
    </row>
    <row r="11751" s="105" customFormat="1" spans="9:12">
      <c r="I11751" s="225"/>
      <c r="K11751" s="9"/>
      <c r="L11751" s="9"/>
    </row>
    <row r="11752" s="105" customFormat="1" spans="9:12">
      <c r="I11752" s="225"/>
      <c r="K11752" s="9"/>
      <c r="L11752" s="9"/>
    </row>
    <row r="11753" s="105" customFormat="1" spans="9:12">
      <c r="I11753" s="225"/>
      <c r="K11753" s="9"/>
      <c r="L11753" s="9"/>
    </row>
    <row r="11754" s="105" customFormat="1" spans="9:12">
      <c r="I11754" s="225"/>
      <c r="K11754" s="9"/>
      <c r="L11754" s="9"/>
    </row>
    <row r="11755" s="105" customFormat="1" spans="9:12">
      <c r="I11755" s="225"/>
      <c r="K11755" s="9"/>
      <c r="L11755" s="9"/>
    </row>
    <row r="11756" s="105" customFormat="1" spans="9:12">
      <c r="I11756" s="225"/>
      <c r="K11756" s="9"/>
      <c r="L11756" s="9"/>
    </row>
    <row r="11757" s="105" customFormat="1" spans="9:12">
      <c r="I11757" s="225"/>
      <c r="K11757" s="9"/>
      <c r="L11757" s="9"/>
    </row>
    <row r="11758" s="105" customFormat="1" spans="9:12">
      <c r="I11758" s="225"/>
      <c r="K11758" s="9"/>
      <c r="L11758" s="9"/>
    </row>
    <row r="11759" s="105" customFormat="1" spans="9:12">
      <c r="I11759" s="225"/>
      <c r="K11759" s="9"/>
      <c r="L11759" s="9"/>
    </row>
    <row r="11760" s="105" customFormat="1" spans="9:12">
      <c r="I11760" s="225"/>
      <c r="K11760" s="9"/>
      <c r="L11760" s="9"/>
    </row>
    <row r="11761" s="105" customFormat="1" spans="9:12">
      <c r="I11761" s="225"/>
      <c r="K11761" s="9"/>
      <c r="L11761" s="9"/>
    </row>
    <row r="11762" s="105" customFormat="1" spans="9:12">
      <c r="I11762" s="225"/>
      <c r="K11762" s="9"/>
      <c r="L11762" s="9"/>
    </row>
    <row r="11763" s="105" customFormat="1" spans="9:12">
      <c r="I11763" s="225"/>
      <c r="K11763" s="9"/>
      <c r="L11763" s="9"/>
    </row>
    <row r="11764" s="105" customFormat="1" spans="9:12">
      <c r="I11764" s="225"/>
      <c r="K11764" s="9"/>
      <c r="L11764" s="9"/>
    </row>
    <row r="11765" s="105" customFormat="1" spans="9:12">
      <c r="I11765" s="225"/>
      <c r="K11765" s="9"/>
      <c r="L11765" s="9"/>
    </row>
    <row r="11766" s="105" customFormat="1" spans="9:12">
      <c r="I11766" s="225"/>
      <c r="K11766" s="9"/>
      <c r="L11766" s="9"/>
    </row>
    <row r="11767" s="105" customFormat="1" spans="9:12">
      <c r="I11767" s="225"/>
      <c r="K11767" s="9"/>
      <c r="L11767" s="9"/>
    </row>
    <row r="11768" s="105" customFormat="1" spans="9:12">
      <c r="I11768" s="225"/>
      <c r="K11768" s="9"/>
      <c r="L11768" s="9"/>
    </row>
    <row r="11769" s="105" customFormat="1" spans="9:12">
      <c r="I11769" s="225"/>
      <c r="K11769" s="9"/>
      <c r="L11769" s="9"/>
    </row>
    <row r="11770" s="105" customFormat="1" spans="9:12">
      <c r="I11770" s="225"/>
      <c r="K11770" s="9"/>
      <c r="L11770" s="9"/>
    </row>
    <row r="11771" s="105" customFormat="1" spans="9:12">
      <c r="I11771" s="225"/>
      <c r="K11771" s="9"/>
      <c r="L11771" s="9"/>
    </row>
    <row r="11772" s="105" customFormat="1" spans="9:12">
      <c r="I11772" s="225"/>
      <c r="K11772" s="9"/>
      <c r="L11772" s="9"/>
    </row>
    <row r="11773" s="105" customFormat="1" spans="9:12">
      <c r="I11773" s="225"/>
      <c r="K11773" s="9"/>
      <c r="L11773" s="9"/>
    </row>
    <row r="11774" s="105" customFormat="1" spans="9:12">
      <c r="I11774" s="225"/>
      <c r="K11774" s="9"/>
      <c r="L11774" s="9"/>
    </row>
    <row r="11775" s="105" customFormat="1" spans="9:12">
      <c r="I11775" s="225"/>
      <c r="K11775" s="9"/>
      <c r="L11775" s="9"/>
    </row>
    <row r="11776" s="105" customFormat="1" spans="9:12">
      <c r="I11776" s="225"/>
      <c r="K11776" s="9"/>
      <c r="L11776" s="9"/>
    </row>
    <row r="11777" s="105" customFormat="1" spans="9:12">
      <c r="I11777" s="225"/>
      <c r="K11777" s="9"/>
      <c r="L11777" s="9"/>
    </row>
    <row r="11778" s="105" customFormat="1" spans="9:12">
      <c r="I11778" s="225"/>
      <c r="K11778" s="9"/>
      <c r="L11778" s="9"/>
    </row>
    <row r="11779" s="105" customFormat="1" spans="9:12">
      <c r="I11779" s="225"/>
      <c r="K11779" s="9"/>
      <c r="L11779" s="9"/>
    </row>
    <row r="11780" s="105" customFormat="1" spans="9:12">
      <c r="I11780" s="225"/>
      <c r="K11780" s="9"/>
      <c r="L11780" s="9"/>
    </row>
    <row r="11781" s="105" customFormat="1" spans="9:12">
      <c r="I11781" s="225"/>
      <c r="K11781" s="9"/>
      <c r="L11781" s="9"/>
    </row>
    <row r="11782" s="105" customFormat="1" spans="9:12">
      <c r="I11782" s="225"/>
      <c r="K11782" s="9"/>
      <c r="L11782" s="9"/>
    </row>
    <row r="11783" s="105" customFormat="1" spans="9:12">
      <c r="I11783" s="225"/>
      <c r="K11783" s="9"/>
      <c r="L11783" s="9"/>
    </row>
    <row r="11784" s="105" customFormat="1" spans="9:12">
      <c r="I11784" s="225"/>
      <c r="K11784" s="9"/>
      <c r="L11784" s="9"/>
    </row>
    <row r="11785" s="105" customFormat="1" spans="9:12">
      <c r="I11785" s="225"/>
      <c r="K11785" s="9"/>
      <c r="L11785" s="9"/>
    </row>
    <row r="11786" s="105" customFormat="1" spans="9:12">
      <c r="I11786" s="225"/>
      <c r="K11786" s="9"/>
      <c r="L11786" s="9"/>
    </row>
    <row r="11787" s="105" customFormat="1" spans="9:12">
      <c r="I11787" s="225"/>
      <c r="K11787" s="9"/>
      <c r="L11787" s="9"/>
    </row>
    <row r="11788" s="105" customFormat="1" spans="9:12">
      <c r="I11788" s="225"/>
      <c r="K11788" s="9"/>
      <c r="L11788" s="9"/>
    </row>
    <row r="11789" s="105" customFormat="1" spans="9:12">
      <c r="I11789" s="225"/>
      <c r="K11789" s="9"/>
      <c r="L11789" s="9"/>
    </row>
    <row r="11790" s="105" customFormat="1" spans="9:12">
      <c r="I11790" s="225"/>
      <c r="K11790" s="9"/>
      <c r="L11790" s="9"/>
    </row>
    <row r="11791" s="105" customFormat="1" spans="9:12">
      <c r="I11791" s="225"/>
      <c r="K11791" s="9"/>
      <c r="L11791" s="9"/>
    </row>
    <row r="11792" s="105" customFormat="1" spans="9:12">
      <c r="I11792" s="225"/>
      <c r="K11792" s="9"/>
      <c r="L11792" s="9"/>
    </row>
    <row r="11793" s="105" customFormat="1" spans="9:12">
      <c r="I11793" s="225"/>
      <c r="K11793" s="9"/>
      <c r="L11793" s="9"/>
    </row>
    <row r="11794" s="105" customFormat="1" spans="9:12">
      <c r="I11794" s="225"/>
      <c r="K11794" s="9"/>
      <c r="L11794" s="9"/>
    </row>
    <row r="11795" s="105" customFormat="1" spans="9:12">
      <c r="I11795" s="225"/>
      <c r="K11795" s="9"/>
      <c r="L11795" s="9"/>
    </row>
    <row r="11796" s="105" customFormat="1" spans="9:12">
      <c r="I11796" s="225"/>
      <c r="K11796" s="9"/>
      <c r="L11796" s="9"/>
    </row>
    <row r="11797" s="105" customFormat="1" spans="9:12">
      <c r="I11797" s="225"/>
      <c r="K11797" s="9"/>
      <c r="L11797" s="9"/>
    </row>
    <row r="11798" s="105" customFormat="1" spans="9:12">
      <c r="I11798" s="225"/>
      <c r="K11798" s="9"/>
      <c r="L11798" s="9"/>
    </row>
    <row r="11799" s="105" customFormat="1" spans="9:12">
      <c r="I11799" s="225"/>
      <c r="K11799" s="9"/>
      <c r="L11799" s="9"/>
    </row>
    <row r="11800" s="105" customFormat="1" spans="9:12">
      <c r="I11800" s="225"/>
      <c r="K11800" s="9"/>
      <c r="L11800" s="9"/>
    </row>
    <row r="11801" s="105" customFormat="1" spans="9:12">
      <c r="I11801" s="225"/>
      <c r="K11801" s="9"/>
      <c r="L11801" s="9"/>
    </row>
    <row r="11802" s="105" customFormat="1" spans="9:12">
      <c r="I11802" s="225"/>
      <c r="K11802" s="9"/>
      <c r="L11802" s="9"/>
    </row>
    <row r="11803" s="105" customFormat="1" spans="9:12">
      <c r="I11803" s="225"/>
      <c r="K11803" s="9"/>
      <c r="L11803" s="9"/>
    </row>
    <row r="11804" s="105" customFormat="1" spans="9:12">
      <c r="I11804" s="225"/>
      <c r="K11804" s="9"/>
      <c r="L11804" s="9"/>
    </row>
    <row r="11805" s="105" customFormat="1" spans="9:12">
      <c r="I11805" s="225"/>
      <c r="K11805" s="9"/>
      <c r="L11805" s="9"/>
    </row>
    <row r="11806" s="105" customFormat="1" spans="9:12">
      <c r="I11806" s="225"/>
      <c r="K11806" s="9"/>
      <c r="L11806" s="9"/>
    </row>
    <row r="11807" s="105" customFormat="1" spans="9:12">
      <c r="I11807" s="225"/>
      <c r="K11807" s="9"/>
      <c r="L11807" s="9"/>
    </row>
    <row r="11808" s="105" customFormat="1" spans="9:12">
      <c r="I11808" s="225"/>
      <c r="K11808" s="9"/>
      <c r="L11808" s="9"/>
    </row>
    <row r="11809" s="105" customFormat="1" spans="9:12">
      <c r="I11809" s="225"/>
      <c r="K11809" s="9"/>
      <c r="L11809" s="9"/>
    </row>
    <row r="11810" s="105" customFormat="1" spans="9:12">
      <c r="I11810" s="225"/>
      <c r="K11810" s="9"/>
      <c r="L11810" s="9"/>
    </row>
    <row r="11811" s="105" customFormat="1" spans="9:12">
      <c r="I11811" s="225"/>
      <c r="K11811" s="9"/>
      <c r="L11811" s="9"/>
    </row>
    <row r="11812" s="105" customFormat="1" spans="9:12">
      <c r="I11812" s="225"/>
      <c r="K11812" s="9"/>
      <c r="L11812" s="9"/>
    </row>
    <row r="11813" s="105" customFormat="1" spans="9:12">
      <c r="I11813" s="225"/>
      <c r="K11813" s="9"/>
      <c r="L11813" s="9"/>
    </row>
    <row r="11814" s="105" customFormat="1" spans="9:12">
      <c r="I11814" s="225"/>
      <c r="K11814" s="9"/>
      <c r="L11814" s="9"/>
    </row>
    <row r="11815" s="105" customFormat="1" spans="9:12">
      <c r="I11815" s="225"/>
      <c r="K11815" s="9"/>
      <c r="L11815" s="9"/>
    </row>
    <row r="11816" s="105" customFormat="1" spans="9:12">
      <c r="I11816" s="225"/>
      <c r="K11816" s="9"/>
      <c r="L11816" s="9"/>
    </row>
    <row r="11817" s="105" customFormat="1" spans="9:12">
      <c r="I11817" s="225"/>
      <c r="K11817" s="9"/>
      <c r="L11817" s="9"/>
    </row>
    <row r="11818" s="105" customFormat="1" spans="9:12">
      <c r="I11818" s="225"/>
      <c r="K11818" s="9"/>
      <c r="L11818" s="9"/>
    </row>
    <row r="11819" s="105" customFormat="1" spans="9:12">
      <c r="I11819" s="225"/>
      <c r="K11819" s="9"/>
      <c r="L11819" s="9"/>
    </row>
    <row r="11820" s="105" customFormat="1" spans="9:12">
      <c r="I11820" s="225"/>
      <c r="K11820" s="9"/>
      <c r="L11820" s="9"/>
    </row>
    <row r="11821" s="105" customFormat="1" spans="9:12">
      <c r="I11821" s="225"/>
      <c r="K11821" s="9"/>
      <c r="L11821" s="9"/>
    </row>
    <row r="11822" s="105" customFormat="1" spans="9:12">
      <c r="I11822" s="225"/>
      <c r="K11822" s="9"/>
      <c r="L11822" s="9"/>
    </row>
    <row r="11823" s="105" customFormat="1" spans="9:12">
      <c r="I11823" s="225"/>
      <c r="K11823" s="9"/>
      <c r="L11823" s="9"/>
    </row>
    <row r="11824" s="105" customFormat="1" spans="9:12">
      <c r="I11824" s="225"/>
      <c r="K11824" s="9"/>
      <c r="L11824" s="9"/>
    </row>
    <row r="11825" s="105" customFormat="1" spans="9:12">
      <c r="I11825" s="225"/>
      <c r="K11825" s="9"/>
      <c r="L11825" s="9"/>
    </row>
    <row r="11826" s="105" customFormat="1" spans="9:12">
      <c r="I11826" s="225"/>
      <c r="K11826" s="9"/>
      <c r="L11826" s="9"/>
    </row>
    <row r="11827" s="105" customFormat="1" spans="9:12">
      <c r="I11827" s="225"/>
      <c r="K11827" s="9"/>
      <c r="L11827" s="9"/>
    </row>
    <row r="11828" s="105" customFormat="1" spans="9:12">
      <c r="I11828" s="225"/>
      <c r="K11828" s="9"/>
      <c r="L11828" s="9"/>
    </row>
    <row r="11829" s="105" customFormat="1" spans="9:12">
      <c r="I11829" s="225"/>
      <c r="K11829" s="9"/>
      <c r="L11829" s="9"/>
    </row>
    <row r="11830" s="105" customFormat="1" spans="9:12">
      <c r="I11830" s="225"/>
      <c r="K11830" s="9"/>
      <c r="L11830" s="9"/>
    </row>
    <row r="11831" s="105" customFormat="1" spans="9:12">
      <c r="I11831" s="225"/>
      <c r="K11831" s="9"/>
      <c r="L11831" s="9"/>
    </row>
    <row r="11832" s="105" customFormat="1" spans="9:12">
      <c r="I11832" s="225"/>
      <c r="K11832" s="9"/>
      <c r="L11832" s="9"/>
    </row>
    <row r="11833" s="105" customFormat="1" spans="9:12">
      <c r="I11833" s="225"/>
      <c r="K11833" s="9"/>
      <c r="L11833" s="9"/>
    </row>
    <row r="11834" s="105" customFormat="1" spans="9:12">
      <c r="I11834" s="225"/>
      <c r="K11834" s="9"/>
      <c r="L11834" s="9"/>
    </row>
    <row r="11835" s="105" customFormat="1" spans="9:12">
      <c r="I11835" s="225"/>
      <c r="K11835" s="9"/>
      <c r="L11835" s="9"/>
    </row>
    <row r="11836" s="105" customFormat="1" spans="9:12">
      <c r="I11836" s="225"/>
      <c r="K11836" s="9"/>
      <c r="L11836" s="9"/>
    </row>
    <row r="11837" s="105" customFormat="1" spans="9:12">
      <c r="I11837" s="225"/>
      <c r="K11837" s="9"/>
      <c r="L11837" s="9"/>
    </row>
    <row r="11838" s="105" customFormat="1" spans="9:12">
      <c r="I11838" s="225"/>
      <c r="K11838" s="9"/>
      <c r="L11838" s="9"/>
    </row>
    <row r="11839" s="105" customFormat="1" spans="9:12">
      <c r="I11839" s="225"/>
      <c r="K11839" s="9"/>
      <c r="L11839" s="9"/>
    </row>
    <row r="11840" s="105" customFormat="1" spans="9:12">
      <c r="I11840" s="225"/>
      <c r="K11840" s="9"/>
      <c r="L11840" s="9"/>
    </row>
    <row r="11841" s="105" customFormat="1" spans="9:12">
      <c r="I11841" s="225"/>
      <c r="K11841" s="9"/>
      <c r="L11841" s="9"/>
    </row>
    <row r="11842" s="105" customFormat="1" spans="9:12">
      <c r="I11842" s="225"/>
      <c r="K11842" s="9"/>
      <c r="L11842" s="9"/>
    </row>
    <row r="11843" s="105" customFormat="1" spans="9:12">
      <c r="I11843" s="225"/>
      <c r="K11843" s="9"/>
      <c r="L11843" s="9"/>
    </row>
    <row r="11844" s="105" customFormat="1" spans="9:12">
      <c r="I11844" s="225"/>
      <c r="K11844" s="9"/>
      <c r="L11844" s="9"/>
    </row>
    <row r="11845" s="105" customFormat="1" spans="9:12">
      <c r="I11845" s="225"/>
      <c r="K11845" s="9"/>
      <c r="L11845" s="9"/>
    </row>
    <row r="11846" s="105" customFormat="1" spans="9:12">
      <c r="I11846" s="225"/>
      <c r="K11846" s="9"/>
      <c r="L11846" s="9"/>
    </row>
    <row r="11847" s="105" customFormat="1" spans="9:12">
      <c r="I11847" s="225"/>
      <c r="K11847" s="9"/>
      <c r="L11847" s="9"/>
    </row>
    <row r="11848" s="105" customFormat="1" spans="9:12">
      <c r="I11848" s="225"/>
      <c r="K11848" s="9"/>
      <c r="L11848" s="9"/>
    </row>
    <row r="11849" s="105" customFormat="1" spans="9:12">
      <c r="I11849" s="225"/>
      <c r="K11849" s="9"/>
      <c r="L11849" s="9"/>
    </row>
    <row r="11850" s="105" customFormat="1" spans="9:12">
      <c r="I11850" s="225"/>
      <c r="K11850" s="9"/>
      <c r="L11850" s="9"/>
    </row>
    <row r="11851" s="105" customFormat="1" spans="9:12">
      <c r="I11851" s="225"/>
      <c r="K11851" s="9"/>
      <c r="L11851" s="9"/>
    </row>
    <row r="11852" s="105" customFormat="1" spans="9:12">
      <c r="I11852" s="225"/>
      <c r="K11852" s="9"/>
      <c r="L11852" s="9"/>
    </row>
    <row r="11853" s="105" customFormat="1" spans="9:12">
      <c r="I11853" s="225"/>
      <c r="K11853" s="9"/>
      <c r="L11853" s="9"/>
    </row>
    <row r="11854" s="105" customFormat="1" spans="9:12">
      <c r="I11854" s="225"/>
      <c r="K11854" s="9"/>
      <c r="L11854" s="9"/>
    </row>
    <row r="11855" s="105" customFormat="1" spans="9:12">
      <c r="I11855" s="225"/>
      <c r="K11855" s="9"/>
      <c r="L11855" s="9"/>
    </row>
    <row r="11856" s="105" customFormat="1" spans="9:12">
      <c r="I11856" s="225"/>
      <c r="K11856" s="9"/>
      <c r="L11856" s="9"/>
    </row>
    <row r="11857" s="105" customFormat="1" spans="9:12">
      <c r="I11857" s="225"/>
      <c r="K11857" s="9"/>
      <c r="L11857" s="9"/>
    </row>
    <row r="11858" s="105" customFormat="1" spans="9:12">
      <c r="I11858" s="225"/>
      <c r="K11858" s="9"/>
      <c r="L11858" s="9"/>
    </row>
    <row r="11859" s="105" customFormat="1" spans="9:12">
      <c r="I11859" s="225"/>
      <c r="K11859" s="9"/>
      <c r="L11859" s="9"/>
    </row>
    <row r="11860" s="105" customFormat="1" spans="9:12">
      <c r="I11860" s="225"/>
      <c r="K11860" s="9"/>
      <c r="L11860" s="9"/>
    </row>
    <row r="11861" s="105" customFormat="1" spans="9:12">
      <c r="I11861" s="225"/>
      <c r="K11861" s="9"/>
      <c r="L11861" s="9"/>
    </row>
    <row r="11862" s="105" customFormat="1" spans="9:12">
      <c r="I11862" s="225"/>
      <c r="K11862" s="9"/>
      <c r="L11862" s="9"/>
    </row>
    <row r="11863" s="105" customFormat="1" spans="9:12">
      <c r="I11863" s="225"/>
      <c r="K11863" s="9"/>
      <c r="L11863" s="9"/>
    </row>
    <row r="11864" s="105" customFormat="1" spans="9:12">
      <c r="I11864" s="225"/>
      <c r="K11864" s="9"/>
      <c r="L11864" s="9"/>
    </row>
    <row r="11865" s="105" customFormat="1" spans="9:12">
      <c r="I11865" s="225"/>
      <c r="K11865" s="9"/>
      <c r="L11865" s="9"/>
    </row>
    <row r="11866" s="105" customFormat="1" spans="9:12">
      <c r="I11866" s="225"/>
      <c r="K11866" s="9"/>
      <c r="L11866" s="9"/>
    </row>
    <row r="11867" s="105" customFormat="1" spans="9:12">
      <c r="I11867" s="225"/>
      <c r="K11867" s="9"/>
      <c r="L11867" s="9"/>
    </row>
    <row r="11868" s="105" customFormat="1" spans="9:12">
      <c r="I11868" s="225"/>
      <c r="K11868" s="9"/>
      <c r="L11868" s="9"/>
    </row>
    <row r="11869" s="105" customFormat="1" spans="9:12">
      <c r="I11869" s="225"/>
      <c r="K11869" s="9"/>
      <c r="L11869" s="9"/>
    </row>
    <row r="11870" s="105" customFormat="1" spans="9:12">
      <c r="I11870" s="225"/>
      <c r="K11870" s="9"/>
      <c r="L11870" s="9"/>
    </row>
    <row r="11871" s="105" customFormat="1" spans="9:12">
      <c r="I11871" s="225"/>
      <c r="K11871" s="9"/>
      <c r="L11871" s="9"/>
    </row>
    <row r="11872" s="105" customFormat="1" spans="9:12">
      <c r="I11872" s="225"/>
      <c r="K11872" s="9"/>
      <c r="L11872" s="9"/>
    </row>
    <row r="11873" s="105" customFormat="1" spans="9:12">
      <c r="I11873" s="225"/>
      <c r="K11873" s="9"/>
      <c r="L11873" s="9"/>
    </row>
    <row r="11874" s="105" customFormat="1" spans="9:12">
      <c r="I11874" s="225"/>
      <c r="K11874" s="9"/>
      <c r="L11874" s="9"/>
    </row>
    <row r="11875" s="105" customFormat="1" spans="9:12">
      <c r="I11875" s="225"/>
      <c r="K11875" s="9"/>
      <c r="L11875" s="9"/>
    </row>
    <row r="11876" s="105" customFormat="1" spans="9:12">
      <c r="I11876" s="225"/>
      <c r="K11876" s="9"/>
      <c r="L11876" s="9"/>
    </row>
    <row r="11877" s="105" customFormat="1" spans="9:12">
      <c r="I11877" s="225"/>
      <c r="K11877" s="9"/>
      <c r="L11877" s="9"/>
    </row>
    <row r="11878" s="105" customFormat="1" spans="9:12">
      <c r="I11878" s="225"/>
      <c r="K11878" s="9"/>
      <c r="L11878" s="9"/>
    </row>
    <row r="11879" s="105" customFormat="1" spans="9:12">
      <c r="I11879" s="225"/>
      <c r="K11879" s="9"/>
      <c r="L11879" s="9"/>
    </row>
    <row r="11880" s="105" customFormat="1" spans="9:12">
      <c r="I11880" s="225"/>
      <c r="K11880" s="9"/>
      <c r="L11880" s="9"/>
    </row>
    <row r="11881" s="105" customFormat="1" spans="9:12">
      <c r="I11881" s="225"/>
      <c r="K11881" s="9"/>
      <c r="L11881" s="9"/>
    </row>
    <row r="11882" s="105" customFormat="1" spans="9:12">
      <c r="I11882" s="225"/>
      <c r="K11882" s="9"/>
      <c r="L11882" s="9"/>
    </row>
    <row r="11883" s="105" customFormat="1" spans="9:12">
      <c r="I11883" s="225"/>
      <c r="K11883" s="9"/>
      <c r="L11883" s="9"/>
    </row>
    <row r="11884" s="105" customFormat="1" spans="9:12">
      <c r="I11884" s="225"/>
      <c r="K11884" s="9"/>
      <c r="L11884" s="9"/>
    </row>
    <row r="11885" s="105" customFormat="1" spans="9:12">
      <c r="I11885" s="225"/>
      <c r="K11885" s="9"/>
      <c r="L11885" s="9"/>
    </row>
    <row r="11886" s="105" customFormat="1" spans="9:12">
      <c r="I11886" s="225"/>
      <c r="K11886" s="9"/>
      <c r="L11886" s="9"/>
    </row>
    <row r="11887" s="105" customFormat="1" spans="9:12">
      <c r="I11887" s="225"/>
      <c r="K11887" s="9"/>
      <c r="L11887" s="9"/>
    </row>
    <row r="11888" s="105" customFormat="1" spans="9:12">
      <c r="I11888" s="225"/>
      <c r="K11888" s="9"/>
      <c r="L11888" s="9"/>
    </row>
    <row r="11889" s="105" customFormat="1" spans="9:12">
      <c r="I11889" s="225"/>
      <c r="K11889" s="9"/>
      <c r="L11889" s="9"/>
    </row>
    <row r="11890" s="105" customFormat="1" spans="9:12">
      <c r="I11890" s="225"/>
      <c r="K11890" s="9"/>
      <c r="L11890" s="9"/>
    </row>
    <row r="11891" s="105" customFormat="1" spans="9:12">
      <c r="I11891" s="225"/>
      <c r="K11891" s="9"/>
      <c r="L11891" s="9"/>
    </row>
    <row r="11892" s="105" customFormat="1" spans="9:12">
      <c r="I11892" s="225"/>
      <c r="K11892" s="9"/>
      <c r="L11892" s="9"/>
    </row>
    <row r="11893" s="105" customFormat="1" spans="9:12">
      <c r="I11893" s="225"/>
      <c r="K11893" s="9"/>
      <c r="L11893" s="9"/>
    </row>
    <row r="11894" s="105" customFormat="1" spans="9:12">
      <c r="I11894" s="225"/>
      <c r="K11894" s="9"/>
      <c r="L11894" s="9"/>
    </row>
    <row r="11895" s="105" customFormat="1" spans="9:12">
      <c r="I11895" s="225"/>
      <c r="K11895" s="9"/>
      <c r="L11895" s="9"/>
    </row>
    <row r="11896" s="105" customFormat="1" spans="9:12">
      <c r="I11896" s="225"/>
      <c r="K11896" s="9"/>
      <c r="L11896" s="9"/>
    </row>
    <row r="11897" s="105" customFormat="1" spans="9:12">
      <c r="I11897" s="225"/>
      <c r="K11897" s="9"/>
      <c r="L11897" s="9"/>
    </row>
    <row r="11898" s="105" customFormat="1" spans="9:12">
      <c r="I11898" s="225"/>
      <c r="K11898" s="9"/>
      <c r="L11898" s="9"/>
    </row>
    <row r="11899" s="105" customFormat="1" spans="9:12">
      <c r="I11899" s="225"/>
      <c r="K11899" s="9"/>
      <c r="L11899" s="9"/>
    </row>
    <row r="11900" s="105" customFormat="1" spans="9:12">
      <c r="I11900" s="225"/>
      <c r="K11900" s="9"/>
      <c r="L11900" s="9"/>
    </row>
    <row r="11901" s="105" customFormat="1" spans="9:12">
      <c r="I11901" s="225"/>
      <c r="K11901" s="9"/>
      <c r="L11901" s="9"/>
    </row>
    <row r="11902" s="105" customFormat="1" spans="9:12">
      <c r="I11902" s="225"/>
      <c r="K11902" s="9"/>
      <c r="L11902" s="9"/>
    </row>
    <row r="11903" s="105" customFormat="1" spans="9:12">
      <c r="I11903" s="225"/>
      <c r="K11903" s="9"/>
      <c r="L11903" s="9"/>
    </row>
    <row r="11904" s="105" customFormat="1" spans="9:12">
      <c r="I11904" s="225"/>
      <c r="K11904" s="9"/>
      <c r="L11904" s="9"/>
    </row>
    <row r="11905" s="105" customFormat="1" spans="9:12">
      <c r="I11905" s="225"/>
      <c r="K11905" s="9"/>
      <c r="L11905" s="9"/>
    </row>
    <row r="11906" s="105" customFormat="1" spans="9:12">
      <c r="I11906" s="225"/>
      <c r="K11906" s="9"/>
      <c r="L11906" s="9"/>
    </row>
    <row r="11907" s="105" customFormat="1" spans="9:12">
      <c r="I11907" s="225"/>
      <c r="K11907" s="9"/>
      <c r="L11907" s="9"/>
    </row>
    <row r="11908" s="105" customFormat="1" spans="9:12">
      <c r="I11908" s="225"/>
      <c r="K11908" s="9"/>
      <c r="L11908" s="9"/>
    </row>
    <row r="11909" s="105" customFormat="1" spans="9:12">
      <c r="I11909" s="225"/>
      <c r="K11909" s="9"/>
      <c r="L11909" s="9"/>
    </row>
    <row r="11910" s="105" customFormat="1" spans="9:12">
      <c r="I11910" s="225"/>
      <c r="K11910" s="9"/>
      <c r="L11910" s="9"/>
    </row>
    <row r="11911" s="105" customFormat="1" spans="9:12">
      <c r="I11911" s="225"/>
      <c r="K11911" s="9"/>
      <c r="L11911" s="9"/>
    </row>
    <row r="11912" s="105" customFormat="1" spans="9:12">
      <c r="I11912" s="225"/>
      <c r="K11912" s="9"/>
      <c r="L11912" s="9"/>
    </row>
    <row r="11913" s="105" customFormat="1" spans="9:12">
      <c r="I11913" s="225"/>
      <c r="K11913" s="9"/>
      <c r="L11913" s="9"/>
    </row>
    <row r="11914" s="105" customFormat="1" spans="9:12">
      <c r="I11914" s="225"/>
      <c r="K11914" s="9"/>
      <c r="L11914" s="9"/>
    </row>
    <row r="11915" s="105" customFormat="1" spans="9:12">
      <c r="I11915" s="225"/>
      <c r="K11915" s="9"/>
      <c r="L11915" s="9"/>
    </row>
    <row r="11916" s="105" customFormat="1" spans="9:12">
      <c r="I11916" s="225"/>
      <c r="K11916" s="9"/>
      <c r="L11916" s="9"/>
    </row>
    <row r="11917" s="105" customFormat="1" spans="9:12">
      <c r="I11917" s="225"/>
      <c r="K11917" s="9"/>
      <c r="L11917" s="9"/>
    </row>
    <row r="11918" s="105" customFormat="1" spans="9:12">
      <c r="I11918" s="225"/>
      <c r="K11918" s="9"/>
      <c r="L11918" s="9"/>
    </row>
    <row r="11919" s="105" customFormat="1" spans="9:12">
      <c r="I11919" s="225"/>
      <c r="K11919" s="9"/>
      <c r="L11919" s="9"/>
    </row>
    <row r="11920" s="105" customFormat="1" spans="9:12">
      <c r="I11920" s="225"/>
      <c r="K11920" s="9"/>
      <c r="L11920" s="9"/>
    </row>
    <row r="11921" s="105" customFormat="1" spans="9:12">
      <c r="I11921" s="225"/>
      <c r="K11921" s="9"/>
      <c r="L11921" s="9"/>
    </row>
    <row r="11922" s="105" customFormat="1" spans="9:12">
      <c r="I11922" s="225"/>
      <c r="K11922" s="9"/>
      <c r="L11922" s="9"/>
    </row>
    <row r="11923" s="105" customFormat="1" spans="9:12">
      <c r="I11923" s="225"/>
      <c r="K11923" s="9"/>
      <c r="L11923" s="9"/>
    </row>
    <row r="11924" s="105" customFormat="1" spans="9:12">
      <c r="I11924" s="225"/>
      <c r="K11924" s="9"/>
      <c r="L11924" s="9"/>
    </row>
    <row r="11925" s="105" customFormat="1" spans="9:12">
      <c r="I11925" s="225"/>
      <c r="K11925" s="9"/>
      <c r="L11925" s="9"/>
    </row>
    <row r="11926" s="105" customFormat="1" spans="9:12">
      <c r="I11926" s="225"/>
      <c r="K11926" s="9"/>
      <c r="L11926" s="9"/>
    </row>
    <row r="11927" s="105" customFormat="1" spans="9:12">
      <c r="I11927" s="225"/>
      <c r="K11927" s="9"/>
      <c r="L11927" s="9"/>
    </row>
    <row r="11928" s="105" customFormat="1" spans="9:12">
      <c r="I11928" s="225"/>
      <c r="K11928" s="9"/>
      <c r="L11928" s="9"/>
    </row>
    <row r="11929" s="105" customFormat="1" spans="9:12">
      <c r="I11929" s="225"/>
      <c r="K11929" s="9"/>
      <c r="L11929" s="9"/>
    </row>
    <row r="11930" s="105" customFormat="1" spans="9:12">
      <c r="I11930" s="225"/>
      <c r="K11930" s="9"/>
      <c r="L11930" s="9"/>
    </row>
    <row r="11931" s="105" customFormat="1" spans="9:12">
      <c r="I11931" s="225"/>
      <c r="K11931" s="9"/>
      <c r="L11931" s="9"/>
    </row>
    <row r="11932" s="105" customFormat="1" spans="9:12">
      <c r="I11932" s="225"/>
      <c r="K11932" s="9"/>
      <c r="L11932" s="9"/>
    </row>
    <row r="11933" s="105" customFormat="1" spans="9:12">
      <c r="I11933" s="225"/>
      <c r="K11933" s="9"/>
      <c r="L11933" s="9"/>
    </row>
    <row r="11934" s="105" customFormat="1" spans="9:12">
      <c r="I11934" s="225"/>
      <c r="K11934" s="9"/>
      <c r="L11934" s="9"/>
    </row>
    <row r="11935" s="105" customFormat="1" spans="9:12">
      <c r="I11935" s="225"/>
      <c r="K11935" s="9"/>
      <c r="L11935" s="9"/>
    </row>
    <row r="11936" s="105" customFormat="1" spans="9:12">
      <c r="I11936" s="225"/>
      <c r="K11936" s="9"/>
      <c r="L11936" s="9"/>
    </row>
    <row r="11937" s="105" customFormat="1" spans="9:12">
      <c r="I11937" s="225"/>
      <c r="K11937" s="9"/>
      <c r="L11937" s="9"/>
    </row>
    <row r="11938" s="105" customFormat="1" spans="9:12">
      <c r="I11938" s="225"/>
      <c r="K11938" s="9"/>
      <c r="L11938" s="9"/>
    </row>
    <row r="11939" s="105" customFormat="1" spans="9:12">
      <c r="I11939" s="225"/>
      <c r="K11939" s="9"/>
      <c r="L11939" s="9"/>
    </row>
    <row r="11940" s="105" customFormat="1" spans="9:12">
      <c r="I11940" s="225"/>
      <c r="K11940" s="9"/>
      <c r="L11940" s="9"/>
    </row>
    <row r="11941" s="105" customFormat="1" spans="9:12">
      <c r="I11941" s="225"/>
      <c r="K11941" s="9"/>
      <c r="L11941" s="9"/>
    </row>
    <row r="11942" s="105" customFormat="1" spans="9:12">
      <c r="I11942" s="225"/>
      <c r="K11942" s="9"/>
      <c r="L11942" s="9"/>
    </row>
    <row r="11943" s="105" customFormat="1" spans="9:12">
      <c r="I11943" s="225"/>
      <c r="K11943" s="9"/>
      <c r="L11943" s="9"/>
    </row>
    <row r="11944" s="105" customFormat="1" spans="9:12">
      <c r="I11944" s="225"/>
      <c r="K11944" s="9"/>
      <c r="L11944" s="9"/>
    </row>
    <row r="11945" s="105" customFormat="1" spans="9:12">
      <c r="I11945" s="225"/>
      <c r="K11945" s="9"/>
      <c r="L11945" s="9"/>
    </row>
    <row r="11946" s="105" customFormat="1" spans="9:12">
      <c r="I11946" s="225"/>
      <c r="K11946" s="9"/>
      <c r="L11946" s="9"/>
    </row>
    <row r="11947" s="105" customFormat="1" spans="9:12">
      <c r="I11947" s="225"/>
      <c r="K11947" s="9"/>
      <c r="L11947" s="9"/>
    </row>
    <row r="11948" s="105" customFormat="1" spans="9:12">
      <c r="I11948" s="225"/>
      <c r="K11948" s="9"/>
      <c r="L11948" s="9"/>
    </row>
    <row r="11949" s="105" customFormat="1" spans="9:12">
      <c r="I11949" s="225"/>
      <c r="K11949" s="9"/>
      <c r="L11949" s="9"/>
    </row>
    <row r="11950" s="105" customFormat="1" spans="9:12">
      <c r="I11950" s="225"/>
      <c r="K11950" s="9"/>
      <c r="L11950" s="9"/>
    </row>
    <row r="11951" s="105" customFormat="1" spans="9:12">
      <c r="I11951" s="225"/>
      <c r="K11951" s="9"/>
      <c r="L11951" s="9"/>
    </row>
    <row r="11952" s="105" customFormat="1" spans="9:12">
      <c r="I11952" s="225"/>
      <c r="K11952" s="9"/>
      <c r="L11952" s="9"/>
    </row>
    <row r="11953" s="105" customFormat="1" spans="9:12">
      <c r="I11953" s="225"/>
      <c r="K11953" s="9"/>
      <c r="L11953" s="9"/>
    </row>
    <row r="11954" s="105" customFormat="1" spans="9:12">
      <c r="I11954" s="225"/>
      <c r="K11954" s="9"/>
      <c r="L11954" s="9"/>
    </row>
    <row r="11955" s="105" customFormat="1" spans="9:12">
      <c r="I11955" s="225"/>
      <c r="K11955" s="9"/>
      <c r="L11955" s="9"/>
    </row>
    <row r="11956" s="105" customFormat="1" spans="9:12">
      <c r="I11956" s="225"/>
      <c r="K11956" s="9"/>
      <c r="L11956" s="9"/>
    </row>
    <row r="11957" s="105" customFormat="1" spans="9:12">
      <c r="I11957" s="225"/>
      <c r="K11957" s="9"/>
      <c r="L11957" s="9"/>
    </row>
    <row r="11958" s="105" customFormat="1" spans="9:12">
      <c r="I11958" s="225"/>
      <c r="K11958" s="9"/>
      <c r="L11958" s="9"/>
    </row>
    <row r="11959" s="105" customFormat="1" spans="9:12">
      <c r="I11959" s="225"/>
      <c r="K11959" s="9"/>
      <c r="L11959" s="9"/>
    </row>
    <row r="11960" s="105" customFormat="1" spans="9:12">
      <c r="I11960" s="225"/>
      <c r="K11960" s="9"/>
      <c r="L11960" s="9"/>
    </row>
    <row r="11961" s="105" customFormat="1" spans="9:12">
      <c r="I11961" s="225"/>
      <c r="K11961" s="9"/>
      <c r="L11961" s="9"/>
    </row>
    <row r="11962" s="105" customFormat="1" spans="9:12">
      <c r="I11962" s="225"/>
      <c r="K11962" s="9"/>
      <c r="L11962" s="9"/>
    </row>
    <row r="11963" s="105" customFormat="1" spans="9:12">
      <c r="I11963" s="225"/>
      <c r="K11963" s="9"/>
      <c r="L11963" s="9"/>
    </row>
    <row r="11964" s="105" customFormat="1" spans="9:12">
      <c r="I11964" s="225"/>
      <c r="K11964" s="9"/>
      <c r="L11964" s="9"/>
    </row>
    <row r="11965" s="105" customFormat="1" spans="9:12">
      <c r="I11965" s="225"/>
      <c r="K11965" s="9"/>
      <c r="L11965" s="9"/>
    </row>
    <row r="11966" s="105" customFormat="1" spans="9:12">
      <c r="I11966" s="225"/>
      <c r="K11966" s="9"/>
      <c r="L11966" s="9"/>
    </row>
    <row r="11967" s="105" customFormat="1" spans="9:12">
      <c r="I11967" s="225"/>
      <c r="K11967" s="9"/>
      <c r="L11967" s="9"/>
    </row>
    <row r="11968" s="105" customFormat="1" spans="9:12">
      <c r="I11968" s="225"/>
      <c r="K11968" s="9"/>
      <c r="L11968" s="9"/>
    </row>
    <row r="11969" s="105" customFormat="1" spans="9:12">
      <c r="I11969" s="225"/>
      <c r="K11969" s="9"/>
      <c r="L11969" s="9"/>
    </row>
    <row r="11970" s="105" customFormat="1" spans="9:12">
      <c r="I11970" s="225"/>
      <c r="K11970" s="9"/>
      <c r="L11970" s="9"/>
    </row>
    <row r="11971" s="105" customFormat="1" spans="9:12">
      <c r="I11971" s="225"/>
      <c r="K11971" s="9"/>
      <c r="L11971" s="9"/>
    </row>
    <row r="11972" s="105" customFormat="1" spans="9:12">
      <c r="I11972" s="225"/>
      <c r="K11972" s="9"/>
      <c r="L11972" s="9"/>
    </row>
    <row r="11973" s="105" customFormat="1" spans="9:12">
      <c r="I11973" s="225"/>
      <c r="K11973" s="9"/>
      <c r="L11973" s="9"/>
    </row>
    <row r="11974" s="105" customFormat="1" spans="9:12">
      <c r="I11974" s="225"/>
      <c r="K11974" s="9"/>
      <c r="L11974" s="9"/>
    </row>
    <row r="11975" s="105" customFormat="1" spans="9:12">
      <c r="I11975" s="225"/>
      <c r="K11975" s="9"/>
      <c r="L11975" s="9"/>
    </row>
    <row r="11976" s="105" customFormat="1" spans="9:12">
      <c r="I11976" s="225"/>
      <c r="K11976" s="9"/>
      <c r="L11976" s="9"/>
    </row>
    <row r="11977" s="105" customFormat="1" spans="9:12">
      <c r="I11977" s="225"/>
      <c r="K11977" s="9"/>
      <c r="L11977" s="9"/>
    </row>
    <row r="11978" s="105" customFormat="1" spans="9:12">
      <c r="I11978" s="225"/>
      <c r="K11978" s="9"/>
      <c r="L11978" s="9"/>
    </row>
    <row r="11979" s="105" customFormat="1" spans="9:12">
      <c r="I11979" s="225"/>
      <c r="K11979" s="9"/>
      <c r="L11979" s="9"/>
    </row>
    <row r="11980" s="105" customFormat="1" spans="9:12">
      <c r="I11980" s="225"/>
      <c r="K11980" s="9"/>
      <c r="L11980" s="9"/>
    </row>
    <row r="11981" s="105" customFormat="1" spans="9:12">
      <c r="I11981" s="225"/>
      <c r="K11981" s="9"/>
      <c r="L11981" s="9"/>
    </row>
    <row r="11982" s="105" customFormat="1" spans="9:12">
      <c r="I11982" s="225"/>
      <c r="K11982" s="9"/>
      <c r="L11982" s="9"/>
    </row>
    <row r="11983" s="105" customFormat="1" spans="9:12">
      <c r="I11983" s="225"/>
      <c r="K11983" s="9"/>
      <c r="L11983" s="9"/>
    </row>
    <row r="11984" s="105" customFormat="1" spans="9:12">
      <c r="I11984" s="225"/>
      <c r="K11984" s="9"/>
      <c r="L11984" s="9"/>
    </row>
    <row r="11985" s="105" customFormat="1" spans="9:12">
      <c r="I11985" s="225"/>
      <c r="K11985" s="9"/>
      <c r="L11985" s="9"/>
    </row>
    <row r="11986" s="105" customFormat="1" spans="9:12">
      <c r="I11986" s="225"/>
      <c r="K11986" s="9"/>
      <c r="L11986" s="9"/>
    </row>
    <row r="11987" s="105" customFormat="1" spans="9:12">
      <c r="I11987" s="225"/>
      <c r="K11987" s="9"/>
      <c r="L11987" s="9"/>
    </row>
    <row r="11988" s="105" customFormat="1" spans="9:12">
      <c r="I11988" s="225"/>
      <c r="K11988" s="9"/>
      <c r="L11988" s="9"/>
    </row>
    <row r="11989" s="105" customFormat="1" spans="9:12">
      <c r="I11989" s="225"/>
      <c r="K11989" s="9"/>
      <c r="L11989" s="9"/>
    </row>
    <row r="11990" s="105" customFormat="1" spans="9:12">
      <c r="I11990" s="225"/>
      <c r="K11990" s="9"/>
      <c r="L11990" s="9"/>
    </row>
    <row r="11991" s="105" customFormat="1" spans="9:12">
      <c r="I11991" s="225"/>
      <c r="K11991" s="9"/>
      <c r="L11991" s="9"/>
    </row>
    <row r="11992" s="105" customFormat="1" spans="9:12">
      <c r="I11992" s="225"/>
      <c r="K11992" s="9"/>
      <c r="L11992" s="9"/>
    </row>
    <row r="11993" s="105" customFormat="1" spans="9:12">
      <c r="I11993" s="225"/>
      <c r="K11993" s="9"/>
      <c r="L11993" s="9"/>
    </row>
    <row r="11994" s="105" customFormat="1" spans="9:12">
      <c r="I11994" s="225"/>
      <c r="K11994" s="9"/>
      <c r="L11994" s="9"/>
    </row>
    <row r="11995" s="105" customFormat="1" spans="9:12">
      <c r="I11995" s="225"/>
      <c r="K11995" s="9"/>
      <c r="L11995" s="9"/>
    </row>
    <row r="11996" s="105" customFormat="1" spans="9:12">
      <c r="I11996" s="225"/>
      <c r="K11996" s="9"/>
      <c r="L11996" s="9"/>
    </row>
    <row r="11997" s="105" customFormat="1" spans="9:12">
      <c r="I11997" s="225"/>
      <c r="K11997" s="9"/>
      <c r="L11997" s="9"/>
    </row>
    <row r="11998" s="105" customFormat="1" spans="9:12">
      <c r="I11998" s="225"/>
      <c r="K11998" s="9"/>
      <c r="L11998" s="9"/>
    </row>
    <row r="11999" s="105" customFormat="1" spans="9:12">
      <c r="I11999" s="225"/>
      <c r="K11999" s="9"/>
      <c r="L11999" s="9"/>
    </row>
    <row r="12000" s="105" customFormat="1" spans="9:12">
      <c r="I12000" s="225"/>
      <c r="K12000" s="9"/>
      <c r="L12000" s="9"/>
    </row>
    <row r="12001" s="105" customFormat="1" spans="9:12">
      <c r="I12001" s="225"/>
      <c r="K12001" s="9"/>
      <c r="L12001" s="9"/>
    </row>
    <row r="12002" s="105" customFormat="1" spans="9:12">
      <c r="I12002" s="225"/>
      <c r="K12002" s="9"/>
      <c r="L12002" s="9"/>
    </row>
    <row r="12003" s="105" customFormat="1" spans="9:12">
      <c r="I12003" s="225"/>
      <c r="K12003" s="9"/>
      <c r="L12003" s="9"/>
    </row>
    <row r="12004" s="105" customFormat="1" spans="9:12">
      <c r="I12004" s="225"/>
      <c r="K12004" s="9"/>
      <c r="L12004" s="9"/>
    </row>
    <row r="12005" s="105" customFormat="1" spans="9:12">
      <c r="I12005" s="225"/>
      <c r="K12005" s="9"/>
      <c r="L12005" s="9"/>
    </row>
    <row r="12006" s="105" customFormat="1" spans="9:12">
      <c r="I12006" s="225"/>
      <c r="K12006" s="9"/>
      <c r="L12006" s="9"/>
    </row>
    <row r="12007" s="105" customFormat="1" spans="9:12">
      <c r="I12007" s="225"/>
      <c r="K12007" s="9"/>
      <c r="L12007" s="9"/>
    </row>
    <row r="12008" s="105" customFormat="1" spans="9:12">
      <c r="I12008" s="225"/>
      <c r="K12008" s="9"/>
      <c r="L12008" s="9"/>
    </row>
    <row r="12009" s="105" customFormat="1" spans="9:12">
      <c r="I12009" s="225"/>
      <c r="K12009" s="9"/>
      <c r="L12009" s="9"/>
    </row>
    <row r="12010" s="105" customFormat="1" spans="9:12">
      <c r="I12010" s="225"/>
      <c r="K12010" s="9"/>
      <c r="L12010" s="9"/>
    </row>
    <row r="12011" s="105" customFormat="1" spans="9:12">
      <c r="I12011" s="225"/>
      <c r="K12011" s="9"/>
      <c r="L12011" s="9"/>
    </row>
    <row r="12012" s="105" customFormat="1" spans="9:12">
      <c r="I12012" s="225"/>
      <c r="K12012" s="9"/>
      <c r="L12012" s="9"/>
    </row>
    <row r="12013" s="105" customFormat="1" spans="9:12">
      <c r="I12013" s="225"/>
      <c r="K12013" s="9"/>
      <c r="L12013" s="9"/>
    </row>
    <row r="12014" s="105" customFormat="1" spans="9:12">
      <c r="I12014" s="225"/>
      <c r="K12014" s="9"/>
      <c r="L12014" s="9"/>
    </row>
    <row r="12015" s="105" customFormat="1" spans="9:12">
      <c r="I12015" s="225"/>
      <c r="K12015" s="9"/>
      <c r="L12015" s="9"/>
    </row>
    <row r="12016" s="105" customFormat="1" spans="9:12">
      <c r="I12016" s="225"/>
      <c r="K12016" s="9"/>
      <c r="L12016" s="9"/>
    </row>
    <row r="12017" s="105" customFormat="1" spans="9:12">
      <c r="I12017" s="225"/>
      <c r="K12017" s="9"/>
      <c r="L12017" s="9"/>
    </row>
    <row r="12018" s="105" customFormat="1" spans="9:12">
      <c r="I12018" s="225"/>
      <c r="K12018" s="9"/>
      <c r="L12018" s="9"/>
    </row>
    <row r="12019" s="105" customFormat="1" spans="9:12">
      <c r="I12019" s="225"/>
      <c r="K12019" s="9"/>
      <c r="L12019" s="9"/>
    </row>
    <row r="12020" s="105" customFormat="1" spans="9:12">
      <c r="I12020" s="225"/>
      <c r="K12020" s="9"/>
      <c r="L12020" s="9"/>
    </row>
    <row r="12021" s="105" customFormat="1" spans="9:12">
      <c r="I12021" s="225"/>
      <c r="K12021" s="9"/>
      <c r="L12021" s="9"/>
    </row>
    <row r="12022" s="105" customFormat="1" spans="9:12">
      <c r="I12022" s="225"/>
      <c r="K12022" s="9"/>
      <c r="L12022" s="9"/>
    </row>
    <row r="12023" s="105" customFormat="1" spans="9:12">
      <c r="I12023" s="225"/>
      <c r="K12023" s="9"/>
      <c r="L12023" s="9"/>
    </row>
    <row r="12024" s="105" customFormat="1" spans="9:12">
      <c r="I12024" s="225"/>
      <c r="K12024" s="9"/>
      <c r="L12024" s="9"/>
    </row>
    <row r="12025" s="105" customFormat="1" spans="9:12">
      <c r="I12025" s="225"/>
      <c r="K12025" s="9"/>
      <c r="L12025" s="9"/>
    </row>
    <row r="12026" s="105" customFormat="1" spans="9:12">
      <c r="I12026" s="225"/>
      <c r="K12026" s="9"/>
      <c r="L12026" s="9"/>
    </row>
    <row r="12027" s="105" customFormat="1" spans="9:12">
      <c r="I12027" s="225"/>
      <c r="K12027" s="9"/>
      <c r="L12027" s="9"/>
    </row>
    <row r="12028" s="105" customFormat="1" spans="9:12">
      <c r="I12028" s="225"/>
      <c r="K12028" s="9"/>
      <c r="L12028" s="9"/>
    </row>
    <row r="12029" s="105" customFormat="1" spans="9:12">
      <c r="I12029" s="225"/>
      <c r="K12029" s="9"/>
      <c r="L12029" s="9"/>
    </row>
    <row r="12030" s="105" customFormat="1" spans="9:12">
      <c r="I12030" s="225"/>
      <c r="K12030" s="9"/>
      <c r="L12030" s="9"/>
    </row>
    <row r="12031" s="105" customFormat="1" spans="9:12">
      <c r="I12031" s="225"/>
      <c r="K12031" s="9"/>
      <c r="L12031" s="9"/>
    </row>
    <row r="12032" s="105" customFormat="1" spans="9:12">
      <c r="I12032" s="225"/>
      <c r="K12032" s="9"/>
      <c r="L12032" s="9"/>
    </row>
    <row r="12033" s="105" customFormat="1" spans="9:12">
      <c r="I12033" s="225"/>
      <c r="K12033" s="9"/>
      <c r="L12033" s="9"/>
    </row>
    <row r="12034" s="105" customFormat="1" spans="9:12">
      <c r="I12034" s="225"/>
      <c r="K12034" s="9"/>
      <c r="L12034" s="9"/>
    </row>
    <row r="12035" s="105" customFormat="1" spans="9:12">
      <c r="I12035" s="225"/>
      <c r="K12035" s="9"/>
      <c r="L12035" s="9"/>
    </row>
    <row r="12036" s="105" customFormat="1" spans="9:12">
      <c r="I12036" s="225"/>
      <c r="K12036" s="9"/>
      <c r="L12036" s="9"/>
    </row>
    <row r="12037" s="105" customFormat="1" spans="9:12">
      <c r="I12037" s="225"/>
      <c r="K12037" s="9"/>
      <c r="L12037" s="9"/>
    </row>
    <row r="12038" s="105" customFormat="1" spans="9:12">
      <c r="I12038" s="225"/>
      <c r="K12038" s="9"/>
      <c r="L12038" s="9"/>
    </row>
    <row r="12039" s="105" customFormat="1" spans="9:12">
      <c r="I12039" s="225"/>
      <c r="K12039" s="9"/>
      <c r="L12039" s="9"/>
    </row>
    <row r="12040" s="105" customFormat="1" spans="9:12">
      <c r="I12040" s="225"/>
      <c r="K12040" s="9"/>
      <c r="L12040" s="9"/>
    </row>
    <row r="12041" s="105" customFormat="1" spans="9:12">
      <c r="I12041" s="225"/>
      <c r="K12041" s="9"/>
      <c r="L12041" s="9"/>
    </row>
    <row r="12042" s="105" customFormat="1" spans="9:12">
      <c r="I12042" s="225"/>
      <c r="K12042" s="9"/>
      <c r="L12042" s="9"/>
    </row>
    <row r="12043" s="105" customFormat="1" spans="9:12">
      <c r="I12043" s="225"/>
      <c r="K12043" s="9"/>
      <c r="L12043" s="9"/>
    </row>
    <row r="12044" s="105" customFormat="1" spans="9:12">
      <c r="I12044" s="225"/>
      <c r="K12044" s="9"/>
      <c r="L12044" s="9"/>
    </row>
    <row r="12045" s="105" customFormat="1" spans="9:12">
      <c r="I12045" s="225"/>
      <c r="K12045" s="9"/>
      <c r="L12045" s="9"/>
    </row>
    <row r="12046" s="105" customFormat="1" spans="9:12">
      <c r="I12046" s="225"/>
      <c r="K12046" s="9"/>
      <c r="L12046" s="9"/>
    </row>
    <row r="12047" s="105" customFormat="1" spans="9:12">
      <c r="I12047" s="225"/>
      <c r="K12047" s="9"/>
      <c r="L12047" s="9"/>
    </row>
    <row r="12048" s="105" customFormat="1" spans="9:12">
      <c r="I12048" s="225"/>
      <c r="K12048" s="9"/>
      <c r="L12048" s="9"/>
    </row>
    <row r="12049" s="105" customFormat="1" spans="9:12">
      <c r="I12049" s="225"/>
      <c r="K12049" s="9"/>
      <c r="L12049" s="9"/>
    </row>
    <row r="12050" s="105" customFormat="1" spans="9:12">
      <c r="I12050" s="225"/>
      <c r="K12050" s="9"/>
      <c r="L12050" s="9"/>
    </row>
    <row r="12051" s="105" customFormat="1" spans="9:12">
      <c r="I12051" s="225"/>
      <c r="K12051" s="9"/>
      <c r="L12051" s="9"/>
    </row>
    <row r="12052" s="105" customFormat="1" spans="9:12">
      <c r="I12052" s="225"/>
      <c r="K12052" s="9"/>
      <c r="L12052" s="9"/>
    </row>
    <row r="12053" s="105" customFormat="1" spans="9:12">
      <c r="I12053" s="225"/>
      <c r="K12053" s="9"/>
      <c r="L12053" s="9"/>
    </row>
    <row r="12054" s="105" customFormat="1" spans="9:12">
      <c r="I12054" s="225"/>
      <c r="K12054" s="9"/>
      <c r="L12054" s="9"/>
    </row>
    <row r="12055" s="105" customFormat="1" spans="9:12">
      <c r="I12055" s="225"/>
      <c r="K12055" s="9"/>
      <c r="L12055" s="9"/>
    </row>
    <row r="12056" s="105" customFormat="1" spans="9:12">
      <c r="I12056" s="225"/>
      <c r="K12056" s="9"/>
      <c r="L12056" s="9"/>
    </row>
    <row r="12057" s="105" customFormat="1" spans="9:12">
      <c r="I12057" s="225"/>
      <c r="K12057" s="9"/>
      <c r="L12057" s="9"/>
    </row>
    <row r="12058" s="105" customFormat="1" spans="9:12">
      <c r="I12058" s="225"/>
      <c r="K12058" s="9"/>
      <c r="L12058" s="9"/>
    </row>
    <row r="12059" s="105" customFormat="1" spans="9:12">
      <c r="I12059" s="225"/>
      <c r="K12059" s="9"/>
      <c r="L12059" s="9"/>
    </row>
    <row r="12060" s="105" customFormat="1" spans="9:12">
      <c r="I12060" s="225"/>
      <c r="K12060" s="9"/>
      <c r="L12060" s="9"/>
    </row>
    <row r="12061" s="105" customFormat="1" spans="9:12">
      <c r="I12061" s="225"/>
      <c r="K12061" s="9"/>
      <c r="L12061" s="9"/>
    </row>
    <row r="12062" s="105" customFormat="1" spans="9:12">
      <c r="I12062" s="225"/>
      <c r="K12062" s="9"/>
      <c r="L12062" s="9"/>
    </row>
    <row r="12063" s="105" customFormat="1" spans="9:12">
      <c r="I12063" s="225"/>
      <c r="K12063" s="9"/>
      <c r="L12063" s="9"/>
    </row>
    <row r="12064" s="105" customFormat="1" spans="9:12">
      <c r="I12064" s="225"/>
      <c r="K12064" s="9"/>
      <c r="L12064" s="9"/>
    </row>
    <row r="12065" s="105" customFormat="1" spans="9:12">
      <c r="I12065" s="225"/>
      <c r="K12065" s="9"/>
      <c r="L12065" s="9"/>
    </row>
    <row r="12066" s="105" customFormat="1" spans="9:12">
      <c r="I12066" s="225"/>
      <c r="K12066" s="9"/>
      <c r="L12066" s="9"/>
    </row>
    <row r="12067" s="105" customFormat="1" spans="9:12">
      <c r="I12067" s="225"/>
      <c r="K12067" s="9"/>
      <c r="L12067" s="9"/>
    </row>
    <row r="12068" s="105" customFormat="1" spans="9:12">
      <c r="I12068" s="225"/>
      <c r="K12068" s="9"/>
      <c r="L12068" s="9"/>
    </row>
    <row r="12069" s="105" customFormat="1" spans="9:12">
      <c r="I12069" s="225"/>
      <c r="K12069" s="9"/>
      <c r="L12069" s="9"/>
    </row>
    <row r="12070" s="105" customFormat="1" spans="9:12">
      <c r="I12070" s="225"/>
      <c r="K12070" s="9"/>
      <c r="L12070" s="9"/>
    </row>
    <row r="12071" s="105" customFormat="1" spans="9:12">
      <c r="I12071" s="225"/>
      <c r="K12071" s="9"/>
      <c r="L12071" s="9"/>
    </row>
    <row r="12072" s="105" customFormat="1" spans="9:12">
      <c r="I12072" s="225"/>
      <c r="K12072" s="9"/>
      <c r="L12072" s="9"/>
    </row>
    <row r="12073" s="105" customFormat="1" spans="9:12">
      <c r="I12073" s="225"/>
      <c r="K12073" s="9"/>
      <c r="L12073" s="9"/>
    </row>
    <row r="12074" s="105" customFormat="1" spans="9:12">
      <c r="I12074" s="225"/>
      <c r="K12074" s="9"/>
      <c r="L12074" s="9"/>
    </row>
    <row r="12075" s="105" customFormat="1" spans="9:12">
      <c r="I12075" s="225"/>
      <c r="K12075" s="9"/>
      <c r="L12075" s="9"/>
    </row>
    <row r="12076" s="105" customFormat="1" spans="9:12">
      <c r="I12076" s="225"/>
      <c r="K12076" s="9"/>
      <c r="L12076" s="9"/>
    </row>
    <row r="12077" s="105" customFormat="1" spans="9:12">
      <c r="I12077" s="225"/>
      <c r="K12077" s="9"/>
      <c r="L12077" s="9"/>
    </row>
    <row r="12078" s="105" customFormat="1" spans="9:12">
      <c r="I12078" s="225"/>
      <c r="K12078" s="9"/>
      <c r="L12078" s="9"/>
    </row>
    <row r="12079" s="105" customFormat="1" spans="9:12">
      <c r="I12079" s="225"/>
      <c r="K12079" s="9"/>
      <c r="L12079" s="9"/>
    </row>
    <row r="12080" s="105" customFormat="1" spans="9:12">
      <c r="I12080" s="225"/>
      <c r="K12080" s="9"/>
      <c r="L12080" s="9"/>
    </row>
    <row r="12081" s="105" customFormat="1" spans="9:12">
      <c r="I12081" s="225"/>
      <c r="K12081" s="9"/>
      <c r="L12081" s="9"/>
    </row>
    <row r="12082" s="105" customFormat="1" spans="9:12">
      <c r="I12082" s="225"/>
      <c r="K12082" s="9"/>
      <c r="L12082" s="9"/>
    </row>
    <row r="12083" s="105" customFormat="1" spans="9:12">
      <c r="I12083" s="225"/>
      <c r="K12083" s="9"/>
      <c r="L12083" s="9"/>
    </row>
    <row r="12084" s="105" customFormat="1" spans="9:12">
      <c r="I12084" s="225"/>
      <c r="K12084" s="9"/>
      <c r="L12084" s="9"/>
    </row>
    <row r="12085" s="105" customFormat="1" spans="9:12">
      <c r="I12085" s="225"/>
      <c r="K12085" s="9"/>
      <c r="L12085" s="9"/>
    </row>
    <row r="12086" s="105" customFormat="1" spans="9:12">
      <c r="I12086" s="225"/>
      <c r="K12086" s="9"/>
      <c r="L12086" s="9"/>
    </row>
    <row r="12087" s="105" customFormat="1" spans="9:12">
      <c r="I12087" s="225"/>
      <c r="K12087" s="9"/>
      <c r="L12087" s="9"/>
    </row>
    <row r="12088" s="105" customFormat="1" spans="9:12">
      <c r="I12088" s="225"/>
      <c r="K12088" s="9"/>
      <c r="L12088" s="9"/>
    </row>
    <row r="12089" s="105" customFormat="1" spans="9:12">
      <c r="I12089" s="225"/>
      <c r="K12089" s="9"/>
      <c r="L12089" s="9"/>
    </row>
    <row r="12090" s="105" customFormat="1" spans="9:12">
      <c r="I12090" s="225"/>
      <c r="K12090" s="9"/>
      <c r="L12090" s="9"/>
    </row>
    <row r="12091" s="105" customFormat="1" spans="9:12">
      <c r="I12091" s="225"/>
      <c r="K12091" s="9"/>
      <c r="L12091" s="9"/>
    </row>
    <row r="12092" s="105" customFormat="1" spans="9:12">
      <c r="I12092" s="225"/>
      <c r="K12092" s="9"/>
      <c r="L12092" s="9"/>
    </row>
    <row r="12093" s="105" customFormat="1" spans="9:12">
      <c r="I12093" s="225"/>
      <c r="K12093" s="9"/>
      <c r="L12093" s="9"/>
    </row>
    <row r="12094" s="105" customFormat="1" spans="9:12">
      <c r="I12094" s="225"/>
      <c r="K12094" s="9"/>
      <c r="L12094" s="9"/>
    </row>
    <row r="12095" s="105" customFormat="1" spans="9:12">
      <c r="I12095" s="225"/>
      <c r="K12095" s="9"/>
      <c r="L12095" s="9"/>
    </row>
    <row r="12096" s="105" customFormat="1" spans="9:12">
      <c r="I12096" s="225"/>
      <c r="K12096" s="9"/>
      <c r="L12096" s="9"/>
    </row>
    <row r="12097" s="105" customFormat="1" spans="9:12">
      <c r="I12097" s="225"/>
      <c r="K12097" s="9"/>
      <c r="L12097" s="9"/>
    </row>
    <row r="12098" s="105" customFormat="1" spans="9:12">
      <c r="I12098" s="225"/>
      <c r="K12098" s="9"/>
      <c r="L12098" s="9"/>
    </row>
    <row r="12099" s="105" customFormat="1" spans="9:12">
      <c r="I12099" s="225"/>
      <c r="K12099" s="9"/>
      <c r="L12099" s="9"/>
    </row>
    <row r="12100" s="105" customFormat="1" spans="9:12">
      <c r="I12100" s="225"/>
      <c r="K12100" s="9"/>
      <c r="L12100" s="9"/>
    </row>
    <row r="12101" s="105" customFormat="1" spans="9:12">
      <c r="I12101" s="225"/>
      <c r="K12101" s="9"/>
      <c r="L12101" s="9"/>
    </row>
    <row r="12102" s="105" customFormat="1" spans="9:12">
      <c r="I12102" s="225"/>
      <c r="K12102" s="9"/>
      <c r="L12102" s="9"/>
    </row>
    <row r="12103" s="105" customFormat="1" spans="9:12">
      <c r="I12103" s="225"/>
      <c r="K12103" s="9"/>
      <c r="L12103" s="9"/>
    </row>
    <row r="12104" s="105" customFormat="1" spans="9:12">
      <c r="I12104" s="225"/>
      <c r="K12104" s="9"/>
      <c r="L12104" s="9"/>
    </row>
    <row r="12105" s="105" customFormat="1" spans="9:12">
      <c r="I12105" s="225"/>
      <c r="K12105" s="9"/>
      <c r="L12105" s="9"/>
    </row>
    <row r="12106" s="105" customFormat="1" spans="9:12">
      <c r="I12106" s="225"/>
      <c r="K12106" s="9"/>
      <c r="L12106" s="9"/>
    </row>
    <row r="12107" s="105" customFormat="1" spans="9:12">
      <c r="I12107" s="225"/>
      <c r="K12107" s="9"/>
      <c r="L12107" s="9"/>
    </row>
    <row r="12108" s="105" customFormat="1" spans="9:12">
      <c r="I12108" s="225"/>
      <c r="K12108" s="9"/>
      <c r="L12108" s="9"/>
    </row>
    <row r="12109" s="105" customFormat="1" spans="9:12">
      <c r="I12109" s="225"/>
      <c r="K12109" s="9"/>
      <c r="L12109" s="9"/>
    </row>
    <row r="12110" s="105" customFormat="1" spans="9:12">
      <c r="I12110" s="225"/>
      <c r="K12110" s="9"/>
      <c r="L12110" s="9"/>
    </row>
    <row r="12111" s="105" customFormat="1" spans="9:12">
      <c r="I12111" s="225"/>
      <c r="K12111" s="9"/>
      <c r="L12111" s="9"/>
    </row>
    <row r="12112" s="105" customFormat="1" spans="9:12">
      <c r="I12112" s="225"/>
      <c r="K12112" s="9"/>
      <c r="L12112" s="9"/>
    </row>
    <row r="12113" s="105" customFormat="1" spans="9:12">
      <c r="I12113" s="225"/>
      <c r="K12113" s="9"/>
      <c r="L12113" s="9"/>
    </row>
    <row r="12114" s="105" customFormat="1" spans="9:12">
      <c r="I12114" s="225"/>
      <c r="K12114" s="9"/>
      <c r="L12114" s="9"/>
    </row>
    <row r="12115" s="105" customFormat="1" spans="9:12">
      <c r="I12115" s="225"/>
      <c r="K12115" s="9"/>
      <c r="L12115" s="9"/>
    </row>
    <row r="12116" s="105" customFormat="1" spans="9:12">
      <c r="I12116" s="225"/>
      <c r="K12116" s="9"/>
      <c r="L12116" s="9"/>
    </row>
    <row r="12117" s="105" customFormat="1" spans="9:12">
      <c r="I12117" s="225"/>
      <c r="K12117" s="9"/>
      <c r="L12117" s="9"/>
    </row>
    <row r="12118" s="105" customFormat="1" spans="9:12">
      <c r="I12118" s="225"/>
      <c r="K12118" s="9"/>
      <c r="L12118" s="9"/>
    </row>
    <row r="12119" s="105" customFormat="1" spans="9:12">
      <c r="I12119" s="225"/>
      <c r="K12119" s="9"/>
      <c r="L12119" s="9"/>
    </row>
    <row r="12120" s="105" customFormat="1" spans="9:12">
      <c r="I12120" s="225"/>
      <c r="K12120" s="9"/>
      <c r="L12120" s="9"/>
    </row>
    <row r="12121" s="105" customFormat="1" spans="9:12">
      <c r="I12121" s="225"/>
      <c r="K12121" s="9"/>
      <c r="L12121" s="9"/>
    </row>
    <row r="12122" s="105" customFormat="1" spans="9:12">
      <c r="I12122" s="225"/>
      <c r="K12122" s="9"/>
      <c r="L12122" s="9"/>
    </row>
    <row r="12123" s="105" customFormat="1" spans="9:12">
      <c r="I12123" s="225"/>
      <c r="K12123" s="9"/>
      <c r="L12123" s="9"/>
    </row>
    <row r="12124" s="105" customFormat="1" spans="9:12">
      <c r="I12124" s="225"/>
      <c r="K12124" s="9"/>
      <c r="L12124" s="9"/>
    </row>
    <row r="12125" s="105" customFormat="1" spans="9:12">
      <c r="I12125" s="225"/>
      <c r="K12125" s="9"/>
      <c r="L12125" s="9"/>
    </row>
    <row r="12126" s="105" customFormat="1" spans="9:12">
      <c r="I12126" s="225"/>
      <c r="K12126" s="9"/>
      <c r="L12126" s="9"/>
    </row>
    <row r="12127" s="105" customFormat="1" spans="9:12">
      <c r="I12127" s="225"/>
      <c r="K12127" s="9"/>
      <c r="L12127" s="9"/>
    </row>
    <row r="12128" s="105" customFormat="1" spans="9:12">
      <c r="I12128" s="225"/>
      <c r="K12128" s="9"/>
      <c r="L12128" s="9"/>
    </row>
    <row r="12129" s="105" customFormat="1" spans="9:12">
      <c r="I12129" s="225"/>
      <c r="K12129" s="9"/>
      <c r="L12129" s="9"/>
    </row>
    <row r="12130" s="105" customFormat="1" spans="9:12">
      <c r="I12130" s="225"/>
      <c r="K12130" s="9"/>
      <c r="L12130" s="9"/>
    </row>
    <row r="12131" s="105" customFormat="1" spans="9:12">
      <c r="I12131" s="225"/>
      <c r="K12131" s="9"/>
      <c r="L12131" s="9"/>
    </row>
    <row r="12132" s="105" customFormat="1" spans="9:12">
      <c r="I12132" s="225"/>
      <c r="K12132" s="9"/>
      <c r="L12132" s="9"/>
    </row>
    <row r="12133" s="105" customFormat="1" spans="9:12">
      <c r="I12133" s="225"/>
      <c r="K12133" s="9"/>
      <c r="L12133" s="9"/>
    </row>
    <row r="12134" s="105" customFormat="1" spans="9:12">
      <c r="I12134" s="225"/>
      <c r="K12134" s="9"/>
      <c r="L12134" s="9"/>
    </row>
    <row r="12135" s="105" customFormat="1" spans="9:12">
      <c r="I12135" s="225"/>
      <c r="K12135" s="9"/>
      <c r="L12135" s="9"/>
    </row>
    <row r="12136" s="105" customFormat="1" spans="9:12">
      <c r="I12136" s="225"/>
      <c r="K12136" s="9"/>
      <c r="L12136" s="9"/>
    </row>
    <row r="12137" s="105" customFormat="1" spans="9:12">
      <c r="I12137" s="225"/>
      <c r="K12137" s="9"/>
      <c r="L12137" s="9"/>
    </row>
    <row r="12138" s="105" customFormat="1" spans="9:12">
      <c r="I12138" s="225"/>
      <c r="K12138" s="9"/>
      <c r="L12138" s="9"/>
    </row>
    <row r="12139" s="105" customFormat="1" spans="9:12">
      <c r="I12139" s="225"/>
      <c r="K12139" s="9"/>
      <c r="L12139" s="9"/>
    </row>
    <row r="12140" s="105" customFormat="1" spans="9:12">
      <c r="I12140" s="225"/>
      <c r="K12140" s="9"/>
      <c r="L12140" s="9"/>
    </row>
    <row r="12141" s="105" customFormat="1" spans="9:12">
      <c r="I12141" s="225"/>
      <c r="K12141" s="9"/>
      <c r="L12141" s="9"/>
    </row>
    <row r="12142" s="105" customFormat="1" spans="9:12">
      <c r="I12142" s="225"/>
      <c r="K12142" s="9"/>
      <c r="L12142" s="9"/>
    </row>
    <row r="12143" s="105" customFormat="1" spans="9:12">
      <c r="I12143" s="225"/>
      <c r="K12143" s="9"/>
      <c r="L12143" s="9"/>
    </row>
    <row r="12144" s="105" customFormat="1" spans="9:12">
      <c r="I12144" s="225"/>
      <c r="K12144" s="9"/>
      <c r="L12144" s="9"/>
    </row>
    <row r="12145" s="105" customFormat="1" spans="9:12">
      <c r="I12145" s="225"/>
      <c r="K12145" s="9"/>
      <c r="L12145" s="9"/>
    </row>
    <row r="12146" s="105" customFormat="1" spans="9:12">
      <c r="I12146" s="225"/>
      <c r="K12146" s="9"/>
      <c r="L12146" s="9"/>
    </row>
    <row r="12147" s="105" customFormat="1" spans="9:12">
      <c r="I12147" s="225"/>
      <c r="K12147" s="9"/>
      <c r="L12147" s="9"/>
    </row>
    <row r="12148" s="105" customFormat="1" spans="9:12">
      <c r="I12148" s="225"/>
      <c r="K12148" s="9"/>
      <c r="L12148" s="9"/>
    </row>
    <row r="12149" s="105" customFormat="1" spans="9:12">
      <c r="I12149" s="225"/>
      <c r="K12149" s="9"/>
      <c r="L12149" s="9"/>
    </row>
    <row r="12150" s="105" customFormat="1" spans="9:12">
      <c r="I12150" s="225"/>
      <c r="K12150" s="9"/>
      <c r="L12150" s="9"/>
    </row>
    <row r="12151" s="105" customFormat="1" spans="9:12">
      <c r="I12151" s="225"/>
      <c r="K12151" s="9"/>
      <c r="L12151" s="9"/>
    </row>
    <row r="12152" s="105" customFormat="1" spans="9:12">
      <c r="I12152" s="225"/>
      <c r="K12152" s="9"/>
      <c r="L12152" s="9"/>
    </row>
    <row r="12153" s="105" customFormat="1" spans="9:12">
      <c r="I12153" s="225"/>
      <c r="K12153" s="9"/>
      <c r="L12153" s="9"/>
    </row>
    <row r="12154" s="105" customFormat="1" spans="9:12">
      <c r="I12154" s="225"/>
      <c r="K12154" s="9"/>
      <c r="L12154" s="9"/>
    </row>
    <row r="12155" s="105" customFormat="1" spans="9:12">
      <c r="I12155" s="225"/>
      <c r="K12155" s="9"/>
      <c r="L12155" s="9"/>
    </row>
    <row r="12156" s="105" customFormat="1" spans="9:12">
      <c r="I12156" s="225"/>
      <c r="K12156" s="9"/>
      <c r="L12156" s="9"/>
    </row>
    <row r="12157" s="105" customFormat="1" spans="9:12">
      <c r="I12157" s="225"/>
      <c r="K12157" s="9"/>
      <c r="L12157" s="9"/>
    </row>
    <row r="12158" s="105" customFormat="1" spans="9:12">
      <c r="I12158" s="225"/>
      <c r="K12158" s="9"/>
      <c r="L12158" s="9"/>
    </row>
    <row r="12159" s="105" customFormat="1" spans="9:12">
      <c r="I12159" s="225"/>
      <c r="K12159" s="9"/>
      <c r="L12159" s="9"/>
    </row>
    <row r="12160" s="105" customFormat="1" spans="9:12">
      <c r="I12160" s="225"/>
      <c r="K12160" s="9"/>
      <c r="L12160" s="9"/>
    </row>
    <row r="12161" s="105" customFormat="1" spans="9:12">
      <c r="I12161" s="225"/>
      <c r="K12161" s="9"/>
      <c r="L12161" s="9"/>
    </row>
    <row r="12162" s="105" customFormat="1" spans="9:12">
      <c r="I12162" s="225"/>
      <c r="K12162" s="9"/>
      <c r="L12162" s="9"/>
    </row>
    <row r="12163" s="105" customFormat="1" spans="9:12">
      <c r="I12163" s="225"/>
      <c r="K12163" s="9"/>
      <c r="L12163" s="9"/>
    </row>
    <row r="12164" s="105" customFormat="1" spans="9:12">
      <c r="I12164" s="225"/>
      <c r="K12164" s="9"/>
      <c r="L12164" s="9"/>
    </row>
    <row r="12165" s="105" customFormat="1" spans="9:12">
      <c r="I12165" s="225"/>
      <c r="K12165" s="9"/>
      <c r="L12165" s="9"/>
    </row>
    <row r="12166" s="105" customFormat="1" spans="9:12">
      <c r="I12166" s="225"/>
      <c r="K12166" s="9"/>
      <c r="L12166" s="9"/>
    </row>
    <row r="12167" s="105" customFormat="1" spans="9:12">
      <c r="I12167" s="225"/>
      <c r="K12167" s="9"/>
      <c r="L12167" s="9"/>
    </row>
    <row r="12168" s="105" customFormat="1" spans="9:12">
      <c r="I12168" s="225"/>
      <c r="K12168" s="9"/>
      <c r="L12168" s="9"/>
    </row>
    <row r="12169" s="105" customFormat="1" spans="9:12">
      <c r="I12169" s="225"/>
      <c r="K12169" s="9"/>
      <c r="L12169" s="9"/>
    </row>
    <row r="12170" s="105" customFormat="1" spans="9:12">
      <c r="I12170" s="225"/>
      <c r="K12170" s="9"/>
      <c r="L12170" s="9"/>
    </row>
    <row r="12171" s="105" customFormat="1" spans="9:12">
      <c r="I12171" s="225"/>
      <c r="K12171" s="9"/>
      <c r="L12171" s="9"/>
    </row>
    <row r="12172" s="105" customFormat="1" spans="9:12">
      <c r="I12172" s="225"/>
      <c r="K12172" s="9"/>
      <c r="L12172" s="9"/>
    </row>
    <row r="12173" s="105" customFormat="1" spans="9:12">
      <c r="I12173" s="225"/>
      <c r="K12173" s="9"/>
      <c r="L12173" s="9"/>
    </row>
    <row r="12174" s="105" customFormat="1" spans="9:12">
      <c r="I12174" s="225"/>
      <c r="K12174" s="9"/>
      <c r="L12174" s="9"/>
    </row>
    <row r="12175" s="105" customFormat="1" spans="9:12">
      <c r="I12175" s="225"/>
      <c r="K12175" s="9"/>
      <c r="L12175" s="9"/>
    </row>
    <row r="12176" s="105" customFormat="1" spans="9:12">
      <c r="I12176" s="225"/>
      <c r="K12176" s="9"/>
      <c r="L12176" s="9"/>
    </row>
    <row r="12177" s="105" customFormat="1" spans="9:12">
      <c r="I12177" s="225"/>
      <c r="K12177" s="9"/>
      <c r="L12177" s="9"/>
    </row>
    <row r="12178" s="105" customFormat="1" spans="9:12">
      <c r="I12178" s="225"/>
      <c r="K12178" s="9"/>
      <c r="L12178" s="9"/>
    </row>
    <row r="12179" s="105" customFormat="1" spans="9:12">
      <c r="I12179" s="225"/>
      <c r="K12179" s="9"/>
      <c r="L12179" s="9"/>
    </row>
    <row r="12180" s="105" customFormat="1" spans="9:12">
      <c r="I12180" s="225"/>
      <c r="K12180" s="9"/>
      <c r="L12180" s="9"/>
    </row>
    <row r="12181" s="105" customFormat="1" spans="9:12">
      <c r="I12181" s="225"/>
      <c r="K12181" s="9"/>
      <c r="L12181" s="9"/>
    </row>
    <row r="12182" s="105" customFormat="1" spans="9:12">
      <c r="I12182" s="225"/>
      <c r="K12182" s="9"/>
      <c r="L12182" s="9"/>
    </row>
    <row r="12183" s="105" customFormat="1" spans="9:12">
      <c r="I12183" s="225"/>
      <c r="K12183" s="9"/>
      <c r="L12183" s="9"/>
    </row>
    <row r="12184" s="105" customFormat="1" spans="9:12">
      <c r="I12184" s="225"/>
      <c r="K12184" s="9"/>
      <c r="L12184" s="9"/>
    </row>
    <row r="12185" s="105" customFormat="1" spans="9:12">
      <c r="I12185" s="225"/>
      <c r="K12185" s="9"/>
      <c r="L12185" s="9"/>
    </row>
    <row r="12186" s="105" customFormat="1" spans="9:12">
      <c r="I12186" s="225"/>
      <c r="K12186" s="9"/>
      <c r="L12186" s="9"/>
    </row>
    <row r="12187" s="105" customFormat="1" spans="9:12">
      <c r="I12187" s="225"/>
      <c r="K12187" s="9"/>
      <c r="L12187" s="9"/>
    </row>
    <row r="12188" s="105" customFormat="1" spans="9:12">
      <c r="I12188" s="225"/>
      <c r="K12188" s="9"/>
      <c r="L12188" s="9"/>
    </row>
    <row r="12189" s="105" customFormat="1" spans="9:12">
      <c r="I12189" s="225"/>
      <c r="K12189" s="9"/>
      <c r="L12189" s="9"/>
    </row>
    <row r="12190" s="105" customFormat="1" spans="9:12">
      <c r="I12190" s="225"/>
      <c r="K12190" s="9"/>
      <c r="L12190" s="9"/>
    </row>
    <row r="12191" s="105" customFormat="1" spans="9:12">
      <c r="I12191" s="225"/>
      <c r="K12191" s="9"/>
      <c r="L12191" s="9"/>
    </row>
    <row r="12192" s="105" customFormat="1" spans="9:12">
      <c r="I12192" s="225"/>
      <c r="K12192" s="9"/>
      <c r="L12192" s="9"/>
    </row>
    <row r="12193" s="105" customFormat="1" spans="9:12">
      <c r="I12193" s="225"/>
      <c r="K12193" s="9"/>
      <c r="L12193" s="9"/>
    </row>
    <row r="12194" s="105" customFormat="1" spans="9:12">
      <c r="I12194" s="225"/>
      <c r="K12194" s="9"/>
      <c r="L12194" s="9"/>
    </row>
    <row r="12195" s="105" customFormat="1" spans="9:12">
      <c r="I12195" s="225"/>
      <c r="K12195" s="9"/>
      <c r="L12195" s="9"/>
    </row>
    <row r="12196" s="105" customFormat="1" spans="9:12">
      <c r="I12196" s="225"/>
      <c r="K12196" s="9"/>
      <c r="L12196" s="9"/>
    </row>
    <row r="12197" s="105" customFormat="1" spans="9:12">
      <c r="I12197" s="225"/>
      <c r="K12197" s="9"/>
      <c r="L12197" s="9"/>
    </row>
    <row r="12198" s="105" customFormat="1" spans="9:12">
      <c r="I12198" s="225"/>
      <c r="K12198" s="9"/>
      <c r="L12198" s="9"/>
    </row>
    <row r="12199" s="105" customFormat="1" spans="9:12">
      <c r="I12199" s="225"/>
      <c r="K12199" s="9"/>
      <c r="L12199" s="9"/>
    </row>
    <row r="12200" s="105" customFormat="1" spans="9:12">
      <c r="I12200" s="225"/>
      <c r="K12200" s="9"/>
      <c r="L12200" s="9"/>
    </row>
    <row r="12201" s="105" customFormat="1" spans="9:12">
      <c r="I12201" s="225"/>
      <c r="K12201" s="9"/>
      <c r="L12201" s="9"/>
    </row>
    <row r="12202" s="105" customFormat="1" spans="9:12">
      <c r="I12202" s="225"/>
      <c r="K12202" s="9"/>
      <c r="L12202" s="9"/>
    </row>
    <row r="12203" s="105" customFormat="1" spans="9:12">
      <c r="I12203" s="225"/>
      <c r="K12203" s="9"/>
      <c r="L12203" s="9"/>
    </row>
    <row r="12204" s="105" customFormat="1" spans="9:12">
      <c r="I12204" s="225"/>
      <c r="K12204" s="9"/>
      <c r="L12204" s="9"/>
    </row>
    <row r="12205" s="105" customFormat="1" spans="9:12">
      <c r="I12205" s="225"/>
      <c r="K12205" s="9"/>
      <c r="L12205" s="9"/>
    </row>
    <row r="12206" s="105" customFormat="1" spans="9:12">
      <c r="I12206" s="225"/>
      <c r="K12206" s="9"/>
      <c r="L12206" s="9"/>
    </row>
    <row r="12207" s="105" customFormat="1" spans="9:12">
      <c r="I12207" s="225"/>
      <c r="K12207" s="9"/>
      <c r="L12207" s="9"/>
    </row>
    <row r="12208" s="105" customFormat="1" spans="9:12">
      <c r="I12208" s="225"/>
      <c r="K12208" s="9"/>
      <c r="L12208" s="9"/>
    </row>
    <row r="12209" s="105" customFormat="1" spans="9:12">
      <c r="I12209" s="225"/>
      <c r="K12209" s="9"/>
      <c r="L12209" s="9"/>
    </row>
    <row r="12210" s="105" customFormat="1" spans="9:12">
      <c r="I12210" s="225"/>
      <c r="K12210" s="9"/>
      <c r="L12210" s="9"/>
    </row>
    <row r="12211" s="105" customFormat="1" spans="9:12">
      <c r="I12211" s="225"/>
      <c r="K12211" s="9"/>
      <c r="L12211" s="9"/>
    </row>
    <row r="12212" s="105" customFormat="1" spans="9:12">
      <c r="I12212" s="225"/>
      <c r="K12212" s="9"/>
      <c r="L12212" s="9"/>
    </row>
    <row r="12213" s="105" customFormat="1" spans="9:12">
      <c r="I12213" s="225"/>
      <c r="K12213" s="9"/>
      <c r="L12213" s="9"/>
    </row>
    <row r="12214" s="105" customFormat="1" spans="9:12">
      <c r="I12214" s="225"/>
      <c r="K12214" s="9"/>
      <c r="L12214" s="9"/>
    </row>
    <row r="12215" s="105" customFormat="1" spans="9:12">
      <c r="I12215" s="225"/>
      <c r="K12215" s="9"/>
      <c r="L12215" s="9"/>
    </row>
    <row r="12216" s="105" customFormat="1" spans="9:12">
      <c r="I12216" s="225"/>
      <c r="K12216" s="9"/>
      <c r="L12216" s="9"/>
    </row>
    <row r="12217" s="105" customFormat="1" spans="9:12">
      <c r="I12217" s="225"/>
      <c r="K12217" s="9"/>
      <c r="L12217" s="9"/>
    </row>
    <row r="12218" s="105" customFormat="1" spans="9:12">
      <c r="I12218" s="225"/>
      <c r="K12218" s="9"/>
      <c r="L12218" s="9"/>
    </row>
    <row r="12219" s="105" customFormat="1" spans="9:12">
      <c r="I12219" s="225"/>
      <c r="K12219" s="9"/>
      <c r="L12219" s="9"/>
    </row>
    <row r="12220" s="105" customFormat="1" spans="9:12">
      <c r="I12220" s="225"/>
      <c r="K12220" s="9"/>
      <c r="L12220" s="9"/>
    </row>
    <row r="12221" s="105" customFormat="1" spans="9:12">
      <c r="I12221" s="225"/>
      <c r="K12221" s="9"/>
      <c r="L12221" s="9"/>
    </row>
    <row r="12222" s="105" customFormat="1" spans="9:12">
      <c r="I12222" s="225"/>
      <c r="K12222" s="9"/>
      <c r="L12222" s="9"/>
    </row>
    <row r="12223" s="105" customFormat="1" spans="9:12">
      <c r="I12223" s="225"/>
      <c r="K12223" s="9"/>
      <c r="L12223" s="9"/>
    </row>
    <row r="12224" s="105" customFormat="1" spans="9:12">
      <c r="I12224" s="225"/>
      <c r="K12224" s="9"/>
      <c r="L12224" s="9"/>
    </row>
    <row r="12225" s="105" customFormat="1" spans="9:12">
      <c r="I12225" s="225"/>
      <c r="K12225" s="9"/>
      <c r="L12225" s="9"/>
    </row>
    <row r="12226" s="105" customFormat="1" spans="9:12">
      <c r="I12226" s="225"/>
      <c r="K12226" s="9"/>
      <c r="L12226" s="9"/>
    </row>
    <row r="12227" s="105" customFormat="1" spans="9:12">
      <c r="I12227" s="225"/>
      <c r="K12227" s="9"/>
      <c r="L12227" s="9"/>
    </row>
    <row r="12228" s="105" customFormat="1" spans="9:12">
      <c r="I12228" s="225"/>
      <c r="K12228" s="9"/>
      <c r="L12228" s="9"/>
    </row>
    <row r="12229" s="105" customFormat="1" spans="9:12">
      <c r="I12229" s="225"/>
      <c r="K12229" s="9"/>
      <c r="L12229" s="9"/>
    </row>
    <row r="12230" s="105" customFormat="1" spans="9:12">
      <c r="I12230" s="225"/>
      <c r="K12230" s="9"/>
      <c r="L12230" s="9"/>
    </row>
    <row r="12231" s="105" customFormat="1" spans="9:12">
      <c r="I12231" s="225"/>
      <c r="K12231" s="9"/>
      <c r="L12231" s="9"/>
    </row>
    <row r="12232" s="105" customFormat="1" spans="9:12">
      <c r="I12232" s="225"/>
      <c r="K12232" s="9"/>
      <c r="L12232" s="9"/>
    </row>
    <row r="12233" s="105" customFormat="1" spans="9:12">
      <c r="I12233" s="225"/>
      <c r="K12233" s="9"/>
      <c r="L12233" s="9"/>
    </row>
    <row r="12234" s="105" customFormat="1" spans="9:12">
      <c r="I12234" s="225"/>
      <c r="K12234" s="9"/>
      <c r="L12234" s="9"/>
    </row>
    <row r="12235" s="105" customFormat="1" spans="9:12">
      <c r="I12235" s="225"/>
      <c r="K12235" s="9"/>
      <c r="L12235" s="9"/>
    </row>
    <row r="12236" s="105" customFormat="1" spans="9:12">
      <c r="I12236" s="225"/>
      <c r="K12236" s="9"/>
      <c r="L12236" s="9"/>
    </row>
    <row r="12237" s="105" customFormat="1" spans="9:12">
      <c r="I12237" s="225"/>
      <c r="K12237" s="9"/>
      <c r="L12237" s="9"/>
    </row>
    <row r="12238" s="105" customFormat="1" spans="9:12">
      <c r="I12238" s="225"/>
      <c r="K12238" s="9"/>
      <c r="L12238" s="9"/>
    </row>
    <row r="12239" s="105" customFormat="1" spans="9:12">
      <c r="I12239" s="225"/>
      <c r="K12239" s="9"/>
      <c r="L12239" s="9"/>
    </row>
    <row r="12240" s="105" customFormat="1" spans="9:12">
      <c r="I12240" s="225"/>
      <c r="K12240" s="9"/>
      <c r="L12240" s="9"/>
    </row>
    <row r="12241" s="105" customFormat="1" spans="9:12">
      <c r="I12241" s="225"/>
      <c r="K12241" s="9"/>
      <c r="L12241" s="9"/>
    </row>
    <row r="12242" s="105" customFormat="1" spans="9:12">
      <c r="I12242" s="225"/>
      <c r="K12242" s="9"/>
      <c r="L12242" s="9"/>
    </row>
    <row r="12243" s="105" customFormat="1" spans="9:12">
      <c r="I12243" s="225"/>
      <c r="K12243" s="9"/>
      <c r="L12243" s="9"/>
    </row>
    <row r="12244" s="105" customFormat="1" spans="9:12">
      <c r="I12244" s="225"/>
      <c r="K12244" s="9"/>
      <c r="L12244" s="9"/>
    </row>
    <row r="12245" s="105" customFormat="1" spans="9:12">
      <c r="I12245" s="225"/>
      <c r="K12245" s="9"/>
      <c r="L12245" s="9"/>
    </row>
    <row r="12246" s="105" customFormat="1" spans="9:12">
      <c r="I12246" s="225"/>
      <c r="K12246" s="9"/>
      <c r="L12246" s="9"/>
    </row>
    <row r="12247" s="105" customFormat="1" spans="9:12">
      <c r="I12247" s="225"/>
      <c r="K12247" s="9"/>
      <c r="L12247" s="9"/>
    </row>
    <row r="12248" s="105" customFormat="1" spans="9:12">
      <c r="I12248" s="225"/>
      <c r="K12248" s="9"/>
      <c r="L12248" s="9"/>
    </row>
    <row r="12249" s="105" customFormat="1" spans="9:12">
      <c r="I12249" s="225"/>
      <c r="K12249" s="9"/>
      <c r="L12249" s="9"/>
    </row>
    <row r="12250" s="105" customFormat="1" spans="9:12">
      <c r="I12250" s="225"/>
      <c r="K12250" s="9"/>
      <c r="L12250" s="9"/>
    </row>
    <row r="12251" s="105" customFormat="1" spans="9:12">
      <c r="I12251" s="225"/>
      <c r="K12251" s="9"/>
      <c r="L12251" s="9"/>
    </row>
    <row r="12252" s="105" customFormat="1" spans="9:12">
      <c r="I12252" s="225"/>
      <c r="K12252" s="9"/>
      <c r="L12252" s="9"/>
    </row>
    <row r="12253" s="105" customFormat="1" spans="9:12">
      <c r="I12253" s="225"/>
      <c r="K12253" s="9"/>
      <c r="L12253" s="9"/>
    </row>
    <row r="12254" s="105" customFormat="1" spans="9:12">
      <c r="I12254" s="225"/>
      <c r="K12254" s="9"/>
      <c r="L12254" s="9"/>
    </row>
    <row r="12255" s="105" customFormat="1" spans="9:12">
      <c r="I12255" s="225"/>
      <c r="K12255" s="9"/>
      <c r="L12255" s="9"/>
    </row>
    <row r="12256" s="105" customFormat="1" spans="9:12">
      <c r="I12256" s="225"/>
      <c r="K12256" s="9"/>
      <c r="L12256" s="9"/>
    </row>
    <row r="12257" s="105" customFormat="1" spans="9:12">
      <c r="I12257" s="225"/>
      <c r="K12257" s="9"/>
      <c r="L12257" s="9"/>
    </row>
    <row r="12258" s="105" customFormat="1" spans="9:12">
      <c r="I12258" s="225"/>
      <c r="K12258" s="9"/>
      <c r="L12258" s="9"/>
    </row>
    <row r="12259" s="105" customFormat="1" spans="9:12">
      <c r="I12259" s="225"/>
      <c r="K12259" s="9"/>
      <c r="L12259" s="9"/>
    </row>
    <row r="12260" s="105" customFormat="1" spans="9:12">
      <c r="I12260" s="225"/>
      <c r="K12260" s="9"/>
      <c r="L12260" s="9"/>
    </row>
    <row r="12261" s="105" customFormat="1" spans="9:12">
      <c r="I12261" s="225"/>
      <c r="K12261" s="9"/>
      <c r="L12261" s="9"/>
    </row>
    <row r="12262" s="105" customFormat="1" spans="9:12">
      <c r="I12262" s="225"/>
      <c r="K12262" s="9"/>
      <c r="L12262" s="9"/>
    </row>
    <row r="12263" s="105" customFormat="1" spans="9:12">
      <c r="I12263" s="225"/>
      <c r="K12263" s="9"/>
      <c r="L12263" s="9"/>
    </row>
    <row r="12264" s="105" customFormat="1" spans="9:12">
      <c r="I12264" s="225"/>
      <c r="K12264" s="9"/>
      <c r="L12264" s="9"/>
    </row>
    <row r="12265" s="105" customFormat="1" spans="9:12">
      <c r="I12265" s="225"/>
      <c r="K12265" s="9"/>
      <c r="L12265" s="9"/>
    </row>
    <row r="12266" s="105" customFormat="1" spans="9:12">
      <c r="I12266" s="225"/>
      <c r="K12266" s="9"/>
      <c r="L12266" s="9"/>
    </row>
    <row r="12267" s="105" customFormat="1" spans="9:12">
      <c r="I12267" s="225"/>
      <c r="K12267" s="9"/>
      <c r="L12267" s="9"/>
    </row>
    <row r="12268" s="105" customFormat="1" spans="9:12">
      <c r="I12268" s="225"/>
      <c r="K12268" s="9"/>
      <c r="L12268" s="9"/>
    </row>
    <row r="12269" s="105" customFormat="1" spans="9:12">
      <c r="I12269" s="225"/>
      <c r="K12269" s="9"/>
      <c r="L12269" s="9"/>
    </row>
    <row r="12270" s="105" customFormat="1" spans="9:12">
      <c r="I12270" s="225"/>
      <c r="K12270" s="9"/>
      <c r="L12270" s="9"/>
    </row>
    <row r="12271" s="105" customFormat="1" spans="9:12">
      <c r="I12271" s="225"/>
      <c r="K12271" s="9"/>
      <c r="L12271" s="9"/>
    </row>
    <row r="12272" s="105" customFormat="1" spans="9:12">
      <c r="I12272" s="225"/>
      <c r="K12272" s="9"/>
      <c r="L12272" s="9"/>
    </row>
    <row r="12273" s="105" customFormat="1" spans="9:12">
      <c r="I12273" s="225"/>
      <c r="K12273" s="9"/>
      <c r="L12273" s="9"/>
    </row>
    <row r="12274" s="105" customFormat="1" spans="9:12">
      <c r="I12274" s="225"/>
      <c r="K12274" s="9"/>
      <c r="L12274" s="9"/>
    </row>
    <row r="12275" s="105" customFormat="1" spans="9:12">
      <c r="I12275" s="225"/>
      <c r="K12275" s="9"/>
      <c r="L12275" s="9"/>
    </row>
    <row r="12276" s="105" customFormat="1" spans="9:12">
      <c r="I12276" s="225"/>
      <c r="K12276" s="9"/>
      <c r="L12276" s="9"/>
    </row>
    <row r="12277" s="105" customFormat="1" spans="9:12">
      <c r="I12277" s="225"/>
      <c r="K12277" s="9"/>
      <c r="L12277" s="9"/>
    </row>
    <row r="12278" s="105" customFormat="1" spans="9:12">
      <c r="I12278" s="225"/>
      <c r="K12278" s="9"/>
      <c r="L12278" s="9"/>
    </row>
    <row r="12279" s="105" customFormat="1" spans="9:12">
      <c r="I12279" s="225"/>
      <c r="K12279" s="9"/>
      <c r="L12279" s="9"/>
    </row>
    <row r="12280" s="105" customFormat="1" spans="9:12">
      <c r="I12280" s="225"/>
      <c r="K12280" s="9"/>
      <c r="L12280" s="9"/>
    </row>
    <row r="12281" s="105" customFormat="1" spans="9:12">
      <c r="I12281" s="225"/>
      <c r="K12281" s="9"/>
      <c r="L12281" s="9"/>
    </row>
    <row r="12282" s="105" customFormat="1" spans="9:12">
      <c r="I12282" s="225"/>
      <c r="K12282" s="9"/>
      <c r="L12282" s="9"/>
    </row>
    <row r="12283" s="105" customFormat="1" spans="9:12">
      <c r="I12283" s="225"/>
      <c r="K12283" s="9"/>
      <c r="L12283" s="9"/>
    </row>
    <row r="12284" s="105" customFormat="1" spans="9:12">
      <c r="I12284" s="225"/>
      <c r="K12284" s="9"/>
      <c r="L12284" s="9"/>
    </row>
    <row r="12285" s="105" customFormat="1" spans="9:12">
      <c r="I12285" s="225"/>
      <c r="K12285" s="9"/>
      <c r="L12285" s="9"/>
    </row>
    <row r="12286" s="105" customFormat="1" spans="9:12">
      <c r="I12286" s="225"/>
      <c r="K12286" s="9"/>
      <c r="L12286" s="9"/>
    </row>
    <row r="12287" s="105" customFormat="1" spans="9:12">
      <c r="I12287" s="225"/>
      <c r="K12287" s="9"/>
      <c r="L12287" s="9"/>
    </row>
    <row r="12288" s="105" customFormat="1" spans="9:12">
      <c r="I12288" s="225"/>
      <c r="K12288" s="9"/>
      <c r="L12288" s="9"/>
    </row>
    <row r="12289" s="105" customFormat="1" spans="9:12">
      <c r="I12289" s="225"/>
      <c r="K12289" s="9"/>
      <c r="L12289" s="9"/>
    </row>
    <row r="12290" s="105" customFormat="1" spans="9:12">
      <c r="I12290" s="225"/>
      <c r="K12290" s="9"/>
      <c r="L12290" s="9"/>
    </row>
    <row r="12291" s="105" customFormat="1" spans="9:12">
      <c r="I12291" s="225"/>
      <c r="K12291" s="9"/>
      <c r="L12291" s="9"/>
    </row>
    <row r="12292" s="105" customFormat="1" spans="9:12">
      <c r="I12292" s="225"/>
      <c r="K12292" s="9"/>
      <c r="L12292" s="9"/>
    </row>
    <row r="12293" s="105" customFormat="1" spans="9:12">
      <c r="I12293" s="225"/>
      <c r="K12293" s="9"/>
      <c r="L12293" s="9"/>
    </row>
    <row r="12294" s="105" customFormat="1" spans="9:12">
      <c r="I12294" s="225"/>
      <c r="K12294" s="9"/>
      <c r="L12294" s="9"/>
    </row>
    <row r="12295" s="105" customFormat="1" spans="9:12">
      <c r="I12295" s="225"/>
      <c r="K12295" s="9"/>
      <c r="L12295" s="9"/>
    </row>
    <row r="12296" s="105" customFormat="1" spans="9:12">
      <c r="I12296" s="225"/>
      <c r="K12296" s="9"/>
      <c r="L12296" s="9"/>
    </row>
    <row r="12297" s="105" customFormat="1" spans="9:12">
      <c r="I12297" s="225"/>
      <c r="K12297" s="9"/>
      <c r="L12297" s="9"/>
    </row>
    <row r="12298" s="105" customFormat="1" spans="9:12">
      <c r="I12298" s="225"/>
      <c r="K12298" s="9"/>
      <c r="L12298" s="9"/>
    </row>
    <row r="12299" s="105" customFormat="1" spans="9:12">
      <c r="I12299" s="225"/>
      <c r="K12299" s="9"/>
      <c r="L12299" s="9"/>
    </row>
    <row r="12300" s="105" customFormat="1" spans="9:12">
      <c r="I12300" s="225"/>
      <c r="K12300" s="9"/>
      <c r="L12300" s="9"/>
    </row>
    <row r="12301" s="105" customFormat="1" spans="9:12">
      <c r="I12301" s="225"/>
      <c r="K12301" s="9"/>
      <c r="L12301" s="9"/>
    </row>
    <row r="12302" s="105" customFormat="1" spans="9:12">
      <c r="I12302" s="225"/>
      <c r="K12302" s="9"/>
      <c r="L12302" s="9"/>
    </row>
    <row r="12303" s="105" customFormat="1" spans="9:12">
      <c r="I12303" s="225"/>
      <c r="K12303" s="9"/>
      <c r="L12303" s="9"/>
    </row>
    <row r="12304" s="105" customFormat="1" spans="9:12">
      <c r="I12304" s="225"/>
      <c r="K12304" s="9"/>
      <c r="L12304" s="9"/>
    </row>
    <row r="12305" s="105" customFormat="1" spans="9:12">
      <c r="I12305" s="225"/>
      <c r="K12305" s="9"/>
      <c r="L12305" s="9"/>
    </row>
    <row r="12306" s="105" customFormat="1" spans="9:12">
      <c r="I12306" s="225"/>
      <c r="K12306" s="9"/>
      <c r="L12306" s="9"/>
    </row>
    <row r="12307" s="105" customFormat="1" spans="9:12">
      <c r="I12307" s="225"/>
      <c r="K12307" s="9"/>
      <c r="L12307" s="9"/>
    </row>
    <row r="12308" s="105" customFormat="1" spans="9:12">
      <c r="I12308" s="225"/>
      <c r="K12308" s="9"/>
      <c r="L12308" s="9"/>
    </row>
    <row r="12309" s="105" customFormat="1" spans="9:12">
      <c r="I12309" s="225"/>
      <c r="K12309" s="9"/>
      <c r="L12309" s="9"/>
    </row>
    <row r="12310" s="105" customFormat="1" spans="9:12">
      <c r="I12310" s="225"/>
      <c r="K12310" s="9"/>
      <c r="L12310" s="9"/>
    </row>
    <row r="12311" s="105" customFormat="1" spans="9:12">
      <c r="I12311" s="225"/>
      <c r="K12311" s="9"/>
      <c r="L12311" s="9"/>
    </row>
    <row r="12312" s="105" customFormat="1" spans="9:12">
      <c r="I12312" s="225"/>
      <c r="K12312" s="9"/>
      <c r="L12312" s="9"/>
    </row>
    <row r="12313" s="105" customFormat="1" spans="9:12">
      <c r="I12313" s="225"/>
      <c r="K12313" s="9"/>
      <c r="L12313" s="9"/>
    </row>
    <row r="12314" s="105" customFormat="1" spans="9:12">
      <c r="I12314" s="225"/>
      <c r="K12314" s="9"/>
      <c r="L12314" s="9"/>
    </row>
    <row r="12315" s="105" customFormat="1" spans="9:12">
      <c r="I12315" s="225"/>
      <c r="K12315" s="9"/>
      <c r="L12315" s="9"/>
    </row>
    <row r="12316" s="105" customFormat="1" spans="9:12">
      <c r="I12316" s="225"/>
      <c r="K12316" s="9"/>
      <c r="L12316" s="9"/>
    </row>
    <row r="12317" s="105" customFormat="1" spans="9:12">
      <c r="I12317" s="225"/>
      <c r="K12317" s="9"/>
      <c r="L12317" s="9"/>
    </row>
    <row r="12318" s="105" customFormat="1" spans="9:12">
      <c r="I12318" s="225"/>
      <c r="K12318" s="9"/>
      <c r="L12318" s="9"/>
    </row>
    <row r="12319" s="105" customFormat="1" spans="9:12">
      <c r="I12319" s="225"/>
      <c r="K12319" s="9"/>
      <c r="L12319" s="9"/>
    </row>
    <row r="12320" s="105" customFormat="1" spans="9:12">
      <c r="I12320" s="225"/>
      <c r="K12320" s="9"/>
      <c r="L12320" s="9"/>
    </row>
    <row r="12321" s="105" customFormat="1" spans="9:12">
      <c r="I12321" s="225"/>
      <c r="K12321" s="9"/>
      <c r="L12321" s="9"/>
    </row>
    <row r="12322" s="105" customFormat="1" spans="9:12">
      <c r="I12322" s="225"/>
      <c r="K12322" s="9"/>
      <c r="L12322" s="9"/>
    </row>
    <row r="12323" s="105" customFormat="1" spans="9:12">
      <c r="I12323" s="225"/>
      <c r="K12323" s="9"/>
      <c r="L12323" s="9"/>
    </row>
    <row r="12324" s="105" customFormat="1" spans="9:12">
      <c r="I12324" s="225"/>
      <c r="K12324" s="9"/>
      <c r="L12324" s="9"/>
    </row>
    <row r="12325" s="105" customFormat="1" spans="9:12">
      <c r="I12325" s="225"/>
      <c r="K12325" s="9"/>
      <c r="L12325" s="9"/>
    </row>
    <row r="12326" s="105" customFormat="1" spans="9:12">
      <c r="I12326" s="225"/>
      <c r="K12326" s="9"/>
      <c r="L12326" s="9"/>
    </row>
    <row r="12327" s="105" customFormat="1" spans="9:12">
      <c r="I12327" s="225"/>
      <c r="K12327" s="9"/>
      <c r="L12327" s="9"/>
    </row>
    <row r="12328" s="105" customFormat="1" spans="9:12">
      <c r="I12328" s="225"/>
      <c r="K12328" s="9"/>
      <c r="L12328" s="9"/>
    </row>
    <row r="12329" s="105" customFormat="1" spans="9:12">
      <c r="I12329" s="225"/>
      <c r="K12329" s="9"/>
      <c r="L12329" s="9"/>
    </row>
    <row r="12330" s="105" customFormat="1" spans="9:12">
      <c r="I12330" s="225"/>
      <c r="K12330" s="9"/>
      <c r="L12330" s="9"/>
    </row>
    <row r="12331" s="105" customFormat="1" spans="9:12">
      <c r="I12331" s="225"/>
      <c r="K12331" s="9"/>
      <c r="L12331" s="9"/>
    </row>
    <row r="12332" s="105" customFormat="1" spans="9:12">
      <c r="I12332" s="225"/>
      <c r="K12332" s="9"/>
      <c r="L12332" s="9"/>
    </row>
    <row r="12333" s="105" customFormat="1" spans="9:12">
      <c r="I12333" s="225"/>
      <c r="K12333" s="9"/>
      <c r="L12333" s="9"/>
    </row>
    <row r="12334" s="105" customFormat="1" spans="9:12">
      <c r="I12334" s="225"/>
      <c r="K12334" s="9"/>
      <c r="L12334" s="9"/>
    </row>
    <row r="12335" s="105" customFormat="1" spans="9:12">
      <c r="I12335" s="225"/>
      <c r="K12335" s="9"/>
      <c r="L12335" s="9"/>
    </row>
    <row r="12336" s="105" customFormat="1" spans="9:12">
      <c r="I12336" s="225"/>
      <c r="K12336" s="9"/>
      <c r="L12336" s="9"/>
    </row>
    <row r="12337" s="105" customFormat="1" spans="9:12">
      <c r="I12337" s="225"/>
      <c r="K12337" s="9"/>
      <c r="L12337" s="9"/>
    </row>
    <row r="12338" s="105" customFormat="1" spans="9:12">
      <c r="I12338" s="225"/>
      <c r="K12338" s="9"/>
      <c r="L12338" s="9"/>
    </row>
    <row r="12339" s="105" customFormat="1" spans="9:12">
      <c r="I12339" s="225"/>
      <c r="K12339" s="9"/>
      <c r="L12339" s="9"/>
    </row>
    <row r="12340" s="105" customFormat="1" spans="9:12">
      <c r="I12340" s="225"/>
      <c r="K12340" s="9"/>
      <c r="L12340" s="9"/>
    </row>
    <row r="12341" s="105" customFormat="1" spans="9:12">
      <c r="I12341" s="225"/>
      <c r="K12341" s="9"/>
      <c r="L12341" s="9"/>
    </row>
    <row r="12342" s="105" customFormat="1" spans="9:12">
      <c r="I12342" s="225"/>
      <c r="K12342" s="9"/>
      <c r="L12342" s="9"/>
    </row>
    <row r="12343" s="105" customFormat="1" spans="9:12">
      <c r="I12343" s="225"/>
      <c r="K12343" s="9"/>
      <c r="L12343" s="9"/>
    </row>
    <row r="12344" s="105" customFormat="1" spans="9:12">
      <c r="I12344" s="225"/>
      <c r="K12344" s="9"/>
      <c r="L12344" s="9"/>
    </row>
    <row r="12345" s="105" customFormat="1" spans="9:12">
      <c r="I12345" s="225"/>
      <c r="K12345" s="9"/>
      <c r="L12345" s="9"/>
    </row>
    <row r="12346" s="105" customFormat="1" spans="9:12">
      <c r="I12346" s="225"/>
      <c r="K12346" s="9"/>
      <c r="L12346" s="9"/>
    </row>
    <row r="12347" s="105" customFormat="1" spans="9:12">
      <c r="I12347" s="225"/>
      <c r="K12347" s="9"/>
      <c r="L12347" s="9"/>
    </row>
    <row r="12348" s="105" customFormat="1" spans="9:12">
      <c r="I12348" s="225"/>
      <c r="K12348" s="9"/>
      <c r="L12348" s="9"/>
    </row>
    <row r="12349" s="105" customFormat="1" spans="9:12">
      <c r="I12349" s="225"/>
      <c r="K12349" s="9"/>
      <c r="L12349" s="9"/>
    </row>
    <row r="12350" s="105" customFormat="1" spans="9:12">
      <c r="I12350" s="225"/>
      <c r="K12350" s="9"/>
      <c r="L12350" s="9"/>
    </row>
    <row r="12351" s="105" customFormat="1" spans="9:12">
      <c r="I12351" s="225"/>
      <c r="K12351" s="9"/>
      <c r="L12351" s="9"/>
    </row>
    <row r="12352" s="105" customFormat="1" spans="9:12">
      <c r="I12352" s="225"/>
      <c r="K12352" s="9"/>
      <c r="L12352" s="9"/>
    </row>
    <row r="12353" s="105" customFormat="1" spans="9:12">
      <c r="I12353" s="225"/>
      <c r="K12353" s="9"/>
      <c r="L12353" s="9"/>
    </row>
    <row r="12354" s="105" customFormat="1" spans="9:12">
      <c r="I12354" s="225"/>
      <c r="K12354" s="9"/>
      <c r="L12354" s="9"/>
    </row>
    <row r="12355" s="105" customFormat="1" spans="9:12">
      <c r="I12355" s="225"/>
      <c r="K12355" s="9"/>
      <c r="L12355" s="9"/>
    </row>
    <row r="12356" s="105" customFormat="1" spans="9:12">
      <c r="I12356" s="225"/>
      <c r="K12356" s="9"/>
      <c r="L12356" s="9"/>
    </row>
    <row r="12357" s="105" customFormat="1" spans="9:12">
      <c r="I12357" s="225"/>
      <c r="K12357" s="9"/>
      <c r="L12357" s="9"/>
    </row>
    <row r="12358" s="105" customFormat="1" spans="9:12">
      <c r="I12358" s="225"/>
      <c r="K12358" s="9"/>
      <c r="L12358" s="9"/>
    </row>
    <row r="12359" s="105" customFormat="1" spans="9:12">
      <c r="I12359" s="225"/>
      <c r="K12359" s="9"/>
      <c r="L12359" s="9"/>
    </row>
    <row r="12360" s="105" customFormat="1" spans="9:12">
      <c r="I12360" s="225"/>
      <c r="K12360" s="9"/>
      <c r="L12360" s="9"/>
    </row>
    <row r="12361" s="105" customFormat="1" spans="9:12">
      <c r="I12361" s="225"/>
      <c r="K12361" s="9"/>
      <c r="L12361" s="9"/>
    </row>
    <row r="12362" s="105" customFormat="1" spans="9:12">
      <c r="I12362" s="225"/>
      <c r="K12362" s="9"/>
      <c r="L12362" s="9"/>
    </row>
    <row r="12363" s="105" customFormat="1" spans="9:12">
      <c r="I12363" s="225"/>
      <c r="K12363" s="9"/>
      <c r="L12363" s="9"/>
    </row>
    <row r="12364" s="105" customFormat="1" spans="9:12">
      <c r="I12364" s="225"/>
      <c r="K12364" s="9"/>
      <c r="L12364" s="9"/>
    </row>
    <row r="12365" s="105" customFormat="1" spans="9:12">
      <c r="I12365" s="225"/>
      <c r="K12365" s="9"/>
      <c r="L12365" s="9"/>
    </row>
    <row r="12366" s="105" customFormat="1" spans="9:12">
      <c r="I12366" s="225"/>
      <c r="K12366" s="9"/>
      <c r="L12366" s="9"/>
    </row>
    <row r="12367" s="105" customFormat="1" spans="9:12">
      <c r="I12367" s="225"/>
      <c r="K12367" s="9"/>
      <c r="L12367" s="9"/>
    </row>
    <row r="12368" s="105" customFormat="1" spans="9:12">
      <c r="I12368" s="225"/>
      <c r="K12368" s="9"/>
      <c r="L12368" s="9"/>
    </row>
    <row r="12369" s="105" customFormat="1" spans="9:12">
      <c r="I12369" s="225"/>
      <c r="K12369" s="9"/>
      <c r="L12369" s="9"/>
    </row>
    <row r="12370" s="105" customFormat="1" spans="9:12">
      <c r="I12370" s="225"/>
      <c r="K12370" s="9"/>
      <c r="L12370" s="9"/>
    </row>
    <row r="12371" s="105" customFormat="1" spans="9:12">
      <c r="I12371" s="225"/>
      <c r="K12371" s="9"/>
      <c r="L12371" s="9"/>
    </row>
    <row r="12372" s="105" customFormat="1" spans="9:12">
      <c r="I12372" s="225"/>
      <c r="K12372" s="9"/>
      <c r="L12372" s="9"/>
    </row>
    <row r="12373" s="105" customFormat="1" spans="9:12">
      <c r="I12373" s="225"/>
      <c r="K12373" s="9"/>
      <c r="L12373" s="9"/>
    </row>
    <row r="12374" s="105" customFormat="1" spans="9:12">
      <c r="I12374" s="225"/>
      <c r="K12374" s="9"/>
      <c r="L12374" s="9"/>
    </row>
    <row r="12375" s="105" customFormat="1" spans="9:12">
      <c r="I12375" s="225"/>
      <c r="K12375" s="9"/>
      <c r="L12375" s="9"/>
    </row>
    <row r="12376" s="105" customFormat="1" spans="9:12">
      <c r="I12376" s="225"/>
      <c r="K12376" s="9"/>
      <c r="L12376" s="9"/>
    </row>
    <row r="12377" s="105" customFormat="1" spans="9:12">
      <c r="I12377" s="225"/>
      <c r="K12377" s="9"/>
      <c r="L12377" s="9"/>
    </row>
    <row r="12378" s="105" customFormat="1" spans="9:12">
      <c r="I12378" s="225"/>
      <c r="K12378" s="9"/>
      <c r="L12378" s="9"/>
    </row>
    <row r="12379" s="105" customFormat="1" spans="9:12">
      <c r="I12379" s="225"/>
      <c r="K12379" s="9"/>
      <c r="L12379" s="9"/>
    </row>
    <row r="12380" s="105" customFormat="1" spans="9:12">
      <c r="I12380" s="225"/>
      <c r="K12380" s="9"/>
      <c r="L12380" s="9"/>
    </row>
    <row r="12381" s="105" customFormat="1" spans="9:12">
      <c r="I12381" s="225"/>
      <c r="K12381" s="9"/>
      <c r="L12381" s="9"/>
    </row>
    <row r="12382" s="105" customFormat="1" spans="9:12">
      <c r="I12382" s="225"/>
      <c r="K12382" s="9"/>
      <c r="L12382" s="9"/>
    </row>
    <row r="12383" s="105" customFormat="1" spans="9:12">
      <c r="I12383" s="225"/>
      <c r="K12383" s="9"/>
      <c r="L12383" s="9"/>
    </row>
    <row r="12384" s="105" customFormat="1" spans="9:12">
      <c r="I12384" s="225"/>
      <c r="K12384" s="9"/>
      <c r="L12384" s="9"/>
    </row>
    <row r="12385" s="105" customFormat="1" spans="9:12">
      <c r="I12385" s="225"/>
      <c r="K12385" s="9"/>
      <c r="L12385" s="9"/>
    </row>
    <row r="12386" s="105" customFormat="1" spans="9:12">
      <c r="I12386" s="225"/>
      <c r="K12386" s="9"/>
      <c r="L12386" s="9"/>
    </row>
    <row r="12387" s="105" customFormat="1" spans="9:12">
      <c r="I12387" s="225"/>
      <c r="K12387" s="9"/>
      <c r="L12387" s="9"/>
    </row>
    <row r="12388" s="105" customFormat="1" spans="9:12">
      <c r="I12388" s="225"/>
      <c r="K12388" s="9"/>
      <c r="L12388" s="9"/>
    </row>
    <row r="12389" s="105" customFormat="1" spans="9:12">
      <c r="I12389" s="225"/>
      <c r="K12389" s="9"/>
      <c r="L12389" s="9"/>
    </row>
    <row r="12390" s="105" customFormat="1" spans="9:12">
      <c r="I12390" s="225"/>
      <c r="K12390" s="9"/>
      <c r="L12390" s="9"/>
    </row>
    <row r="12391" s="105" customFormat="1" spans="9:12">
      <c r="I12391" s="225"/>
      <c r="K12391" s="9"/>
      <c r="L12391" s="9"/>
    </row>
    <row r="12392" s="105" customFormat="1" spans="9:12">
      <c r="I12392" s="225"/>
      <c r="K12392" s="9"/>
      <c r="L12392" s="9"/>
    </row>
    <row r="12393" s="105" customFormat="1" spans="9:12">
      <c r="I12393" s="225"/>
      <c r="K12393" s="9"/>
      <c r="L12393" s="9"/>
    </row>
    <row r="12394" s="105" customFormat="1" spans="9:12">
      <c r="I12394" s="225"/>
      <c r="K12394" s="9"/>
      <c r="L12394" s="9"/>
    </row>
    <row r="12395" s="105" customFormat="1" spans="9:12">
      <c r="I12395" s="225"/>
      <c r="K12395" s="9"/>
      <c r="L12395" s="9"/>
    </row>
    <row r="12396" s="105" customFormat="1" spans="9:12">
      <c r="I12396" s="225"/>
      <c r="K12396" s="9"/>
      <c r="L12396" s="9"/>
    </row>
    <row r="12397" s="105" customFormat="1" spans="9:12">
      <c r="I12397" s="225"/>
      <c r="K12397" s="9"/>
      <c r="L12397" s="9"/>
    </row>
    <row r="12398" s="105" customFormat="1" spans="9:12">
      <c r="I12398" s="225"/>
      <c r="K12398" s="9"/>
      <c r="L12398" s="9"/>
    </row>
    <row r="12399" s="105" customFormat="1" spans="9:12">
      <c r="I12399" s="225"/>
      <c r="K12399" s="9"/>
      <c r="L12399" s="9"/>
    </row>
    <row r="12400" s="105" customFormat="1" spans="9:12">
      <c r="I12400" s="225"/>
      <c r="K12400" s="9"/>
      <c r="L12400" s="9"/>
    </row>
    <row r="12401" s="105" customFormat="1" spans="9:12">
      <c r="I12401" s="225"/>
      <c r="K12401" s="9"/>
      <c r="L12401" s="9"/>
    </row>
    <row r="12402" s="105" customFormat="1" spans="9:12">
      <c r="I12402" s="225"/>
      <c r="K12402" s="9"/>
      <c r="L12402" s="9"/>
    </row>
    <row r="12403" s="105" customFormat="1" spans="9:12">
      <c r="I12403" s="225"/>
      <c r="K12403" s="9"/>
      <c r="L12403" s="9"/>
    </row>
    <row r="12404" s="105" customFormat="1" spans="9:12">
      <c r="I12404" s="225"/>
      <c r="K12404" s="9"/>
      <c r="L12404" s="9"/>
    </row>
    <row r="12405" s="105" customFormat="1" spans="9:12">
      <c r="I12405" s="225"/>
      <c r="K12405" s="9"/>
      <c r="L12405" s="9"/>
    </row>
    <row r="12406" s="105" customFormat="1" spans="9:12">
      <c r="I12406" s="225"/>
      <c r="K12406" s="9"/>
      <c r="L12406" s="9"/>
    </row>
    <row r="12407" s="105" customFormat="1" spans="9:12">
      <c r="I12407" s="225"/>
      <c r="K12407" s="9"/>
      <c r="L12407" s="9"/>
    </row>
    <row r="12408" s="105" customFormat="1" spans="9:12">
      <c r="I12408" s="225"/>
      <c r="K12408" s="9"/>
      <c r="L12408" s="9"/>
    </row>
    <row r="12409" s="105" customFormat="1" spans="9:12">
      <c r="I12409" s="225"/>
      <c r="K12409" s="9"/>
      <c r="L12409" s="9"/>
    </row>
    <row r="12410" s="105" customFormat="1" spans="9:12">
      <c r="I12410" s="225"/>
      <c r="K12410" s="9"/>
      <c r="L12410" s="9"/>
    </row>
    <row r="12411" s="105" customFormat="1" spans="9:12">
      <c r="I12411" s="225"/>
      <c r="K12411" s="9"/>
      <c r="L12411" s="9"/>
    </row>
    <row r="12412" s="105" customFormat="1" spans="9:12">
      <c r="I12412" s="225"/>
      <c r="K12412" s="9"/>
      <c r="L12412" s="9"/>
    </row>
    <row r="12413" s="105" customFormat="1" spans="9:12">
      <c r="I12413" s="225"/>
      <c r="K12413" s="9"/>
      <c r="L12413" s="9"/>
    </row>
    <row r="12414" s="105" customFormat="1" spans="9:12">
      <c r="I12414" s="225"/>
      <c r="K12414" s="9"/>
      <c r="L12414" s="9"/>
    </row>
    <row r="12415" s="105" customFormat="1" spans="9:12">
      <c r="I12415" s="225"/>
      <c r="K12415" s="9"/>
      <c r="L12415" s="9"/>
    </row>
    <row r="12416" s="105" customFormat="1" spans="9:12">
      <c r="I12416" s="225"/>
      <c r="K12416" s="9"/>
      <c r="L12416" s="9"/>
    </row>
    <row r="12417" s="105" customFormat="1" spans="9:12">
      <c r="I12417" s="225"/>
      <c r="K12417" s="9"/>
      <c r="L12417" s="9"/>
    </row>
    <row r="12418" s="105" customFormat="1" spans="9:12">
      <c r="I12418" s="225"/>
      <c r="K12418" s="9"/>
      <c r="L12418" s="9"/>
    </row>
    <row r="12419" s="105" customFormat="1" spans="9:12">
      <c r="I12419" s="225"/>
      <c r="K12419" s="9"/>
      <c r="L12419" s="9"/>
    </row>
    <row r="12420" s="105" customFormat="1" spans="9:12">
      <c r="I12420" s="225"/>
      <c r="K12420" s="9"/>
      <c r="L12420" s="9"/>
    </row>
    <row r="12421" s="105" customFormat="1" spans="9:12">
      <c r="I12421" s="225"/>
      <c r="K12421" s="9"/>
      <c r="L12421" s="9"/>
    </row>
    <row r="12422" s="105" customFormat="1" spans="9:12">
      <c r="I12422" s="225"/>
      <c r="K12422" s="9"/>
      <c r="L12422" s="9"/>
    </row>
    <row r="12423" s="105" customFormat="1" spans="9:12">
      <c r="I12423" s="225"/>
      <c r="K12423" s="9"/>
      <c r="L12423" s="9"/>
    </row>
    <row r="12424" s="105" customFormat="1" spans="9:12">
      <c r="I12424" s="225"/>
      <c r="K12424" s="9"/>
      <c r="L12424" s="9"/>
    </row>
    <row r="12425" s="105" customFormat="1" spans="9:12">
      <c r="I12425" s="225"/>
      <c r="K12425" s="9"/>
      <c r="L12425" s="9"/>
    </row>
    <row r="12426" s="105" customFormat="1" spans="9:12">
      <c r="I12426" s="225"/>
      <c r="K12426" s="9"/>
      <c r="L12426" s="9"/>
    </row>
    <row r="12427" s="105" customFormat="1" spans="9:12">
      <c r="I12427" s="225"/>
      <c r="K12427" s="9"/>
      <c r="L12427" s="9"/>
    </row>
    <row r="12428" s="105" customFormat="1" spans="9:12">
      <c r="I12428" s="225"/>
      <c r="K12428" s="9"/>
      <c r="L12428" s="9"/>
    </row>
    <row r="12429" s="105" customFormat="1" spans="9:12">
      <c r="I12429" s="225"/>
      <c r="K12429" s="9"/>
      <c r="L12429" s="9"/>
    </row>
    <row r="12430" s="105" customFormat="1" spans="9:12">
      <c r="I12430" s="225"/>
      <c r="K12430" s="9"/>
      <c r="L12430" s="9"/>
    </row>
    <row r="12431" s="105" customFormat="1" spans="9:12">
      <c r="I12431" s="225"/>
      <c r="K12431" s="9"/>
      <c r="L12431" s="9"/>
    </row>
    <row r="12432" s="105" customFormat="1" spans="9:12">
      <c r="I12432" s="225"/>
      <c r="K12432" s="9"/>
      <c r="L12432" s="9"/>
    </row>
    <row r="12433" s="105" customFormat="1" spans="9:12">
      <c r="I12433" s="225"/>
      <c r="K12433" s="9"/>
      <c r="L12433" s="9"/>
    </row>
    <row r="12434" s="105" customFormat="1" spans="9:12">
      <c r="I12434" s="225"/>
      <c r="K12434" s="9"/>
      <c r="L12434" s="9"/>
    </row>
    <row r="12435" s="105" customFormat="1" spans="9:12">
      <c r="I12435" s="225"/>
      <c r="K12435" s="9"/>
      <c r="L12435" s="9"/>
    </row>
    <row r="12436" s="105" customFormat="1" spans="9:12">
      <c r="I12436" s="225"/>
      <c r="K12436" s="9"/>
      <c r="L12436" s="9"/>
    </row>
    <row r="12437" s="105" customFormat="1" spans="9:12">
      <c r="I12437" s="225"/>
      <c r="K12437" s="9"/>
      <c r="L12437" s="9"/>
    </row>
    <row r="12438" s="105" customFormat="1" spans="9:12">
      <c r="I12438" s="225"/>
      <c r="K12438" s="9"/>
      <c r="L12438" s="9"/>
    </row>
    <row r="12439" s="105" customFormat="1" spans="9:12">
      <c r="I12439" s="225"/>
      <c r="K12439" s="9"/>
      <c r="L12439" s="9"/>
    </row>
    <row r="12440" s="105" customFormat="1" spans="9:12">
      <c r="I12440" s="225"/>
      <c r="K12440" s="9"/>
      <c r="L12440" s="9"/>
    </row>
    <row r="12441" s="105" customFormat="1" spans="9:12">
      <c r="I12441" s="225"/>
      <c r="K12441" s="9"/>
      <c r="L12441" s="9"/>
    </row>
    <row r="12442" s="105" customFormat="1" spans="9:12">
      <c r="I12442" s="225"/>
      <c r="K12442" s="9"/>
      <c r="L12442" s="9"/>
    </row>
    <row r="12443" s="105" customFormat="1" spans="9:12">
      <c r="I12443" s="225"/>
      <c r="K12443" s="9"/>
      <c r="L12443" s="9"/>
    </row>
    <row r="12444" s="105" customFormat="1" spans="9:12">
      <c r="I12444" s="225"/>
      <c r="K12444" s="9"/>
      <c r="L12444" s="9"/>
    </row>
    <row r="12445" s="105" customFormat="1" spans="9:12">
      <c r="I12445" s="225"/>
      <c r="K12445" s="9"/>
      <c r="L12445" s="9"/>
    </row>
    <row r="12446" s="105" customFormat="1" spans="9:12">
      <c r="I12446" s="225"/>
      <c r="K12446" s="9"/>
      <c r="L12446" s="9"/>
    </row>
    <row r="12447" s="105" customFormat="1" spans="9:12">
      <c r="I12447" s="225"/>
      <c r="K12447" s="9"/>
      <c r="L12447" s="9"/>
    </row>
    <row r="12448" s="105" customFormat="1" spans="9:12">
      <c r="I12448" s="225"/>
      <c r="K12448" s="9"/>
      <c r="L12448" s="9"/>
    </row>
    <row r="12449" s="105" customFormat="1" spans="9:12">
      <c r="I12449" s="225"/>
      <c r="K12449" s="9"/>
      <c r="L12449" s="9"/>
    </row>
    <row r="12450" s="105" customFormat="1" spans="9:12">
      <c r="I12450" s="225"/>
      <c r="K12450" s="9"/>
      <c r="L12450" s="9"/>
    </row>
    <row r="12451" s="105" customFormat="1" spans="9:12">
      <c r="I12451" s="225"/>
      <c r="K12451" s="9"/>
      <c r="L12451" s="9"/>
    </row>
    <row r="12452" s="105" customFormat="1" spans="9:12">
      <c r="I12452" s="225"/>
      <c r="K12452" s="9"/>
      <c r="L12452" s="9"/>
    </row>
    <row r="12453" s="105" customFormat="1" spans="9:12">
      <c r="I12453" s="225"/>
      <c r="K12453" s="9"/>
      <c r="L12453" s="9"/>
    </row>
    <row r="12454" s="105" customFormat="1" spans="9:12">
      <c r="I12454" s="225"/>
      <c r="K12454" s="9"/>
      <c r="L12454" s="9"/>
    </row>
    <row r="12455" s="105" customFormat="1" spans="9:12">
      <c r="I12455" s="225"/>
      <c r="K12455" s="9"/>
      <c r="L12455" s="9"/>
    </row>
    <row r="12456" s="105" customFormat="1" spans="9:12">
      <c r="I12456" s="225"/>
      <c r="K12456" s="9"/>
      <c r="L12456" s="9"/>
    </row>
    <row r="12457" s="105" customFormat="1" spans="9:12">
      <c r="I12457" s="225"/>
      <c r="K12457" s="9"/>
      <c r="L12457" s="9"/>
    </row>
    <row r="12458" s="105" customFormat="1" spans="9:12">
      <c r="I12458" s="225"/>
      <c r="K12458" s="9"/>
      <c r="L12458" s="9"/>
    </row>
    <row r="12459" s="105" customFormat="1" spans="9:12">
      <c r="I12459" s="225"/>
      <c r="K12459" s="9"/>
      <c r="L12459" s="9"/>
    </row>
    <row r="12460" s="105" customFormat="1" spans="9:12">
      <c r="I12460" s="225"/>
      <c r="K12460" s="9"/>
      <c r="L12460" s="9"/>
    </row>
    <row r="12461" s="105" customFormat="1" spans="9:12">
      <c r="I12461" s="225"/>
      <c r="K12461" s="9"/>
      <c r="L12461" s="9"/>
    </row>
    <row r="12462" s="105" customFormat="1" spans="9:12">
      <c r="I12462" s="225"/>
      <c r="K12462" s="9"/>
      <c r="L12462" s="9"/>
    </row>
    <row r="12463" s="105" customFormat="1" spans="9:12">
      <c r="I12463" s="225"/>
      <c r="K12463" s="9"/>
      <c r="L12463" s="9"/>
    </row>
    <row r="12464" s="105" customFormat="1" spans="9:12">
      <c r="I12464" s="225"/>
      <c r="K12464" s="9"/>
      <c r="L12464" s="9"/>
    </row>
    <row r="12465" s="105" customFormat="1" spans="9:12">
      <c r="I12465" s="225"/>
      <c r="K12465" s="9"/>
      <c r="L12465" s="9"/>
    </row>
    <row r="12466" s="105" customFormat="1" spans="9:12">
      <c r="I12466" s="225"/>
      <c r="K12466" s="9"/>
      <c r="L12466" s="9"/>
    </row>
    <row r="12467" s="105" customFormat="1" spans="9:12">
      <c r="I12467" s="225"/>
      <c r="K12467" s="9"/>
      <c r="L12467" s="9"/>
    </row>
    <row r="12468" s="105" customFormat="1" spans="9:12">
      <c r="I12468" s="225"/>
      <c r="K12468" s="9"/>
      <c r="L12468" s="9"/>
    </row>
    <row r="12469" s="105" customFormat="1" spans="9:12">
      <c r="I12469" s="225"/>
      <c r="K12469" s="9"/>
      <c r="L12469" s="9"/>
    </row>
    <row r="12470" s="105" customFormat="1" spans="9:12">
      <c r="I12470" s="225"/>
      <c r="K12470" s="9"/>
      <c r="L12470" s="9"/>
    </row>
    <row r="12471" s="105" customFormat="1" spans="9:12">
      <c r="I12471" s="225"/>
      <c r="K12471" s="9"/>
      <c r="L12471" s="9"/>
    </row>
    <row r="12472" s="105" customFormat="1" spans="9:12">
      <c r="I12472" s="225"/>
      <c r="K12472" s="9"/>
      <c r="L12472" s="9"/>
    </row>
    <row r="12473" s="105" customFormat="1" spans="9:12">
      <c r="I12473" s="225"/>
      <c r="K12473" s="9"/>
      <c r="L12473" s="9"/>
    </row>
    <row r="12474" s="105" customFormat="1" spans="9:12">
      <c r="I12474" s="225"/>
      <c r="K12474" s="9"/>
      <c r="L12474" s="9"/>
    </row>
    <row r="12475" s="105" customFormat="1" spans="9:12">
      <c r="I12475" s="225"/>
      <c r="K12475" s="9"/>
      <c r="L12475" s="9"/>
    </row>
    <row r="12476" s="105" customFormat="1" spans="9:12">
      <c r="I12476" s="225"/>
      <c r="K12476" s="9"/>
      <c r="L12476" s="9"/>
    </row>
    <row r="12477" s="105" customFormat="1" spans="9:12">
      <c r="I12477" s="225"/>
      <c r="K12477" s="9"/>
      <c r="L12477" s="9"/>
    </row>
    <row r="12478" s="105" customFormat="1" spans="9:12">
      <c r="I12478" s="225"/>
      <c r="K12478" s="9"/>
      <c r="L12478" s="9"/>
    </row>
    <row r="12479" s="105" customFormat="1" spans="9:12">
      <c r="I12479" s="225"/>
      <c r="K12479" s="9"/>
      <c r="L12479" s="9"/>
    </row>
    <row r="12480" s="105" customFormat="1" spans="9:12">
      <c r="I12480" s="225"/>
      <c r="K12480" s="9"/>
      <c r="L12480" s="9"/>
    </row>
    <row r="12481" s="105" customFormat="1" spans="9:12">
      <c r="I12481" s="225"/>
      <c r="K12481" s="9"/>
      <c r="L12481" s="9"/>
    </row>
    <row r="12482" s="105" customFormat="1" spans="9:12">
      <c r="I12482" s="225"/>
      <c r="K12482" s="9"/>
      <c r="L12482" s="9"/>
    </row>
    <row r="12483" s="105" customFormat="1" spans="9:12">
      <c r="I12483" s="225"/>
      <c r="K12483" s="9"/>
      <c r="L12483" s="9"/>
    </row>
    <row r="12484" s="105" customFormat="1" spans="9:12">
      <c r="I12484" s="225"/>
      <c r="K12484" s="9"/>
      <c r="L12484" s="9"/>
    </row>
    <row r="12485" s="105" customFormat="1" spans="9:12">
      <c r="I12485" s="225"/>
      <c r="K12485" s="9"/>
      <c r="L12485" s="9"/>
    </row>
    <row r="12486" s="105" customFormat="1" spans="9:12">
      <c r="I12486" s="225"/>
      <c r="K12486" s="9"/>
      <c r="L12486" s="9"/>
    </row>
    <row r="12487" s="105" customFormat="1" spans="9:12">
      <c r="I12487" s="225"/>
      <c r="K12487" s="9"/>
      <c r="L12487" s="9"/>
    </row>
    <row r="12488" s="105" customFormat="1" spans="9:12">
      <c r="I12488" s="225"/>
      <c r="K12488" s="9"/>
      <c r="L12488" s="9"/>
    </row>
    <row r="12489" s="105" customFormat="1" spans="9:12">
      <c r="I12489" s="225"/>
      <c r="K12489" s="9"/>
      <c r="L12489" s="9"/>
    </row>
    <row r="12490" s="105" customFormat="1" spans="9:12">
      <c r="I12490" s="225"/>
      <c r="K12490" s="9"/>
      <c r="L12490" s="9"/>
    </row>
    <row r="12491" s="105" customFormat="1" spans="9:12">
      <c r="I12491" s="225"/>
      <c r="K12491" s="9"/>
      <c r="L12491" s="9"/>
    </row>
    <row r="12492" s="105" customFormat="1" spans="9:12">
      <c r="I12492" s="225"/>
      <c r="K12492" s="9"/>
      <c r="L12492" s="9"/>
    </row>
    <row r="12493" s="105" customFormat="1" spans="9:12">
      <c r="I12493" s="225"/>
      <c r="K12493" s="9"/>
      <c r="L12493" s="9"/>
    </row>
    <row r="12494" s="105" customFormat="1" spans="9:12">
      <c r="I12494" s="225"/>
      <c r="K12494" s="9"/>
      <c r="L12494" s="9"/>
    </row>
    <row r="12495" s="105" customFormat="1" spans="9:12">
      <c r="I12495" s="225"/>
      <c r="K12495" s="9"/>
      <c r="L12495" s="9"/>
    </row>
    <row r="12496" s="105" customFormat="1" spans="9:12">
      <c r="I12496" s="225"/>
      <c r="K12496" s="9"/>
      <c r="L12496" s="9"/>
    </row>
    <row r="12497" s="105" customFormat="1" spans="9:12">
      <c r="I12497" s="225"/>
      <c r="K12497" s="9"/>
      <c r="L12497" s="9"/>
    </row>
    <row r="12498" s="105" customFormat="1" spans="9:12">
      <c r="I12498" s="225"/>
      <c r="K12498" s="9"/>
      <c r="L12498" s="9"/>
    </row>
    <row r="12499" s="105" customFormat="1" spans="9:12">
      <c r="I12499" s="225"/>
      <c r="K12499" s="9"/>
      <c r="L12499" s="9"/>
    </row>
    <row r="12500" s="105" customFormat="1" spans="9:12">
      <c r="I12500" s="225"/>
      <c r="K12500" s="9"/>
      <c r="L12500" s="9"/>
    </row>
    <row r="12501" s="105" customFormat="1" spans="9:12">
      <c r="I12501" s="225"/>
      <c r="K12501" s="9"/>
      <c r="L12501" s="9"/>
    </row>
    <row r="12502" s="105" customFormat="1" spans="9:12">
      <c r="I12502" s="225"/>
      <c r="K12502" s="9"/>
      <c r="L12502" s="9"/>
    </row>
    <row r="12503" s="105" customFormat="1" spans="9:12">
      <c r="I12503" s="225"/>
      <c r="K12503" s="9"/>
      <c r="L12503" s="9"/>
    </row>
    <row r="12504" s="105" customFormat="1" spans="9:12">
      <c r="I12504" s="225"/>
      <c r="K12504" s="9"/>
      <c r="L12504" s="9"/>
    </row>
    <row r="12505" s="105" customFormat="1" spans="9:12">
      <c r="I12505" s="225"/>
      <c r="K12505" s="9"/>
      <c r="L12505" s="9"/>
    </row>
    <row r="12506" s="105" customFormat="1" spans="9:12">
      <c r="I12506" s="225"/>
      <c r="K12506" s="9"/>
      <c r="L12506" s="9"/>
    </row>
    <row r="12507" s="105" customFormat="1" spans="9:12">
      <c r="I12507" s="225"/>
      <c r="K12507" s="9"/>
      <c r="L12507" s="9"/>
    </row>
    <row r="12508" s="105" customFormat="1" spans="9:12">
      <c r="I12508" s="225"/>
      <c r="K12508" s="9"/>
      <c r="L12508" s="9"/>
    </row>
    <row r="12509" s="105" customFormat="1" spans="9:12">
      <c r="I12509" s="225"/>
      <c r="K12509" s="9"/>
      <c r="L12509" s="9"/>
    </row>
    <row r="12510" s="105" customFormat="1" spans="9:12">
      <c r="I12510" s="225"/>
      <c r="K12510" s="9"/>
      <c r="L12510" s="9"/>
    </row>
    <row r="12511" s="105" customFormat="1" spans="9:12">
      <c r="I12511" s="225"/>
      <c r="K12511" s="9"/>
      <c r="L12511" s="9"/>
    </row>
    <row r="12512" s="105" customFormat="1" spans="9:12">
      <c r="I12512" s="225"/>
      <c r="K12512" s="9"/>
      <c r="L12512" s="9"/>
    </row>
    <row r="12513" s="105" customFormat="1" spans="9:12">
      <c r="I12513" s="225"/>
      <c r="K12513" s="9"/>
      <c r="L12513" s="9"/>
    </row>
    <row r="12514" s="105" customFormat="1" spans="9:12">
      <c r="I12514" s="225"/>
      <c r="K12514" s="9"/>
      <c r="L12514" s="9"/>
    </row>
    <row r="12515" s="105" customFormat="1" spans="9:12">
      <c r="I12515" s="225"/>
      <c r="K12515" s="9"/>
      <c r="L12515" s="9"/>
    </row>
    <row r="12516" s="105" customFormat="1" spans="9:12">
      <c r="I12516" s="225"/>
      <c r="K12516" s="9"/>
      <c r="L12516" s="9"/>
    </row>
    <row r="12517" s="105" customFormat="1" spans="9:12">
      <c r="I12517" s="225"/>
      <c r="K12517" s="9"/>
      <c r="L12517" s="9"/>
    </row>
    <row r="12518" s="105" customFormat="1" spans="9:12">
      <c r="I12518" s="225"/>
      <c r="K12518" s="9"/>
      <c r="L12518" s="9"/>
    </row>
    <row r="12519" s="105" customFormat="1" spans="9:12">
      <c r="I12519" s="225"/>
      <c r="K12519" s="9"/>
      <c r="L12519" s="9"/>
    </row>
    <row r="12520" s="105" customFormat="1" spans="9:12">
      <c r="I12520" s="225"/>
      <c r="K12520" s="9"/>
      <c r="L12520" s="9"/>
    </row>
    <row r="12521" s="105" customFormat="1" spans="9:12">
      <c r="I12521" s="225"/>
      <c r="K12521" s="9"/>
      <c r="L12521" s="9"/>
    </row>
    <row r="12522" s="105" customFormat="1" spans="9:12">
      <c r="I12522" s="225"/>
      <c r="K12522" s="9"/>
      <c r="L12522" s="9"/>
    </row>
    <row r="12523" s="105" customFormat="1" spans="9:12">
      <c r="I12523" s="225"/>
      <c r="K12523" s="9"/>
      <c r="L12523" s="9"/>
    </row>
    <row r="12524" s="105" customFormat="1" spans="9:12">
      <c r="I12524" s="225"/>
      <c r="K12524" s="9"/>
      <c r="L12524" s="9"/>
    </row>
    <row r="12525" s="105" customFormat="1" spans="9:12">
      <c r="I12525" s="225"/>
      <c r="K12525" s="9"/>
      <c r="L12525" s="9"/>
    </row>
    <row r="12526" s="105" customFormat="1" spans="9:12">
      <c r="I12526" s="225"/>
      <c r="K12526" s="9"/>
      <c r="L12526" s="9"/>
    </row>
    <row r="12527" s="105" customFormat="1" spans="9:12">
      <c r="I12527" s="225"/>
      <c r="K12527" s="9"/>
      <c r="L12527" s="9"/>
    </row>
    <row r="12528" s="105" customFormat="1" spans="9:12">
      <c r="I12528" s="225"/>
      <c r="K12528" s="9"/>
      <c r="L12528" s="9"/>
    </row>
    <row r="12529" s="105" customFormat="1" spans="9:12">
      <c r="I12529" s="225"/>
      <c r="K12529" s="9"/>
      <c r="L12529" s="9"/>
    </row>
    <row r="12530" s="105" customFormat="1" spans="9:12">
      <c r="I12530" s="225"/>
      <c r="K12530" s="9"/>
      <c r="L12530" s="9"/>
    </row>
    <row r="12531" s="105" customFormat="1" spans="9:12">
      <c r="I12531" s="225"/>
      <c r="K12531" s="9"/>
      <c r="L12531" s="9"/>
    </row>
    <row r="12532" s="105" customFormat="1" spans="9:12">
      <c r="I12532" s="225"/>
      <c r="K12532" s="9"/>
      <c r="L12532" s="9"/>
    </row>
    <row r="12533" s="105" customFormat="1" spans="9:12">
      <c r="I12533" s="225"/>
      <c r="K12533" s="9"/>
      <c r="L12533" s="9"/>
    </row>
    <row r="12534" s="105" customFormat="1" spans="9:12">
      <c r="I12534" s="225"/>
      <c r="K12534" s="9"/>
      <c r="L12534" s="9"/>
    </row>
    <row r="12535" s="105" customFormat="1" spans="9:12">
      <c r="I12535" s="225"/>
      <c r="K12535" s="9"/>
      <c r="L12535" s="9"/>
    </row>
    <row r="12536" s="105" customFormat="1" spans="9:12">
      <c r="I12536" s="225"/>
      <c r="K12536" s="9"/>
      <c r="L12536" s="9"/>
    </row>
    <row r="12537" s="105" customFormat="1" spans="9:12">
      <c r="I12537" s="225"/>
      <c r="K12537" s="9"/>
      <c r="L12537" s="9"/>
    </row>
    <row r="12538" s="105" customFormat="1" spans="9:12">
      <c r="I12538" s="225"/>
      <c r="K12538" s="9"/>
      <c r="L12538" s="9"/>
    </row>
    <row r="12539" s="105" customFormat="1" spans="9:12">
      <c r="I12539" s="225"/>
      <c r="K12539" s="9"/>
      <c r="L12539" s="9"/>
    </row>
    <row r="12540" s="105" customFormat="1" spans="9:12">
      <c r="I12540" s="225"/>
      <c r="K12540" s="9"/>
      <c r="L12540" s="9"/>
    </row>
    <row r="12541" s="105" customFormat="1" spans="9:12">
      <c r="I12541" s="225"/>
      <c r="K12541" s="9"/>
      <c r="L12541" s="9"/>
    </row>
    <row r="12542" s="105" customFormat="1" spans="9:12">
      <c r="I12542" s="225"/>
      <c r="K12542" s="9"/>
      <c r="L12542" s="9"/>
    </row>
    <row r="12543" s="105" customFormat="1" spans="9:12">
      <c r="I12543" s="225"/>
      <c r="K12543" s="9"/>
      <c r="L12543" s="9"/>
    </row>
    <row r="12544" s="105" customFormat="1" spans="9:12">
      <c r="I12544" s="225"/>
      <c r="K12544" s="9"/>
      <c r="L12544" s="9"/>
    </row>
    <row r="12545" s="105" customFormat="1" spans="9:12">
      <c r="I12545" s="225"/>
      <c r="K12545" s="9"/>
      <c r="L12545" s="9"/>
    </row>
    <row r="12546" s="105" customFormat="1" spans="9:12">
      <c r="I12546" s="225"/>
      <c r="K12546" s="9"/>
      <c r="L12546" s="9"/>
    </row>
    <row r="12547" s="105" customFormat="1" spans="9:12">
      <c r="I12547" s="225"/>
      <c r="K12547" s="9"/>
      <c r="L12547" s="9"/>
    </row>
    <row r="12548" s="105" customFormat="1" spans="9:12">
      <c r="I12548" s="225"/>
      <c r="K12548" s="9"/>
      <c r="L12548" s="9"/>
    </row>
    <row r="12549" s="105" customFormat="1" spans="9:12">
      <c r="I12549" s="225"/>
      <c r="K12549" s="9"/>
      <c r="L12549" s="9"/>
    </row>
    <row r="12550" s="105" customFormat="1" spans="9:12">
      <c r="I12550" s="225"/>
      <c r="K12550" s="9"/>
      <c r="L12550" s="9"/>
    </row>
    <row r="12551" s="105" customFormat="1" spans="9:12">
      <c r="I12551" s="225"/>
      <c r="K12551" s="9"/>
      <c r="L12551" s="9"/>
    </row>
    <row r="12552" s="105" customFormat="1" spans="9:12">
      <c r="I12552" s="225"/>
      <c r="K12552" s="9"/>
      <c r="L12552" s="9"/>
    </row>
    <row r="12553" s="105" customFormat="1" spans="9:12">
      <c r="I12553" s="225"/>
      <c r="K12553" s="9"/>
      <c r="L12553" s="9"/>
    </row>
    <row r="12554" s="105" customFormat="1" spans="9:12">
      <c r="I12554" s="225"/>
      <c r="K12554" s="9"/>
      <c r="L12554" s="9"/>
    </row>
    <row r="12555" s="105" customFormat="1" spans="9:12">
      <c r="I12555" s="225"/>
      <c r="K12555" s="9"/>
      <c r="L12555" s="9"/>
    </row>
    <row r="12556" s="105" customFormat="1" spans="9:12">
      <c r="I12556" s="225"/>
      <c r="K12556" s="9"/>
      <c r="L12556" s="9"/>
    </row>
    <row r="12557" s="105" customFormat="1" spans="9:12">
      <c r="I12557" s="225"/>
      <c r="K12557" s="9"/>
      <c r="L12557" s="9"/>
    </row>
    <row r="12558" s="105" customFormat="1" spans="9:12">
      <c r="I12558" s="225"/>
      <c r="K12558" s="9"/>
      <c r="L12558" s="9"/>
    </row>
    <row r="12559" s="105" customFormat="1" spans="9:12">
      <c r="I12559" s="225"/>
      <c r="K12559" s="9"/>
      <c r="L12559" s="9"/>
    </row>
    <row r="12560" s="105" customFormat="1" spans="9:12">
      <c r="I12560" s="225"/>
      <c r="K12560" s="9"/>
      <c r="L12560" s="9"/>
    </row>
    <row r="12561" s="105" customFormat="1" spans="9:12">
      <c r="I12561" s="225"/>
      <c r="K12561" s="9"/>
      <c r="L12561" s="9"/>
    </row>
    <row r="12562" s="105" customFormat="1" spans="9:12">
      <c r="I12562" s="225"/>
      <c r="K12562" s="9"/>
      <c r="L12562" s="9"/>
    </row>
    <row r="12563" s="105" customFormat="1" spans="9:12">
      <c r="I12563" s="225"/>
      <c r="K12563" s="9"/>
      <c r="L12563" s="9"/>
    </row>
    <row r="12564" s="105" customFormat="1" spans="9:12">
      <c r="I12564" s="225"/>
      <c r="K12564" s="9"/>
      <c r="L12564" s="9"/>
    </row>
    <row r="12565" s="105" customFormat="1" spans="9:12">
      <c r="I12565" s="225"/>
      <c r="K12565" s="9"/>
      <c r="L12565" s="9"/>
    </row>
    <row r="12566" s="105" customFormat="1" spans="9:12">
      <c r="I12566" s="225"/>
      <c r="K12566" s="9"/>
      <c r="L12566" s="9"/>
    </row>
    <row r="12567" s="105" customFormat="1" spans="9:12">
      <c r="I12567" s="225"/>
      <c r="K12567" s="9"/>
      <c r="L12567" s="9"/>
    </row>
    <row r="12568" s="105" customFormat="1" spans="9:12">
      <c r="I12568" s="225"/>
      <c r="K12568" s="9"/>
      <c r="L12568" s="9"/>
    </row>
    <row r="12569" s="105" customFormat="1" spans="9:12">
      <c r="I12569" s="225"/>
      <c r="K12569" s="9"/>
      <c r="L12569" s="9"/>
    </row>
    <row r="12570" s="105" customFormat="1" spans="9:12">
      <c r="I12570" s="225"/>
      <c r="K12570" s="9"/>
      <c r="L12570" s="9"/>
    </row>
    <row r="12571" s="105" customFormat="1" spans="9:12">
      <c r="I12571" s="225"/>
      <c r="K12571" s="9"/>
      <c r="L12571" s="9"/>
    </row>
    <row r="12572" s="105" customFormat="1" spans="9:12">
      <c r="I12572" s="225"/>
      <c r="K12572" s="9"/>
      <c r="L12572" s="9"/>
    </row>
    <row r="12573" s="105" customFormat="1" spans="9:12">
      <c r="I12573" s="225"/>
      <c r="K12573" s="9"/>
      <c r="L12573" s="9"/>
    </row>
    <row r="12574" s="105" customFormat="1" spans="9:12">
      <c r="I12574" s="225"/>
      <c r="K12574" s="9"/>
      <c r="L12574" s="9"/>
    </row>
    <row r="12575" s="105" customFormat="1" spans="9:12">
      <c r="I12575" s="225"/>
      <c r="K12575" s="9"/>
      <c r="L12575" s="9"/>
    </row>
    <row r="12576" s="105" customFormat="1" spans="9:12">
      <c r="I12576" s="225"/>
      <c r="K12576" s="9"/>
      <c r="L12576" s="9"/>
    </row>
    <row r="12577" s="105" customFormat="1" spans="9:12">
      <c r="I12577" s="225"/>
      <c r="K12577" s="9"/>
      <c r="L12577" s="9"/>
    </row>
    <row r="12578" s="105" customFormat="1" spans="9:12">
      <c r="I12578" s="225"/>
      <c r="K12578" s="9"/>
      <c r="L12578" s="9"/>
    </row>
    <row r="12579" s="105" customFormat="1" spans="9:12">
      <c r="I12579" s="225"/>
      <c r="K12579" s="9"/>
      <c r="L12579" s="9"/>
    </row>
    <row r="12580" s="105" customFormat="1" spans="9:12">
      <c r="I12580" s="225"/>
      <c r="K12580" s="9"/>
      <c r="L12580" s="9"/>
    </row>
    <row r="12581" s="105" customFormat="1" spans="9:12">
      <c r="I12581" s="225"/>
      <c r="K12581" s="9"/>
      <c r="L12581" s="9"/>
    </row>
    <row r="12582" s="105" customFormat="1" spans="9:12">
      <c r="I12582" s="225"/>
      <c r="K12582" s="9"/>
      <c r="L12582" s="9"/>
    </row>
    <row r="12583" s="105" customFormat="1" spans="9:12">
      <c r="I12583" s="225"/>
      <c r="K12583" s="9"/>
      <c r="L12583" s="9"/>
    </row>
    <row r="12584" s="105" customFormat="1" spans="9:12">
      <c r="I12584" s="225"/>
      <c r="K12584" s="9"/>
      <c r="L12584" s="9"/>
    </row>
    <row r="12585" s="105" customFormat="1" spans="9:12">
      <c r="I12585" s="225"/>
      <c r="K12585" s="9"/>
      <c r="L12585" s="9"/>
    </row>
    <row r="12586" s="105" customFormat="1" spans="9:12">
      <c r="I12586" s="225"/>
      <c r="K12586" s="9"/>
      <c r="L12586" s="9"/>
    </row>
    <row r="12587" s="105" customFormat="1" spans="9:12">
      <c r="I12587" s="225"/>
      <c r="K12587" s="9"/>
      <c r="L12587" s="9"/>
    </row>
    <row r="12588" s="105" customFormat="1" spans="9:12">
      <c r="I12588" s="225"/>
      <c r="K12588" s="9"/>
      <c r="L12588" s="9"/>
    </row>
    <row r="12589" s="105" customFormat="1" spans="9:12">
      <c r="I12589" s="225"/>
      <c r="K12589" s="9"/>
      <c r="L12589" s="9"/>
    </row>
    <row r="12590" s="105" customFormat="1" spans="9:12">
      <c r="I12590" s="225"/>
      <c r="K12590" s="9"/>
      <c r="L12590" s="9"/>
    </row>
    <row r="12591" s="105" customFormat="1" spans="9:12">
      <c r="I12591" s="225"/>
      <c r="K12591" s="9"/>
      <c r="L12591" s="9"/>
    </row>
    <row r="12592" s="105" customFormat="1" spans="9:12">
      <c r="I12592" s="225"/>
      <c r="K12592" s="9"/>
      <c r="L12592" s="9"/>
    </row>
    <row r="12593" s="105" customFormat="1" spans="9:12">
      <c r="I12593" s="225"/>
      <c r="K12593" s="9"/>
      <c r="L12593" s="9"/>
    </row>
    <row r="12594" s="105" customFormat="1" spans="9:12">
      <c r="I12594" s="225"/>
      <c r="K12594" s="9"/>
      <c r="L12594" s="9"/>
    </row>
    <row r="12595" s="105" customFormat="1" spans="9:12">
      <c r="I12595" s="225"/>
      <c r="K12595" s="9"/>
      <c r="L12595" s="9"/>
    </row>
    <row r="12596" s="105" customFormat="1" spans="9:12">
      <c r="I12596" s="225"/>
      <c r="K12596" s="9"/>
      <c r="L12596" s="9"/>
    </row>
    <row r="12597" s="105" customFormat="1" spans="9:12">
      <c r="I12597" s="225"/>
      <c r="K12597" s="9"/>
      <c r="L12597" s="9"/>
    </row>
    <row r="12598" s="105" customFormat="1" spans="9:12">
      <c r="I12598" s="225"/>
      <c r="K12598" s="9"/>
      <c r="L12598" s="9"/>
    </row>
    <row r="12599" s="105" customFormat="1" spans="9:12">
      <c r="I12599" s="225"/>
      <c r="K12599" s="9"/>
      <c r="L12599" s="9"/>
    </row>
    <row r="12600" s="105" customFormat="1" spans="9:12">
      <c r="I12600" s="225"/>
      <c r="K12600" s="9"/>
      <c r="L12600" s="9"/>
    </row>
    <row r="12601" s="105" customFormat="1" spans="9:12">
      <c r="I12601" s="225"/>
      <c r="K12601" s="9"/>
      <c r="L12601" s="9"/>
    </row>
    <row r="12602" s="105" customFormat="1" spans="9:12">
      <c r="I12602" s="225"/>
      <c r="K12602" s="9"/>
      <c r="L12602" s="9"/>
    </row>
    <row r="12603" s="105" customFormat="1" spans="9:12">
      <c r="I12603" s="225"/>
      <c r="K12603" s="9"/>
      <c r="L12603" s="9"/>
    </row>
    <row r="12604" s="105" customFormat="1" spans="9:12">
      <c r="I12604" s="225"/>
      <c r="K12604" s="9"/>
      <c r="L12604" s="9"/>
    </row>
    <row r="12605" s="105" customFormat="1" spans="9:12">
      <c r="I12605" s="225"/>
      <c r="K12605" s="9"/>
      <c r="L12605" s="9"/>
    </row>
    <row r="12606" s="105" customFormat="1" spans="9:12">
      <c r="I12606" s="225"/>
      <c r="K12606" s="9"/>
      <c r="L12606" s="9"/>
    </row>
    <row r="12607" s="105" customFormat="1" spans="9:12">
      <c r="I12607" s="225"/>
      <c r="K12607" s="9"/>
      <c r="L12607" s="9"/>
    </row>
    <row r="12608" s="105" customFormat="1" spans="9:12">
      <c r="I12608" s="225"/>
      <c r="K12608" s="9"/>
      <c r="L12608" s="9"/>
    </row>
    <row r="12609" s="105" customFormat="1" spans="9:12">
      <c r="I12609" s="225"/>
      <c r="K12609" s="9"/>
      <c r="L12609" s="9"/>
    </row>
    <row r="12610" s="105" customFormat="1" spans="9:12">
      <c r="I12610" s="225"/>
      <c r="K12610" s="9"/>
      <c r="L12610" s="9"/>
    </row>
    <row r="12611" s="105" customFormat="1" spans="9:12">
      <c r="I12611" s="225"/>
      <c r="K12611" s="9"/>
      <c r="L12611" s="9"/>
    </row>
    <row r="12612" s="105" customFormat="1" spans="9:12">
      <c r="I12612" s="225"/>
      <c r="K12612" s="9"/>
      <c r="L12612" s="9"/>
    </row>
    <row r="12613" s="105" customFormat="1" spans="9:12">
      <c r="I12613" s="225"/>
      <c r="K12613" s="9"/>
      <c r="L12613" s="9"/>
    </row>
    <row r="12614" s="105" customFormat="1" spans="9:12">
      <c r="I12614" s="225"/>
      <c r="K12614" s="9"/>
      <c r="L12614" s="9"/>
    </row>
    <row r="12615" s="105" customFormat="1" spans="9:12">
      <c r="I12615" s="225"/>
      <c r="K12615" s="9"/>
      <c r="L12615" s="9"/>
    </row>
    <row r="12616" s="105" customFormat="1" spans="9:12">
      <c r="I12616" s="225"/>
      <c r="K12616" s="9"/>
      <c r="L12616" s="9"/>
    </row>
    <row r="12617" s="105" customFormat="1" spans="9:12">
      <c r="I12617" s="225"/>
      <c r="K12617" s="9"/>
      <c r="L12617" s="9"/>
    </row>
    <row r="12618" s="105" customFormat="1" spans="9:12">
      <c r="I12618" s="225"/>
      <c r="K12618" s="9"/>
      <c r="L12618" s="9"/>
    </row>
    <row r="12619" s="105" customFormat="1" spans="9:12">
      <c r="I12619" s="225"/>
      <c r="K12619" s="9"/>
      <c r="L12619" s="9"/>
    </row>
    <row r="12620" s="105" customFormat="1" spans="9:12">
      <c r="I12620" s="225"/>
      <c r="K12620" s="9"/>
      <c r="L12620" s="9"/>
    </row>
    <row r="12621" s="105" customFormat="1" spans="9:12">
      <c r="I12621" s="225"/>
      <c r="K12621" s="9"/>
      <c r="L12621" s="9"/>
    </row>
    <row r="12622" s="105" customFormat="1" spans="9:12">
      <c r="I12622" s="225"/>
      <c r="K12622" s="9"/>
      <c r="L12622" s="9"/>
    </row>
    <row r="12623" s="105" customFormat="1" spans="9:12">
      <c r="I12623" s="225"/>
      <c r="K12623" s="9"/>
      <c r="L12623" s="9"/>
    </row>
    <row r="12624" s="105" customFormat="1" spans="9:12">
      <c r="I12624" s="225"/>
      <c r="K12624" s="9"/>
      <c r="L12624" s="9"/>
    </row>
    <row r="12625" s="105" customFormat="1" spans="9:12">
      <c r="I12625" s="225"/>
      <c r="K12625" s="9"/>
      <c r="L12625" s="9"/>
    </row>
    <row r="12626" s="105" customFormat="1" spans="9:12">
      <c r="I12626" s="225"/>
      <c r="K12626" s="9"/>
      <c r="L12626" s="9"/>
    </row>
    <row r="12627" s="105" customFormat="1" spans="9:12">
      <c r="I12627" s="225"/>
      <c r="K12627" s="9"/>
      <c r="L12627" s="9"/>
    </row>
    <row r="12628" s="105" customFormat="1" spans="9:12">
      <c r="I12628" s="225"/>
      <c r="K12628" s="9"/>
      <c r="L12628" s="9"/>
    </row>
    <row r="12629" s="105" customFormat="1" spans="9:12">
      <c r="I12629" s="225"/>
      <c r="K12629" s="9"/>
      <c r="L12629" s="9"/>
    </row>
    <row r="12630" s="105" customFormat="1" spans="9:12">
      <c r="I12630" s="225"/>
      <c r="K12630" s="9"/>
      <c r="L12630" s="9"/>
    </row>
    <row r="12631" s="105" customFormat="1" spans="9:12">
      <c r="I12631" s="225"/>
      <c r="K12631" s="9"/>
      <c r="L12631" s="9"/>
    </row>
    <row r="12632" s="105" customFormat="1" spans="9:12">
      <c r="I12632" s="225"/>
      <c r="K12632" s="9"/>
      <c r="L12632" s="9"/>
    </row>
    <row r="12633" s="105" customFormat="1" spans="9:12">
      <c r="I12633" s="225"/>
      <c r="K12633" s="9"/>
      <c r="L12633" s="9"/>
    </row>
    <row r="12634" s="105" customFormat="1" spans="9:12">
      <c r="I12634" s="225"/>
      <c r="K12634" s="9"/>
      <c r="L12634" s="9"/>
    </row>
    <row r="12635" s="105" customFormat="1" spans="9:12">
      <c r="I12635" s="225"/>
      <c r="K12635" s="9"/>
      <c r="L12635" s="9"/>
    </row>
    <row r="12636" s="105" customFormat="1" spans="9:12">
      <c r="I12636" s="225"/>
      <c r="K12636" s="9"/>
      <c r="L12636" s="9"/>
    </row>
    <row r="12637" s="105" customFormat="1" spans="9:12">
      <c r="I12637" s="225"/>
      <c r="K12637" s="9"/>
      <c r="L12637" s="9"/>
    </row>
    <row r="12638" s="105" customFormat="1" spans="9:12">
      <c r="I12638" s="225"/>
      <c r="K12638" s="9"/>
      <c r="L12638" s="9"/>
    </row>
    <row r="12639" s="105" customFormat="1" spans="9:12">
      <c r="I12639" s="225"/>
      <c r="K12639" s="9"/>
      <c r="L12639" s="9"/>
    </row>
    <row r="12640" s="105" customFormat="1" spans="9:12">
      <c r="I12640" s="225"/>
      <c r="K12640" s="9"/>
      <c r="L12640" s="9"/>
    </row>
    <row r="12641" s="105" customFormat="1" spans="9:12">
      <c r="I12641" s="225"/>
      <c r="K12641" s="9"/>
      <c r="L12641" s="9"/>
    </row>
    <row r="12642" s="105" customFormat="1" spans="9:12">
      <c r="I12642" s="225"/>
      <c r="K12642" s="9"/>
      <c r="L12642" s="9"/>
    </row>
    <row r="12643" s="105" customFormat="1" spans="9:12">
      <c r="I12643" s="225"/>
      <c r="K12643" s="9"/>
      <c r="L12643" s="9"/>
    </row>
    <row r="12644" s="105" customFormat="1" spans="9:12">
      <c r="I12644" s="225"/>
      <c r="K12644" s="9"/>
      <c r="L12644" s="9"/>
    </row>
    <row r="12645" s="105" customFormat="1" spans="9:12">
      <c r="I12645" s="225"/>
      <c r="K12645" s="9"/>
      <c r="L12645" s="9"/>
    </row>
    <row r="12646" s="105" customFormat="1" spans="9:12">
      <c r="I12646" s="225"/>
      <c r="K12646" s="9"/>
      <c r="L12646" s="9"/>
    </row>
    <row r="12647" s="105" customFormat="1" spans="9:12">
      <c r="I12647" s="225"/>
      <c r="K12647" s="9"/>
      <c r="L12647" s="9"/>
    </row>
    <row r="12648" s="105" customFormat="1" spans="9:12">
      <c r="I12648" s="225"/>
      <c r="K12648" s="9"/>
      <c r="L12648" s="9"/>
    </row>
    <row r="12649" s="105" customFormat="1" spans="9:12">
      <c r="I12649" s="225"/>
      <c r="K12649" s="9"/>
      <c r="L12649" s="9"/>
    </row>
    <row r="12650" s="105" customFormat="1" spans="9:12">
      <c r="I12650" s="225"/>
      <c r="K12650" s="9"/>
      <c r="L12650" s="9"/>
    </row>
    <row r="12651" s="105" customFormat="1" spans="9:12">
      <c r="I12651" s="225"/>
      <c r="K12651" s="9"/>
      <c r="L12651" s="9"/>
    </row>
    <row r="12652" s="105" customFormat="1" spans="9:12">
      <c r="I12652" s="225"/>
      <c r="K12652" s="9"/>
      <c r="L12652" s="9"/>
    </row>
    <row r="12653" s="105" customFormat="1" spans="9:12">
      <c r="I12653" s="225"/>
      <c r="K12653" s="9"/>
      <c r="L12653" s="9"/>
    </row>
    <row r="12654" s="105" customFormat="1" spans="9:12">
      <c r="I12654" s="225"/>
      <c r="K12654" s="9"/>
      <c r="L12654" s="9"/>
    </row>
    <row r="12655" s="105" customFormat="1" spans="9:12">
      <c r="I12655" s="225"/>
      <c r="K12655" s="9"/>
      <c r="L12655" s="9"/>
    </row>
    <row r="12656" s="105" customFormat="1" spans="9:12">
      <c r="I12656" s="225"/>
      <c r="K12656" s="9"/>
      <c r="L12656" s="9"/>
    </row>
    <row r="12657" s="105" customFormat="1" spans="9:12">
      <c r="I12657" s="225"/>
      <c r="K12657" s="9"/>
      <c r="L12657" s="9"/>
    </row>
    <row r="12658" s="105" customFormat="1" spans="9:12">
      <c r="I12658" s="225"/>
      <c r="K12658" s="9"/>
      <c r="L12658" s="9"/>
    </row>
    <row r="12659" s="105" customFormat="1" spans="9:12">
      <c r="I12659" s="225"/>
      <c r="K12659" s="9"/>
      <c r="L12659" s="9"/>
    </row>
    <row r="12660" s="105" customFormat="1" spans="9:12">
      <c r="I12660" s="225"/>
      <c r="K12660" s="9"/>
      <c r="L12660" s="9"/>
    </row>
    <row r="12661" s="105" customFormat="1" spans="9:12">
      <c r="I12661" s="225"/>
      <c r="K12661" s="9"/>
      <c r="L12661" s="9"/>
    </row>
    <row r="12662" s="105" customFormat="1" spans="9:12">
      <c r="I12662" s="225"/>
      <c r="K12662" s="9"/>
      <c r="L12662" s="9"/>
    </row>
    <row r="12663" s="105" customFormat="1" spans="9:12">
      <c r="I12663" s="225"/>
      <c r="K12663" s="9"/>
      <c r="L12663" s="9"/>
    </row>
    <row r="12664" s="105" customFormat="1" spans="9:12">
      <c r="I12664" s="225"/>
      <c r="K12664" s="9"/>
      <c r="L12664" s="9"/>
    </row>
    <row r="12665" s="105" customFormat="1" spans="9:12">
      <c r="I12665" s="225"/>
      <c r="K12665" s="9"/>
      <c r="L12665" s="9"/>
    </row>
    <row r="12666" s="105" customFormat="1" spans="9:12">
      <c r="I12666" s="225"/>
      <c r="K12666" s="9"/>
      <c r="L12666" s="9"/>
    </row>
    <row r="12667" s="105" customFormat="1" spans="9:12">
      <c r="I12667" s="225"/>
      <c r="K12667" s="9"/>
      <c r="L12667" s="9"/>
    </row>
    <row r="12668" s="105" customFormat="1" spans="9:12">
      <c r="I12668" s="225"/>
      <c r="K12668" s="9"/>
      <c r="L12668" s="9"/>
    </row>
    <row r="12669" s="105" customFormat="1" spans="9:12">
      <c r="I12669" s="225"/>
      <c r="K12669" s="9"/>
      <c r="L12669" s="9"/>
    </row>
    <row r="12670" s="105" customFormat="1" spans="9:12">
      <c r="I12670" s="225"/>
      <c r="K12670" s="9"/>
      <c r="L12670" s="9"/>
    </row>
    <row r="12671" s="105" customFormat="1" spans="9:12">
      <c r="I12671" s="225"/>
      <c r="K12671" s="9"/>
      <c r="L12671" s="9"/>
    </row>
    <row r="12672" s="105" customFormat="1" spans="9:12">
      <c r="I12672" s="225"/>
      <c r="K12672" s="9"/>
      <c r="L12672" s="9"/>
    </row>
    <row r="12673" s="105" customFormat="1" spans="9:12">
      <c r="I12673" s="225"/>
      <c r="K12673" s="9"/>
      <c r="L12673" s="9"/>
    </row>
    <row r="12674" s="105" customFormat="1" spans="9:12">
      <c r="I12674" s="225"/>
      <c r="K12674" s="9"/>
      <c r="L12674" s="9"/>
    </row>
    <row r="12675" s="105" customFormat="1" spans="9:12">
      <c r="I12675" s="225"/>
      <c r="K12675" s="9"/>
      <c r="L12675" s="9"/>
    </row>
    <row r="12676" s="105" customFormat="1" spans="9:12">
      <c r="I12676" s="225"/>
      <c r="K12676" s="9"/>
      <c r="L12676" s="9"/>
    </row>
    <row r="12677" s="105" customFormat="1" spans="9:12">
      <c r="I12677" s="225"/>
      <c r="K12677" s="9"/>
      <c r="L12677" s="9"/>
    </row>
    <row r="12678" s="105" customFormat="1" spans="9:12">
      <c r="I12678" s="225"/>
      <c r="K12678" s="9"/>
      <c r="L12678" s="9"/>
    </row>
    <row r="12679" s="105" customFormat="1" spans="9:12">
      <c r="I12679" s="225"/>
      <c r="K12679" s="9"/>
      <c r="L12679" s="9"/>
    </row>
    <row r="12680" s="105" customFormat="1" spans="9:12">
      <c r="I12680" s="225"/>
      <c r="K12680" s="9"/>
      <c r="L12680" s="9"/>
    </row>
    <row r="12681" s="105" customFormat="1" spans="9:12">
      <c r="I12681" s="225"/>
      <c r="K12681" s="9"/>
      <c r="L12681" s="9"/>
    </row>
    <row r="12682" s="105" customFormat="1" spans="9:12">
      <c r="I12682" s="225"/>
      <c r="K12682" s="9"/>
      <c r="L12682" s="9"/>
    </row>
    <row r="12683" s="105" customFormat="1" spans="9:12">
      <c r="I12683" s="225"/>
      <c r="K12683" s="9"/>
      <c r="L12683" s="9"/>
    </row>
    <row r="12684" s="105" customFormat="1" spans="9:12">
      <c r="I12684" s="225"/>
      <c r="K12684" s="9"/>
      <c r="L12684" s="9"/>
    </row>
    <row r="12685" s="105" customFormat="1" spans="9:12">
      <c r="I12685" s="225"/>
      <c r="K12685" s="9"/>
      <c r="L12685" s="9"/>
    </row>
    <row r="12686" s="105" customFormat="1" spans="9:12">
      <c r="I12686" s="225"/>
      <c r="K12686" s="9"/>
      <c r="L12686" s="9"/>
    </row>
    <row r="12687" s="105" customFormat="1" spans="9:12">
      <c r="I12687" s="225"/>
      <c r="K12687" s="9"/>
      <c r="L12687" s="9"/>
    </row>
    <row r="12688" s="105" customFormat="1" spans="9:12">
      <c r="I12688" s="225"/>
      <c r="K12688" s="9"/>
      <c r="L12688" s="9"/>
    </row>
    <row r="12689" s="105" customFormat="1" spans="9:12">
      <c r="I12689" s="225"/>
      <c r="K12689" s="9"/>
      <c r="L12689" s="9"/>
    </row>
    <row r="12690" s="105" customFormat="1" spans="9:12">
      <c r="I12690" s="225"/>
      <c r="K12690" s="9"/>
      <c r="L12690" s="9"/>
    </row>
    <row r="12691" s="105" customFormat="1" spans="9:12">
      <c r="I12691" s="225"/>
      <c r="K12691" s="9"/>
      <c r="L12691" s="9"/>
    </row>
    <row r="12692" s="105" customFormat="1" spans="9:12">
      <c r="I12692" s="225"/>
      <c r="K12692" s="9"/>
      <c r="L12692" s="9"/>
    </row>
    <row r="12693" s="105" customFormat="1" spans="9:12">
      <c r="I12693" s="225"/>
      <c r="K12693" s="9"/>
      <c r="L12693" s="9"/>
    </row>
    <row r="12694" s="105" customFormat="1" spans="9:12">
      <c r="I12694" s="225"/>
      <c r="K12694" s="9"/>
      <c r="L12694" s="9"/>
    </row>
    <row r="12695" s="105" customFormat="1" spans="9:12">
      <c r="I12695" s="225"/>
      <c r="K12695" s="9"/>
      <c r="L12695" s="9"/>
    </row>
    <row r="12696" s="105" customFormat="1" spans="9:12">
      <c r="I12696" s="225"/>
      <c r="K12696" s="9"/>
      <c r="L12696" s="9"/>
    </row>
    <row r="12697" s="105" customFormat="1" spans="9:12">
      <c r="I12697" s="225"/>
      <c r="K12697" s="9"/>
      <c r="L12697" s="9"/>
    </row>
    <row r="12698" s="105" customFormat="1" spans="9:12">
      <c r="I12698" s="225"/>
      <c r="K12698" s="9"/>
      <c r="L12698" s="9"/>
    </row>
    <row r="12699" s="105" customFormat="1" spans="9:12">
      <c r="I12699" s="225"/>
      <c r="K12699" s="9"/>
      <c r="L12699" s="9"/>
    </row>
    <row r="12700" s="105" customFormat="1" spans="9:12">
      <c r="I12700" s="225"/>
      <c r="K12700" s="9"/>
      <c r="L12700" s="9"/>
    </row>
    <row r="12701" s="105" customFormat="1" spans="9:12">
      <c r="I12701" s="225"/>
      <c r="K12701" s="9"/>
      <c r="L12701" s="9"/>
    </row>
    <row r="12702" s="105" customFormat="1" spans="9:12">
      <c r="I12702" s="225"/>
      <c r="K12702" s="9"/>
      <c r="L12702" s="9"/>
    </row>
    <row r="12703" s="105" customFormat="1" spans="9:12">
      <c r="I12703" s="225"/>
      <c r="K12703" s="9"/>
      <c r="L12703" s="9"/>
    </row>
    <row r="12704" s="105" customFormat="1" spans="9:12">
      <c r="I12704" s="225"/>
      <c r="K12704" s="9"/>
      <c r="L12704" s="9"/>
    </row>
    <row r="12705" s="105" customFormat="1" spans="9:12">
      <c r="I12705" s="225"/>
      <c r="K12705" s="9"/>
      <c r="L12705" s="9"/>
    </row>
    <row r="12706" s="105" customFormat="1" spans="9:12">
      <c r="I12706" s="225"/>
      <c r="K12706" s="9"/>
      <c r="L12706" s="9"/>
    </row>
    <row r="12707" s="105" customFormat="1" spans="9:12">
      <c r="I12707" s="225"/>
      <c r="K12707" s="9"/>
      <c r="L12707" s="9"/>
    </row>
    <row r="12708" s="105" customFormat="1" spans="9:12">
      <c r="I12708" s="225"/>
      <c r="K12708" s="9"/>
      <c r="L12708" s="9"/>
    </row>
    <row r="12709" s="105" customFormat="1" spans="9:12">
      <c r="I12709" s="225"/>
      <c r="K12709" s="9"/>
      <c r="L12709" s="9"/>
    </row>
    <row r="12710" s="105" customFormat="1" spans="9:12">
      <c r="I12710" s="225"/>
      <c r="K12710" s="9"/>
      <c r="L12710" s="9"/>
    </row>
    <row r="12711" s="105" customFormat="1" spans="9:12">
      <c r="I12711" s="225"/>
      <c r="K12711" s="9"/>
      <c r="L12711" s="9"/>
    </row>
    <row r="12712" s="105" customFormat="1" spans="9:12">
      <c r="I12712" s="225"/>
      <c r="K12712" s="9"/>
      <c r="L12712" s="9"/>
    </row>
    <row r="12713" s="105" customFormat="1" spans="9:12">
      <c r="I12713" s="225"/>
      <c r="K12713" s="9"/>
      <c r="L12713" s="9"/>
    </row>
    <row r="12714" s="105" customFormat="1" spans="9:12">
      <c r="I12714" s="225"/>
      <c r="K12714" s="9"/>
      <c r="L12714" s="9"/>
    </row>
    <row r="12715" s="105" customFormat="1" spans="9:12">
      <c r="I12715" s="225"/>
      <c r="K12715" s="9"/>
      <c r="L12715" s="9"/>
    </row>
    <row r="12716" s="105" customFormat="1" spans="9:12">
      <c r="I12716" s="225"/>
      <c r="K12716" s="9"/>
      <c r="L12716" s="9"/>
    </row>
    <row r="12717" s="105" customFormat="1" spans="9:12">
      <c r="I12717" s="225"/>
      <c r="K12717" s="9"/>
      <c r="L12717" s="9"/>
    </row>
    <row r="12718" s="105" customFormat="1" spans="9:12">
      <c r="I12718" s="225"/>
      <c r="K12718" s="9"/>
      <c r="L12718" s="9"/>
    </row>
    <row r="12719" s="105" customFormat="1" spans="9:12">
      <c r="I12719" s="225"/>
      <c r="K12719" s="9"/>
      <c r="L12719" s="9"/>
    </row>
    <row r="12720" s="105" customFormat="1" spans="9:12">
      <c r="I12720" s="225"/>
      <c r="K12720" s="9"/>
      <c r="L12720" s="9"/>
    </row>
    <row r="12721" s="105" customFormat="1" spans="9:12">
      <c r="I12721" s="225"/>
      <c r="K12721" s="9"/>
      <c r="L12721" s="9"/>
    </row>
    <row r="12722" s="105" customFormat="1" spans="9:12">
      <c r="I12722" s="225"/>
      <c r="K12722" s="9"/>
      <c r="L12722" s="9"/>
    </row>
    <row r="12723" s="105" customFormat="1" spans="9:12">
      <c r="I12723" s="225"/>
      <c r="K12723" s="9"/>
      <c r="L12723" s="9"/>
    </row>
    <row r="12724" s="105" customFormat="1" spans="9:12">
      <c r="I12724" s="225"/>
      <c r="K12724" s="9"/>
      <c r="L12724" s="9"/>
    </row>
    <row r="12725" s="105" customFormat="1" spans="9:12">
      <c r="I12725" s="225"/>
      <c r="K12725" s="9"/>
      <c r="L12725" s="9"/>
    </row>
    <row r="12726" s="105" customFormat="1" spans="9:12">
      <c r="I12726" s="225"/>
      <c r="K12726" s="9"/>
      <c r="L12726" s="9"/>
    </row>
    <row r="12727" s="105" customFormat="1" spans="9:12">
      <c r="I12727" s="225"/>
      <c r="K12727" s="9"/>
      <c r="L12727" s="9"/>
    </row>
    <row r="12728" s="105" customFormat="1" spans="9:12">
      <c r="I12728" s="225"/>
      <c r="K12728" s="9"/>
      <c r="L12728" s="9"/>
    </row>
    <row r="12729" s="105" customFormat="1" spans="9:12">
      <c r="I12729" s="225"/>
      <c r="K12729" s="9"/>
      <c r="L12729" s="9"/>
    </row>
    <row r="12730" s="105" customFormat="1" spans="9:12">
      <c r="I12730" s="225"/>
      <c r="K12730" s="9"/>
      <c r="L12730" s="9"/>
    </row>
    <row r="12731" s="105" customFormat="1" spans="9:12">
      <c r="I12731" s="225"/>
      <c r="K12731" s="9"/>
      <c r="L12731" s="9"/>
    </row>
    <row r="12732" s="105" customFormat="1" spans="9:12">
      <c r="I12732" s="225"/>
      <c r="K12732" s="9"/>
      <c r="L12732" s="9"/>
    </row>
    <row r="12733" s="105" customFormat="1" spans="9:12">
      <c r="I12733" s="225"/>
      <c r="K12733" s="9"/>
      <c r="L12733" s="9"/>
    </row>
    <row r="12734" s="105" customFormat="1" spans="9:12">
      <c r="I12734" s="225"/>
      <c r="K12734" s="9"/>
      <c r="L12734" s="9"/>
    </row>
    <row r="12735" s="105" customFormat="1" spans="9:12">
      <c r="I12735" s="225"/>
      <c r="K12735" s="9"/>
      <c r="L12735" s="9"/>
    </row>
    <row r="12736" s="105" customFormat="1" spans="9:12">
      <c r="I12736" s="225"/>
      <c r="K12736" s="9"/>
      <c r="L12736" s="9"/>
    </row>
    <row r="12737" s="105" customFormat="1" spans="9:12">
      <c r="I12737" s="225"/>
      <c r="K12737" s="9"/>
      <c r="L12737" s="9"/>
    </row>
    <row r="12738" s="105" customFormat="1" spans="9:12">
      <c r="I12738" s="225"/>
      <c r="K12738" s="9"/>
      <c r="L12738" s="9"/>
    </row>
    <row r="12739" s="105" customFormat="1" spans="9:12">
      <c r="I12739" s="225"/>
      <c r="K12739" s="9"/>
      <c r="L12739" s="9"/>
    </row>
    <row r="12740" s="105" customFormat="1" spans="9:12">
      <c r="I12740" s="225"/>
      <c r="K12740" s="9"/>
      <c r="L12740" s="9"/>
    </row>
    <row r="12741" s="105" customFormat="1" spans="9:12">
      <c r="I12741" s="225"/>
      <c r="K12741" s="9"/>
      <c r="L12741" s="9"/>
    </row>
    <row r="12742" s="105" customFormat="1" spans="9:12">
      <c r="I12742" s="225"/>
      <c r="K12742" s="9"/>
      <c r="L12742" s="9"/>
    </row>
    <row r="12743" s="105" customFormat="1" spans="9:12">
      <c r="I12743" s="225"/>
      <c r="K12743" s="9"/>
      <c r="L12743" s="9"/>
    </row>
    <row r="12744" s="105" customFormat="1" spans="9:12">
      <c r="I12744" s="225"/>
      <c r="K12744" s="9"/>
      <c r="L12744" s="9"/>
    </row>
    <row r="12745" s="105" customFormat="1" spans="9:12">
      <c r="I12745" s="225"/>
      <c r="K12745" s="9"/>
      <c r="L12745" s="9"/>
    </row>
    <row r="12746" s="105" customFormat="1" spans="9:12">
      <c r="I12746" s="225"/>
      <c r="K12746" s="9"/>
      <c r="L12746" s="9"/>
    </row>
    <row r="12747" s="105" customFormat="1" spans="9:12">
      <c r="I12747" s="225"/>
      <c r="K12747" s="9"/>
      <c r="L12747" s="9"/>
    </row>
    <row r="12748" s="105" customFormat="1" spans="9:12">
      <c r="I12748" s="225"/>
      <c r="K12748" s="9"/>
      <c r="L12748" s="9"/>
    </row>
    <row r="12749" s="105" customFormat="1" spans="9:12">
      <c r="I12749" s="225"/>
      <c r="K12749" s="9"/>
      <c r="L12749" s="9"/>
    </row>
    <row r="12750" s="105" customFormat="1" spans="9:12">
      <c r="I12750" s="225"/>
      <c r="K12750" s="9"/>
      <c r="L12750" s="9"/>
    </row>
    <row r="12751" s="105" customFormat="1" spans="9:12">
      <c r="I12751" s="225"/>
      <c r="K12751" s="9"/>
      <c r="L12751" s="9"/>
    </row>
    <row r="12752" s="105" customFormat="1" spans="9:12">
      <c r="I12752" s="225"/>
      <c r="K12752" s="9"/>
      <c r="L12752" s="9"/>
    </row>
    <row r="12753" s="105" customFormat="1" spans="9:12">
      <c r="I12753" s="225"/>
      <c r="K12753" s="9"/>
      <c r="L12753" s="9"/>
    </row>
    <row r="12754" s="105" customFormat="1" spans="9:12">
      <c r="I12754" s="225"/>
      <c r="K12754" s="9"/>
      <c r="L12754" s="9"/>
    </row>
    <row r="12755" s="105" customFormat="1" spans="9:12">
      <c r="I12755" s="225"/>
      <c r="K12755" s="9"/>
      <c r="L12755" s="9"/>
    </row>
    <row r="12756" s="105" customFormat="1" spans="9:12">
      <c r="I12756" s="225"/>
      <c r="K12756" s="9"/>
      <c r="L12756" s="9"/>
    </row>
    <row r="12757" s="105" customFormat="1" spans="9:12">
      <c r="I12757" s="225"/>
      <c r="K12757" s="9"/>
      <c r="L12757" s="9"/>
    </row>
    <row r="12758" s="105" customFormat="1" spans="9:12">
      <c r="I12758" s="225"/>
      <c r="K12758" s="9"/>
      <c r="L12758" s="9"/>
    </row>
    <row r="12759" s="105" customFormat="1" spans="9:12">
      <c r="I12759" s="225"/>
      <c r="K12759" s="9"/>
      <c r="L12759" s="9"/>
    </row>
    <row r="12760" s="105" customFormat="1" spans="9:12">
      <c r="I12760" s="225"/>
      <c r="K12760" s="9"/>
      <c r="L12760" s="9"/>
    </row>
    <row r="12761" s="105" customFormat="1" spans="9:12">
      <c r="I12761" s="225"/>
      <c r="K12761" s="9"/>
      <c r="L12761" s="9"/>
    </row>
    <row r="12762" s="105" customFormat="1" spans="9:12">
      <c r="I12762" s="225"/>
      <c r="K12762" s="9"/>
      <c r="L12762" s="9"/>
    </row>
    <row r="12763" s="105" customFormat="1" spans="9:12">
      <c r="I12763" s="225"/>
      <c r="K12763" s="9"/>
      <c r="L12763" s="9"/>
    </row>
    <row r="12764" s="105" customFormat="1" spans="9:12">
      <c r="I12764" s="225"/>
      <c r="K12764" s="9"/>
      <c r="L12764" s="9"/>
    </row>
    <row r="12765" s="105" customFormat="1" spans="9:12">
      <c r="I12765" s="225"/>
      <c r="K12765" s="9"/>
      <c r="L12765" s="9"/>
    </row>
    <row r="12766" s="105" customFormat="1" spans="9:12">
      <c r="I12766" s="225"/>
      <c r="K12766" s="9"/>
      <c r="L12766" s="9"/>
    </row>
    <row r="12767" s="105" customFormat="1" spans="9:12">
      <c r="I12767" s="225"/>
      <c r="K12767" s="9"/>
      <c r="L12767" s="9"/>
    </row>
    <row r="12768" s="105" customFormat="1" spans="9:12">
      <c r="I12768" s="225"/>
      <c r="K12768" s="9"/>
      <c r="L12768" s="9"/>
    </row>
    <row r="12769" s="105" customFormat="1" spans="9:12">
      <c r="I12769" s="225"/>
      <c r="K12769" s="9"/>
      <c r="L12769" s="9"/>
    </row>
    <row r="12770" s="105" customFormat="1" spans="9:12">
      <c r="I12770" s="225"/>
      <c r="K12770" s="9"/>
      <c r="L12770" s="9"/>
    </row>
    <row r="12771" s="105" customFormat="1" spans="9:12">
      <c r="I12771" s="225"/>
      <c r="K12771" s="9"/>
      <c r="L12771" s="9"/>
    </row>
    <row r="12772" s="105" customFormat="1" spans="9:12">
      <c r="I12772" s="225"/>
      <c r="K12772" s="9"/>
      <c r="L12772" s="9"/>
    </row>
    <row r="12773" s="105" customFormat="1" spans="9:12">
      <c r="I12773" s="225"/>
      <c r="K12773" s="9"/>
      <c r="L12773" s="9"/>
    </row>
    <row r="12774" s="105" customFormat="1" spans="9:12">
      <c r="I12774" s="225"/>
      <c r="K12774" s="9"/>
      <c r="L12774" s="9"/>
    </row>
    <row r="12775" s="105" customFormat="1" spans="9:12">
      <c r="I12775" s="225"/>
      <c r="K12775" s="9"/>
      <c r="L12775" s="9"/>
    </row>
    <row r="12776" s="105" customFormat="1" spans="9:12">
      <c r="I12776" s="225"/>
      <c r="K12776" s="9"/>
      <c r="L12776" s="9"/>
    </row>
    <row r="12777" s="105" customFormat="1" spans="9:12">
      <c r="I12777" s="225"/>
      <c r="K12777" s="9"/>
      <c r="L12777" s="9"/>
    </row>
    <row r="12778" s="105" customFormat="1" spans="9:12">
      <c r="I12778" s="225"/>
      <c r="K12778" s="9"/>
      <c r="L12778" s="9"/>
    </row>
    <row r="12779" s="105" customFormat="1" spans="9:12">
      <c r="I12779" s="225"/>
      <c r="K12779" s="9"/>
      <c r="L12779" s="9"/>
    </row>
    <row r="12780" s="105" customFormat="1" spans="9:12">
      <c r="I12780" s="225"/>
      <c r="K12780" s="9"/>
      <c r="L12780" s="9"/>
    </row>
    <row r="12781" s="105" customFormat="1" spans="9:12">
      <c r="I12781" s="225"/>
      <c r="K12781" s="9"/>
      <c r="L12781" s="9"/>
    </row>
    <row r="12782" s="105" customFormat="1" spans="9:12">
      <c r="I12782" s="225"/>
      <c r="K12782" s="9"/>
      <c r="L12782" s="9"/>
    </row>
    <row r="12783" s="105" customFormat="1" spans="9:12">
      <c r="I12783" s="225"/>
      <c r="K12783" s="9"/>
      <c r="L12783" s="9"/>
    </row>
    <row r="12784" s="105" customFormat="1" spans="9:12">
      <c r="I12784" s="225"/>
      <c r="K12784" s="9"/>
      <c r="L12784" s="9"/>
    </row>
    <row r="12785" s="105" customFormat="1" spans="9:12">
      <c r="I12785" s="225"/>
      <c r="K12785" s="9"/>
      <c r="L12785" s="9"/>
    </row>
    <row r="12786" s="105" customFormat="1" spans="9:12">
      <c r="I12786" s="225"/>
      <c r="K12786" s="9"/>
      <c r="L12786" s="9"/>
    </row>
    <row r="12787" s="105" customFormat="1" spans="9:12">
      <c r="I12787" s="225"/>
      <c r="K12787" s="9"/>
      <c r="L12787" s="9"/>
    </row>
    <row r="12788" s="105" customFormat="1" spans="9:12">
      <c r="I12788" s="225"/>
      <c r="K12788" s="9"/>
      <c r="L12788" s="9"/>
    </row>
    <row r="12789" s="105" customFormat="1" spans="9:12">
      <c r="I12789" s="225"/>
      <c r="K12789" s="9"/>
      <c r="L12789" s="9"/>
    </row>
    <row r="12790" s="105" customFormat="1" spans="9:12">
      <c r="I12790" s="225"/>
      <c r="K12790" s="9"/>
      <c r="L12790" s="9"/>
    </row>
    <row r="12791" s="105" customFormat="1" spans="9:12">
      <c r="I12791" s="225"/>
      <c r="K12791" s="9"/>
      <c r="L12791" s="9"/>
    </row>
    <row r="12792" s="105" customFormat="1" spans="9:12">
      <c r="I12792" s="225"/>
      <c r="K12792" s="9"/>
      <c r="L12792" s="9"/>
    </row>
    <row r="12793" s="105" customFormat="1" spans="9:12">
      <c r="I12793" s="225"/>
      <c r="K12793" s="9"/>
      <c r="L12793" s="9"/>
    </row>
    <row r="12794" s="105" customFormat="1" spans="9:12">
      <c r="I12794" s="225"/>
      <c r="K12794" s="9"/>
      <c r="L12794" s="9"/>
    </row>
    <row r="12795" s="105" customFormat="1" spans="9:12">
      <c r="I12795" s="225"/>
      <c r="K12795" s="9"/>
      <c r="L12795" s="9"/>
    </row>
    <row r="12796" s="105" customFormat="1" spans="9:12">
      <c r="I12796" s="225"/>
      <c r="K12796" s="9"/>
      <c r="L12796" s="9"/>
    </row>
    <row r="12797" s="105" customFormat="1" spans="9:12">
      <c r="I12797" s="225"/>
      <c r="K12797" s="9"/>
      <c r="L12797" s="9"/>
    </row>
    <row r="12798" s="105" customFormat="1" spans="9:12">
      <c r="I12798" s="225"/>
      <c r="K12798" s="9"/>
      <c r="L12798" s="9"/>
    </row>
    <row r="12799" s="105" customFormat="1" spans="9:12">
      <c r="I12799" s="225"/>
      <c r="K12799" s="9"/>
      <c r="L12799" s="9"/>
    </row>
    <row r="12800" s="105" customFormat="1" spans="9:12">
      <c r="I12800" s="225"/>
      <c r="K12800" s="9"/>
      <c r="L12800" s="9"/>
    </row>
    <row r="12801" s="105" customFormat="1" spans="9:12">
      <c r="I12801" s="225"/>
      <c r="K12801" s="9"/>
      <c r="L12801" s="9"/>
    </row>
    <row r="12802" s="105" customFormat="1" spans="9:12">
      <c r="I12802" s="225"/>
      <c r="K12802" s="9"/>
      <c r="L12802" s="9"/>
    </row>
    <row r="12803" s="105" customFormat="1" spans="9:12">
      <c r="I12803" s="225"/>
      <c r="K12803" s="9"/>
      <c r="L12803" s="9"/>
    </row>
    <row r="12804" s="105" customFormat="1" spans="9:12">
      <c r="I12804" s="225"/>
      <c r="K12804" s="9"/>
      <c r="L12804" s="9"/>
    </row>
    <row r="12805" s="105" customFormat="1" spans="9:12">
      <c r="I12805" s="225"/>
      <c r="K12805" s="9"/>
      <c r="L12805" s="9"/>
    </row>
    <row r="12806" s="105" customFormat="1" spans="9:12">
      <c r="I12806" s="225"/>
      <c r="K12806" s="9"/>
      <c r="L12806" s="9"/>
    </row>
    <row r="12807" s="105" customFormat="1" spans="9:12">
      <c r="I12807" s="225"/>
      <c r="K12807" s="9"/>
      <c r="L12807" s="9"/>
    </row>
    <row r="12808" s="105" customFormat="1" spans="9:12">
      <c r="I12808" s="225"/>
      <c r="K12808" s="9"/>
      <c r="L12808" s="9"/>
    </row>
    <row r="12809" s="105" customFormat="1" spans="9:12">
      <c r="I12809" s="225"/>
      <c r="K12809" s="9"/>
      <c r="L12809" s="9"/>
    </row>
    <row r="12810" s="105" customFormat="1" spans="9:12">
      <c r="I12810" s="225"/>
      <c r="K12810" s="9"/>
      <c r="L12810" s="9"/>
    </row>
    <row r="12811" s="105" customFormat="1" spans="9:12">
      <c r="I12811" s="225"/>
      <c r="K12811" s="9"/>
      <c r="L12811" s="9"/>
    </row>
    <row r="12812" s="105" customFormat="1" spans="9:12">
      <c r="I12812" s="225"/>
      <c r="K12812" s="9"/>
      <c r="L12812" s="9"/>
    </row>
    <row r="12813" s="105" customFormat="1" spans="9:12">
      <c r="I12813" s="225"/>
      <c r="K12813" s="9"/>
      <c r="L12813" s="9"/>
    </row>
    <row r="12814" s="105" customFormat="1" spans="9:12">
      <c r="I12814" s="225"/>
      <c r="K12814" s="9"/>
      <c r="L12814" s="9"/>
    </row>
    <row r="12815" s="105" customFormat="1" spans="9:12">
      <c r="I12815" s="225"/>
      <c r="K12815" s="9"/>
      <c r="L12815" s="9"/>
    </row>
    <row r="12816" s="105" customFormat="1" spans="9:12">
      <c r="I12816" s="225"/>
      <c r="K12816" s="9"/>
      <c r="L12816" s="9"/>
    </row>
    <row r="12817" s="105" customFormat="1" spans="9:12">
      <c r="I12817" s="225"/>
      <c r="K12817" s="9"/>
      <c r="L12817" s="9"/>
    </row>
    <row r="12818" s="105" customFormat="1" spans="9:12">
      <c r="I12818" s="225"/>
      <c r="K12818" s="9"/>
      <c r="L12818" s="9"/>
    </row>
    <row r="12819" s="105" customFormat="1" spans="9:12">
      <c r="I12819" s="225"/>
      <c r="K12819" s="9"/>
      <c r="L12819" s="9"/>
    </row>
    <row r="12820" s="105" customFormat="1" spans="9:12">
      <c r="I12820" s="225"/>
      <c r="K12820" s="9"/>
      <c r="L12820" s="9"/>
    </row>
    <row r="12821" s="105" customFormat="1" spans="9:12">
      <c r="I12821" s="225"/>
      <c r="K12821" s="9"/>
      <c r="L12821" s="9"/>
    </row>
    <row r="12822" s="105" customFormat="1" spans="9:12">
      <c r="I12822" s="225"/>
      <c r="K12822" s="9"/>
      <c r="L12822" s="9"/>
    </row>
    <row r="12823" s="105" customFormat="1" spans="9:12">
      <c r="I12823" s="225"/>
      <c r="K12823" s="9"/>
      <c r="L12823" s="9"/>
    </row>
    <row r="12824" s="105" customFormat="1" spans="9:12">
      <c r="I12824" s="225"/>
      <c r="K12824" s="9"/>
      <c r="L12824" s="9"/>
    </row>
    <row r="12825" s="105" customFormat="1" spans="9:12">
      <c r="I12825" s="225"/>
      <c r="K12825" s="9"/>
      <c r="L12825" s="9"/>
    </row>
    <row r="12826" s="105" customFormat="1" spans="9:12">
      <c r="I12826" s="225"/>
      <c r="K12826" s="9"/>
      <c r="L12826" s="9"/>
    </row>
    <row r="12827" s="105" customFormat="1" spans="9:12">
      <c r="I12827" s="225"/>
      <c r="K12827" s="9"/>
      <c r="L12827" s="9"/>
    </row>
    <row r="12828" s="105" customFormat="1" spans="9:12">
      <c r="I12828" s="225"/>
      <c r="K12828" s="9"/>
      <c r="L12828" s="9"/>
    </row>
    <row r="12829" s="105" customFormat="1" spans="9:12">
      <c r="I12829" s="225"/>
      <c r="K12829" s="9"/>
      <c r="L12829" s="9"/>
    </row>
    <row r="12830" s="105" customFormat="1" spans="9:12">
      <c r="I12830" s="225"/>
      <c r="K12830" s="9"/>
      <c r="L12830" s="9"/>
    </row>
    <row r="12831" s="105" customFormat="1" spans="9:12">
      <c r="I12831" s="225"/>
      <c r="K12831" s="9"/>
      <c r="L12831" s="9"/>
    </row>
    <row r="12832" s="105" customFormat="1" spans="9:12">
      <c r="I12832" s="225"/>
      <c r="K12832" s="9"/>
      <c r="L12832" s="9"/>
    </row>
    <row r="12833" s="105" customFormat="1" spans="9:12">
      <c r="I12833" s="225"/>
      <c r="K12833" s="9"/>
      <c r="L12833" s="9"/>
    </row>
    <row r="12834" s="105" customFormat="1" spans="9:12">
      <c r="I12834" s="225"/>
      <c r="K12834" s="9"/>
      <c r="L12834" s="9"/>
    </row>
    <row r="12835" s="105" customFormat="1" spans="9:12">
      <c r="I12835" s="225"/>
      <c r="K12835" s="9"/>
      <c r="L12835" s="9"/>
    </row>
    <row r="12836" s="105" customFormat="1" spans="9:12">
      <c r="I12836" s="225"/>
      <c r="K12836" s="9"/>
      <c r="L12836" s="9"/>
    </row>
    <row r="12837" s="105" customFormat="1" spans="9:12">
      <c r="I12837" s="225"/>
      <c r="K12837" s="9"/>
      <c r="L12837" s="9"/>
    </row>
    <row r="12838" s="105" customFormat="1" spans="9:12">
      <c r="I12838" s="225"/>
      <c r="K12838" s="9"/>
      <c r="L12838" s="9"/>
    </row>
    <row r="12839" s="105" customFormat="1" spans="9:12">
      <c r="I12839" s="225"/>
      <c r="K12839" s="9"/>
      <c r="L12839" s="9"/>
    </row>
    <row r="12840" s="105" customFormat="1" spans="9:12">
      <c r="I12840" s="225"/>
      <c r="K12840" s="9"/>
      <c r="L12840" s="9"/>
    </row>
    <row r="12841" s="105" customFormat="1" spans="9:12">
      <c r="I12841" s="225"/>
      <c r="K12841" s="9"/>
      <c r="L12841" s="9"/>
    </row>
    <row r="12842" s="105" customFormat="1" spans="9:12">
      <c r="I12842" s="225"/>
      <c r="K12842" s="9"/>
      <c r="L12842" s="9"/>
    </row>
    <row r="12843" s="105" customFormat="1" spans="9:12">
      <c r="I12843" s="225"/>
      <c r="K12843" s="9"/>
      <c r="L12843" s="9"/>
    </row>
    <row r="12844" s="105" customFormat="1" spans="9:12">
      <c r="I12844" s="225"/>
      <c r="K12844" s="9"/>
      <c r="L12844" s="9"/>
    </row>
    <row r="12845" s="105" customFormat="1" spans="9:12">
      <c r="I12845" s="225"/>
      <c r="K12845" s="9"/>
      <c r="L12845" s="9"/>
    </row>
    <row r="12846" s="105" customFormat="1" spans="9:12">
      <c r="I12846" s="225"/>
      <c r="K12846" s="9"/>
      <c r="L12846" s="9"/>
    </row>
    <row r="12847" s="105" customFormat="1" spans="9:12">
      <c r="I12847" s="225"/>
      <c r="K12847" s="9"/>
      <c r="L12847" s="9"/>
    </row>
    <row r="12848" s="105" customFormat="1" spans="9:12">
      <c r="I12848" s="225"/>
      <c r="K12848" s="9"/>
      <c r="L12848" s="9"/>
    </row>
    <row r="12849" s="105" customFormat="1" spans="9:12">
      <c r="I12849" s="225"/>
      <c r="K12849" s="9"/>
      <c r="L12849" s="9"/>
    </row>
    <row r="12850" s="105" customFormat="1" spans="9:12">
      <c r="I12850" s="225"/>
      <c r="K12850" s="9"/>
      <c r="L12850" s="9"/>
    </row>
    <row r="12851" s="105" customFormat="1" spans="9:12">
      <c r="I12851" s="225"/>
      <c r="K12851" s="9"/>
      <c r="L12851" s="9"/>
    </row>
    <row r="12852" s="105" customFormat="1" spans="9:12">
      <c r="I12852" s="225"/>
      <c r="K12852" s="9"/>
      <c r="L12852" s="9"/>
    </row>
    <row r="12853" s="105" customFormat="1" spans="9:12">
      <c r="I12853" s="225"/>
      <c r="K12853" s="9"/>
      <c r="L12853" s="9"/>
    </row>
    <row r="12854" s="105" customFormat="1" spans="9:12">
      <c r="I12854" s="225"/>
      <c r="K12854" s="9"/>
      <c r="L12854" s="9"/>
    </row>
    <row r="12855" s="105" customFormat="1" spans="9:12">
      <c r="I12855" s="225"/>
      <c r="K12855" s="9"/>
      <c r="L12855" s="9"/>
    </row>
    <row r="12856" s="105" customFormat="1" spans="9:12">
      <c r="I12856" s="225"/>
      <c r="K12856" s="9"/>
      <c r="L12856" s="9"/>
    </row>
    <row r="12857" s="105" customFormat="1" spans="9:12">
      <c r="I12857" s="225"/>
      <c r="K12857" s="9"/>
      <c r="L12857" s="9"/>
    </row>
    <row r="12858" s="105" customFormat="1" spans="9:12">
      <c r="I12858" s="225"/>
      <c r="K12858" s="9"/>
      <c r="L12858" s="9"/>
    </row>
    <row r="12859" s="105" customFormat="1" spans="9:12">
      <c r="I12859" s="225"/>
      <c r="K12859" s="9"/>
      <c r="L12859" s="9"/>
    </row>
    <row r="12860" s="105" customFormat="1" spans="9:12">
      <c r="I12860" s="225"/>
      <c r="K12860" s="9"/>
      <c r="L12860" s="9"/>
    </row>
    <row r="12861" s="105" customFormat="1" spans="9:12">
      <c r="I12861" s="225"/>
      <c r="K12861" s="9"/>
      <c r="L12861" s="9"/>
    </row>
    <row r="12862" s="105" customFormat="1" spans="9:12">
      <c r="I12862" s="225"/>
      <c r="K12862" s="9"/>
      <c r="L12862" s="9"/>
    </row>
    <row r="12863" s="105" customFormat="1" spans="9:12">
      <c r="I12863" s="225"/>
      <c r="K12863" s="9"/>
      <c r="L12863" s="9"/>
    </row>
    <row r="12864" s="105" customFormat="1" spans="9:12">
      <c r="I12864" s="225"/>
      <c r="K12864" s="9"/>
      <c r="L12864" s="9"/>
    </row>
    <row r="12865" s="105" customFormat="1" spans="9:12">
      <c r="I12865" s="225"/>
      <c r="K12865" s="9"/>
      <c r="L12865" s="9"/>
    </row>
    <row r="12866" s="105" customFormat="1" spans="9:12">
      <c r="I12866" s="225"/>
      <c r="K12866" s="9"/>
      <c r="L12866" s="9"/>
    </row>
    <row r="12867" s="105" customFormat="1" spans="9:12">
      <c r="I12867" s="225"/>
      <c r="K12867" s="9"/>
      <c r="L12867" s="9"/>
    </row>
    <row r="12868" s="105" customFormat="1" spans="9:12">
      <c r="I12868" s="225"/>
      <c r="K12868" s="9"/>
      <c r="L12868" s="9"/>
    </row>
    <row r="12869" s="105" customFormat="1" spans="9:12">
      <c r="I12869" s="225"/>
      <c r="K12869" s="9"/>
      <c r="L12869" s="9"/>
    </row>
    <row r="12870" s="105" customFormat="1" spans="9:12">
      <c r="I12870" s="225"/>
      <c r="K12870" s="9"/>
      <c r="L12870" s="9"/>
    </row>
    <row r="12871" s="105" customFormat="1" spans="9:12">
      <c r="I12871" s="225"/>
      <c r="K12871" s="9"/>
      <c r="L12871" s="9"/>
    </row>
    <row r="12872" s="105" customFormat="1" spans="9:12">
      <c r="I12872" s="225"/>
      <c r="K12872" s="9"/>
      <c r="L12872" s="9"/>
    </row>
    <row r="12873" s="105" customFormat="1" spans="9:12">
      <c r="I12873" s="225"/>
      <c r="K12873" s="9"/>
      <c r="L12873" s="9"/>
    </row>
    <row r="12874" s="105" customFormat="1" spans="9:12">
      <c r="I12874" s="225"/>
      <c r="K12874" s="9"/>
      <c r="L12874" s="9"/>
    </row>
    <row r="12875" s="105" customFormat="1" spans="9:12">
      <c r="I12875" s="225"/>
      <c r="K12875" s="9"/>
      <c r="L12875" s="9"/>
    </row>
    <row r="12876" s="105" customFormat="1" spans="9:12">
      <c r="I12876" s="225"/>
      <c r="K12876" s="9"/>
      <c r="L12876" s="9"/>
    </row>
    <row r="12877" s="105" customFormat="1" spans="9:12">
      <c r="I12877" s="225"/>
      <c r="K12877" s="9"/>
      <c r="L12877" s="9"/>
    </row>
    <row r="12878" s="105" customFormat="1" spans="9:12">
      <c r="I12878" s="225"/>
      <c r="K12878" s="9"/>
      <c r="L12878" s="9"/>
    </row>
    <row r="12879" s="105" customFormat="1" spans="9:12">
      <c r="I12879" s="225"/>
      <c r="K12879" s="9"/>
      <c r="L12879" s="9"/>
    </row>
    <row r="12880" s="105" customFormat="1" spans="9:12">
      <c r="I12880" s="225"/>
      <c r="K12880" s="9"/>
      <c r="L12880" s="9"/>
    </row>
    <row r="12881" s="105" customFormat="1" spans="9:12">
      <c r="I12881" s="225"/>
      <c r="K12881" s="9"/>
      <c r="L12881" s="9"/>
    </row>
    <row r="12882" s="105" customFormat="1" spans="9:12">
      <c r="I12882" s="225"/>
      <c r="K12882" s="9"/>
      <c r="L12882" s="9"/>
    </row>
    <row r="12883" s="105" customFormat="1" spans="9:12">
      <c r="I12883" s="225"/>
      <c r="K12883" s="9"/>
      <c r="L12883" s="9"/>
    </row>
    <row r="12884" s="105" customFormat="1" spans="9:12">
      <c r="I12884" s="225"/>
      <c r="K12884" s="9"/>
      <c r="L12884" s="9"/>
    </row>
    <row r="12885" s="105" customFormat="1" spans="9:12">
      <c r="I12885" s="225"/>
      <c r="K12885" s="9"/>
      <c r="L12885" s="9"/>
    </row>
    <row r="12886" s="105" customFormat="1" spans="9:12">
      <c r="I12886" s="225"/>
      <c r="K12886" s="9"/>
      <c r="L12886" s="9"/>
    </row>
    <row r="12887" s="105" customFormat="1" spans="9:12">
      <c r="I12887" s="225"/>
      <c r="K12887" s="9"/>
      <c r="L12887" s="9"/>
    </row>
    <row r="12888" s="105" customFormat="1" spans="9:12">
      <c r="I12888" s="225"/>
      <c r="K12888" s="9"/>
      <c r="L12888" s="9"/>
    </row>
    <row r="12889" s="105" customFormat="1" spans="9:12">
      <c r="I12889" s="225"/>
      <c r="K12889" s="9"/>
      <c r="L12889" s="9"/>
    </row>
    <row r="12890" s="105" customFormat="1" spans="9:12">
      <c r="I12890" s="225"/>
      <c r="K12890" s="9"/>
      <c r="L12890" s="9"/>
    </row>
    <row r="12891" s="105" customFormat="1" spans="9:12">
      <c r="I12891" s="225"/>
      <c r="K12891" s="9"/>
      <c r="L12891" s="9"/>
    </row>
    <row r="12892" s="105" customFormat="1" spans="9:12">
      <c r="I12892" s="225"/>
      <c r="K12892" s="9"/>
      <c r="L12892" s="9"/>
    </row>
    <row r="12893" s="105" customFormat="1" spans="9:12">
      <c r="I12893" s="225"/>
      <c r="K12893" s="9"/>
      <c r="L12893" s="9"/>
    </row>
    <row r="12894" s="105" customFormat="1" spans="9:12">
      <c r="I12894" s="225"/>
      <c r="K12894" s="9"/>
      <c r="L12894" s="9"/>
    </row>
    <row r="12895" s="105" customFormat="1" spans="9:12">
      <c r="I12895" s="225"/>
      <c r="K12895" s="9"/>
      <c r="L12895" s="9"/>
    </row>
    <row r="12896" s="105" customFormat="1" spans="9:12">
      <c r="I12896" s="225"/>
      <c r="K12896" s="9"/>
      <c r="L12896" s="9"/>
    </row>
    <row r="12897" s="105" customFormat="1" spans="9:12">
      <c r="I12897" s="225"/>
      <c r="K12897" s="9"/>
      <c r="L12897" s="9"/>
    </row>
    <row r="12898" s="105" customFormat="1" spans="9:12">
      <c r="I12898" s="225"/>
      <c r="K12898" s="9"/>
      <c r="L12898" s="9"/>
    </row>
    <row r="12899" s="105" customFormat="1" spans="9:12">
      <c r="I12899" s="225"/>
      <c r="K12899" s="9"/>
      <c r="L12899" s="9"/>
    </row>
    <row r="12900" s="105" customFormat="1" spans="9:12">
      <c r="I12900" s="225"/>
      <c r="K12900" s="9"/>
      <c r="L12900" s="9"/>
    </row>
    <row r="12901" s="105" customFormat="1" spans="9:12">
      <c r="I12901" s="225"/>
      <c r="K12901" s="9"/>
      <c r="L12901" s="9"/>
    </row>
    <row r="12902" s="105" customFormat="1" spans="9:12">
      <c r="I12902" s="225"/>
      <c r="K12902" s="9"/>
      <c r="L12902" s="9"/>
    </row>
    <row r="12903" s="105" customFormat="1" spans="9:12">
      <c r="I12903" s="225"/>
      <c r="K12903" s="9"/>
      <c r="L12903" s="9"/>
    </row>
    <row r="12904" s="105" customFormat="1" spans="9:12">
      <c r="I12904" s="225"/>
      <c r="K12904" s="9"/>
      <c r="L12904" s="9"/>
    </row>
    <row r="12905" s="105" customFormat="1" spans="9:12">
      <c r="I12905" s="225"/>
      <c r="K12905" s="9"/>
      <c r="L12905" s="9"/>
    </row>
    <row r="12906" s="105" customFormat="1" spans="9:12">
      <c r="I12906" s="225"/>
      <c r="K12906" s="9"/>
      <c r="L12906" s="9"/>
    </row>
    <row r="12907" s="105" customFormat="1" spans="9:12">
      <c r="I12907" s="225"/>
      <c r="K12907" s="9"/>
      <c r="L12907" s="9"/>
    </row>
    <row r="12908" s="105" customFormat="1" spans="9:12">
      <c r="I12908" s="225"/>
      <c r="K12908" s="9"/>
      <c r="L12908" s="9"/>
    </row>
    <row r="12909" s="105" customFormat="1" spans="9:12">
      <c r="I12909" s="225"/>
      <c r="K12909" s="9"/>
      <c r="L12909" s="9"/>
    </row>
    <row r="12910" s="105" customFormat="1" spans="9:12">
      <c r="I12910" s="225"/>
      <c r="K12910" s="9"/>
      <c r="L12910" s="9"/>
    </row>
    <row r="12911" s="105" customFormat="1" spans="9:12">
      <c r="I12911" s="225"/>
      <c r="K12911" s="9"/>
      <c r="L12911" s="9"/>
    </row>
    <row r="12912" s="105" customFormat="1" spans="9:12">
      <c r="I12912" s="225"/>
      <c r="K12912" s="9"/>
      <c r="L12912" s="9"/>
    </row>
    <row r="12913" s="105" customFormat="1" spans="9:12">
      <c r="I12913" s="225"/>
      <c r="K12913" s="9"/>
      <c r="L12913" s="9"/>
    </row>
    <row r="12914" s="105" customFormat="1" spans="9:12">
      <c r="I12914" s="225"/>
      <c r="K12914" s="9"/>
      <c r="L12914" s="9"/>
    </row>
    <row r="12915" s="105" customFormat="1" spans="9:12">
      <c r="I12915" s="225"/>
      <c r="K12915" s="9"/>
      <c r="L12915" s="9"/>
    </row>
    <row r="12916" s="105" customFormat="1" spans="9:12">
      <c r="I12916" s="225"/>
      <c r="K12916" s="9"/>
      <c r="L12916" s="9"/>
    </row>
    <row r="12917" s="105" customFormat="1" spans="9:12">
      <c r="I12917" s="225"/>
      <c r="K12917" s="9"/>
      <c r="L12917" s="9"/>
    </row>
    <row r="12918" s="105" customFormat="1" spans="9:12">
      <c r="I12918" s="225"/>
      <c r="K12918" s="9"/>
      <c r="L12918" s="9"/>
    </row>
    <row r="12919" s="105" customFormat="1" spans="9:12">
      <c r="I12919" s="225"/>
      <c r="K12919" s="9"/>
      <c r="L12919" s="9"/>
    </row>
    <row r="12920" s="105" customFormat="1" spans="9:12">
      <c r="I12920" s="225"/>
      <c r="K12920" s="9"/>
      <c r="L12920" s="9"/>
    </row>
    <row r="12921" s="105" customFormat="1" spans="9:12">
      <c r="I12921" s="225"/>
      <c r="K12921" s="9"/>
      <c r="L12921" s="9"/>
    </row>
    <row r="12922" s="105" customFormat="1" spans="9:12">
      <c r="I12922" s="225"/>
      <c r="K12922" s="9"/>
      <c r="L12922" s="9"/>
    </row>
    <row r="12923" s="105" customFormat="1" spans="9:12">
      <c r="I12923" s="225"/>
      <c r="K12923" s="9"/>
      <c r="L12923" s="9"/>
    </row>
    <row r="12924" s="105" customFormat="1" spans="9:12">
      <c r="I12924" s="225"/>
      <c r="K12924" s="9"/>
      <c r="L12924" s="9"/>
    </row>
    <row r="12925" s="105" customFormat="1" spans="9:12">
      <c r="I12925" s="225"/>
      <c r="K12925" s="9"/>
      <c r="L12925" s="9"/>
    </row>
    <row r="12926" s="105" customFormat="1" spans="9:12">
      <c r="I12926" s="225"/>
      <c r="K12926" s="9"/>
      <c r="L12926" s="9"/>
    </row>
    <row r="12927" s="105" customFormat="1" spans="9:12">
      <c r="I12927" s="225"/>
      <c r="K12927" s="9"/>
      <c r="L12927" s="9"/>
    </row>
    <row r="12928" s="105" customFormat="1" spans="9:12">
      <c r="I12928" s="225"/>
      <c r="K12928" s="9"/>
      <c r="L12928" s="9"/>
    </row>
    <row r="12929" s="105" customFormat="1" spans="9:12">
      <c r="I12929" s="225"/>
      <c r="K12929" s="9"/>
      <c r="L12929" s="9"/>
    </row>
    <row r="12930" s="105" customFormat="1" spans="9:12">
      <c r="I12930" s="225"/>
      <c r="K12930" s="9"/>
      <c r="L12930" s="9"/>
    </row>
    <row r="12931" s="105" customFormat="1" spans="9:12">
      <c r="I12931" s="225"/>
      <c r="K12931" s="9"/>
      <c r="L12931" s="9"/>
    </row>
    <row r="12932" s="105" customFormat="1" spans="9:12">
      <c r="I12932" s="225"/>
      <c r="K12932" s="9"/>
      <c r="L12932" s="9"/>
    </row>
    <row r="12933" s="105" customFormat="1" spans="9:12">
      <c r="I12933" s="225"/>
      <c r="K12933" s="9"/>
      <c r="L12933" s="9"/>
    </row>
    <row r="12934" s="105" customFormat="1" spans="9:12">
      <c r="I12934" s="225"/>
      <c r="K12934" s="9"/>
      <c r="L12934" s="9"/>
    </row>
    <row r="12935" s="105" customFormat="1" spans="9:12">
      <c r="I12935" s="225"/>
      <c r="K12935" s="9"/>
      <c r="L12935" s="9"/>
    </row>
    <row r="12936" s="105" customFormat="1" spans="9:12">
      <c r="I12936" s="225"/>
      <c r="K12936" s="9"/>
      <c r="L12936" s="9"/>
    </row>
    <row r="12937" s="105" customFormat="1" spans="9:12">
      <c r="I12937" s="225"/>
      <c r="K12937" s="9"/>
      <c r="L12937" s="9"/>
    </row>
    <row r="12938" s="105" customFormat="1" spans="9:12">
      <c r="I12938" s="225"/>
      <c r="K12938" s="9"/>
      <c r="L12938" s="9"/>
    </row>
    <row r="12939" s="105" customFormat="1" spans="9:12">
      <c r="I12939" s="225"/>
      <c r="K12939" s="9"/>
      <c r="L12939" s="9"/>
    </row>
    <row r="12940" s="105" customFormat="1" spans="9:12">
      <c r="I12940" s="225"/>
      <c r="K12940" s="9"/>
      <c r="L12940" s="9"/>
    </row>
    <row r="12941" s="105" customFormat="1" spans="9:12">
      <c r="I12941" s="225"/>
      <c r="K12941" s="9"/>
      <c r="L12941" s="9"/>
    </row>
    <row r="12942" s="105" customFormat="1" spans="9:12">
      <c r="I12942" s="225"/>
      <c r="K12942" s="9"/>
      <c r="L12942" s="9"/>
    </row>
    <row r="12943" s="105" customFormat="1" spans="9:12">
      <c r="I12943" s="225"/>
      <c r="K12943" s="9"/>
      <c r="L12943" s="9"/>
    </row>
    <row r="12944" s="105" customFormat="1" spans="9:12">
      <c r="I12944" s="225"/>
      <c r="K12944" s="9"/>
      <c r="L12944" s="9"/>
    </row>
    <row r="12945" s="105" customFormat="1" spans="9:12">
      <c r="I12945" s="225"/>
      <c r="K12945" s="9"/>
      <c r="L12945" s="9"/>
    </row>
    <row r="12946" s="105" customFormat="1" spans="9:12">
      <c r="I12946" s="225"/>
      <c r="K12946" s="9"/>
      <c r="L12946" s="9"/>
    </row>
    <row r="12947" s="105" customFormat="1" spans="9:12">
      <c r="I12947" s="225"/>
      <c r="K12947" s="9"/>
      <c r="L12947" s="9"/>
    </row>
    <row r="12948" s="105" customFormat="1" spans="9:12">
      <c r="I12948" s="225"/>
      <c r="K12948" s="9"/>
      <c r="L12948" s="9"/>
    </row>
    <row r="12949" s="105" customFormat="1" spans="9:12">
      <c r="I12949" s="225"/>
      <c r="K12949" s="9"/>
      <c r="L12949" s="9"/>
    </row>
    <row r="12950" s="105" customFormat="1" spans="9:12">
      <c r="I12950" s="225"/>
      <c r="K12950" s="9"/>
      <c r="L12950" s="9"/>
    </row>
    <row r="12951" s="105" customFormat="1" spans="9:12">
      <c r="I12951" s="225"/>
      <c r="K12951" s="9"/>
      <c r="L12951" s="9"/>
    </row>
    <row r="12952" s="105" customFormat="1" spans="9:12">
      <c r="I12952" s="225"/>
      <c r="K12952" s="9"/>
      <c r="L12952" s="9"/>
    </row>
    <row r="12953" s="105" customFormat="1" spans="9:12">
      <c r="I12953" s="225"/>
      <c r="K12953" s="9"/>
      <c r="L12953" s="9"/>
    </row>
    <row r="12954" s="105" customFormat="1" spans="9:12">
      <c r="I12954" s="225"/>
      <c r="K12954" s="9"/>
      <c r="L12954" s="9"/>
    </row>
    <row r="12955" s="105" customFormat="1" spans="9:12">
      <c r="I12955" s="225"/>
      <c r="K12955" s="9"/>
      <c r="L12955" s="9"/>
    </row>
    <row r="12956" s="105" customFormat="1" spans="9:12">
      <c r="I12956" s="225"/>
      <c r="K12956" s="9"/>
      <c r="L12956" s="9"/>
    </row>
    <row r="12957" s="105" customFormat="1" spans="9:12">
      <c r="I12957" s="225"/>
      <c r="K12957" s="9"/>
      <c r="L12957" s="9"/>
    </row>
    <row r="12958" s="105" customFormat="1" spans="9:12">
      <c r="I12958" s="225"/>
      <c r="K12958" s="9"/>
      <c r="L12958" s="9"/>
    </row>
    <row r="12959" s="105" customFormat="1" spans="9:12">
      <c r="I12959" s="225"/>
      <c r="K12959" s="9"/>
      <c r="L12959" s="9"/>
    </row>
    <row r="12960" s="105" customFormat="1" spans="9:12">
      <c r="I12960" s="225"/>
      <c r="K12960" s="9"/>
      <c r="L12960" s="9"/>
    </row>
    <row r="12961" s="105" customFormat="1" spans="9:12">
      <c r="I12961" s="225"/>
      <c r="K12961" s="9"/>
      <c r="L12961" s="9"/>
    </row>
    <row r="12962" s="105" customFormat="1" spans="9:12">
      <c r="I12962" s="225"/>
      <c r="K12962" s="9"/>
      <c r="L12962" s="9"/>
    </row>
    <row r="12963" s="105" customFormat="1" spans="9:12">
      <c r="I12963" s="225"/>
      <c r="K12963" s="9"/>
      <c r="L12963" s="9"/>
    </row>
    <row r="12964" s="105" customFormat="1" spans="9:12">
      <c r="I12964" s="225"/>
      <c r="K12964" s="9"/>
      <c r="L12964" s="9"/>
    </row>
    <row r="12965" s="105" customFormat="1" spans="9:12">
      <c r="I12965" s="225"/>
      <c r="K12965" s="9"/>
      <c r="L12965" s="9"/>
    </row>
    <row r="12966" s="105" customFormat="1" spans="9:12">
      <c r="I12966" s="225"/>
      <c r="K12966" s="9"/>
      <c r="L12966" s="9"/>
    </row>
    <row r="12967" s="105" customFormat="1" spans="9:12">
      <c r="I12967" s="225"/>
      <c r="K12967" s="9"/>
      <c r="L12967" s="9"/>
    </row>
    <row r="12968" s="105" customFormat="1" spans="9:12">
      <c r="I12968" s="225"/>
      <c r="K12968" s="9"/>
      <c r="L12968" s="9"/>
    </row>
    <row r="12969" s="105" customFormat="1" spans="9:12">
      <c r="I12969" s="225"/>
      <c r="K12969" s="9"/>
      <c r="L12969" s="9"/>
    </row>
    <row r="12970" s="105" customFormat="1" spans="9:12">
      <c r="I12970" s="225"/>
      <c r="K12970" s="9"/>
      <c r="L12970" s="9"/>
    </row>
    <row r="12971" s="105" customFormat="1" spans="9:12">
      <c r="I12971" s="225"/>
      <c r="K12971" s="9"/>
      <c r="L12971" s="9"/>
    </row>
    <row r="12972" s="105" customFormat="1" spans="9:12">
      <c r="I12972" s="225"/>
      <c r="K12972" s="9"/>
      <c r="L12972" s="9"/>
    </row>
    <row r="12973" s="105" customFormat="1" spans="9:12">
      <c r="I12973" s="225"/>
      <c r="K12973" s="9"/>
      <c r="L12973" s="9"/>
    </row>
    <row r="12974" s="105" customFormat="1" spans="9:12">
      <c r="I12974" s="225"/>
      <c r="K12974" s="9"/>
      <c r="L12974" s="9"/>
    </row>
    <row r="12975" s="105" customFormat="1" spans="9:12">
      <c r="I12975" s="225"/>
      <c r="K12975" s="9"/>
      <c r="L12975" s="9"/>
    </row>
    <row r="12976" s="105" customFormat="1" spans="9:12">
      <c r="I12976" s="225"/>
      <c r="K12976" s="9"/>
      <c r="L12976" s="9"/>
    </row>
    <row r="12977" s="105" customFormat="1" spans="9:12">
      <c r="I12977" s="225"/>
      <c r="K12977" s="9"/>
      <c r="L12977" s="9"/>
    </row>
    <row r="12978" s="105" customFormat="1" spans="9:12">
      <c r="I12978" s="225"/>
      <c r="K12978" s="9"/>
      <c r="L12978" s="9"/>
    </row>
    <row r="12979" s="105" customFormat="1" spans="9:12">
      <c r="I12979" s="225"/>
      <c r="K12979" s="9"/>
      <c r="L12979" s="9"/>
    </row>
    <row r="12980" s="105" customFormat="1" spans="9:12">
      <c r="I12980" s="225"/>
      <c r="K12980" s="9"/>
      <c r="L12980" s="9"/>
    </row>
    <row r="12981" s="105" customFormat="1" spans="9:12">
      <c r="I12981" s="225"/>
      <c r="K12981" s="9"/>
      <c r="L12981" s="9"/>
    </row>
    <row r="12982" s="105" customFormat="1" spans="9:12">
      <c r="I12982" s="225"/>
      <c r="K12982" s="9"/>
      <c r="L12982" s="9"/>
    </row>
    <row r="12983" s="105" customFormat="1" spans="9:12">
      <c r="I12983" s="225"/>
      <c r="K12983" s="9"/>
      <c r="L12983" s="9"/>
    </row>
    <row r="12984" s="105" customFormat="1" spans="9:12">
      <c r="I12984" s="225"/>
      <c r="K12984" s="9"/>
      <c r="L12984" s="9"/>
    </row>
    <row r="12985" s="105" customFormat="1" spans="9:12">
      <c r="I12985" s="225"/>
      <c r="K12985" s="9"/>
      <c r="L12985" s="9"/>
    </row>
    <row r="12986" s="105" customFormat="1" spans="9:12">
      <c r="I12986" s="225"/>
      <c r="K12986" s="9"/>
      <c r="L12986" s="9"/>
    </row>
    <row r="12987" s="105" customFormat="1" spans="9:12">
      <c r="I12987" s="225"/>
      <c r="K12987" s="9"/>
      <c r="L12987" s="9"/>
    </row>
    <row r="12988" s="105" customFormat="1" spans="9:12">
      <c r="I12988" s="225"/>
      <c r="K12988" s="9"/>
      <c r="L12988" s="9"/>
    </row>
    <row r="12989" s="105" customFormat="1" spans="9:12">
      <c r="I12989" s="225"/>
      <c r="K12989" s="9"/>
      <c r="L12989" s="9"/>
    </row>
    <row r="12990" s="105" customFormat="1" spans="9:12">
      <c r="I12990" s="225"/>
      <c r="K12990" s="9"/>
      <c r="L12990" s="9"/>
    </row>
    <row r="12991" s="105" customFormat="1" spans="9:12">
      <c r="I12991" s="225"/>
      <c r="K12991" s="9"/>
      <c r="L12991" s="9"/>
    </row>
    <row r="12992" s="105" customFormat="1" spans="9:12">
      <c r="I12992" s="225"/>
      <c r="K12992" s="9"/>
      <c r="L12992" s="9"/>
    </row>
    <row r="12993" s="105" customFormat="1" spans="9:12">
      <c r="I12993" s="225"/>
      <c r="K12993" s="9"/>
      <c r="L12993" s="9"/>
    </row>
    <row r="12994" s="105" customFormat="1" spans="9:12">
      <c r="I12994" s="225"/>
      <c r="K12994" s="9"/>
      <c r="L12994" s="9"/>
    </row>
    <row r="12995" s="105" customFormat="1" spans="9:12">
      <c r="I12995" s="225"/>
      <c r="K12995" s="9"/>
      <c r="L12995" s="9"/>
    </row>
    <row r="12996" s="105" customFormat="1" spans="9:12">
      <c r="I12996" s="225"/>
      <c r="K12996" s="9"/>
      <c r="L12996" s="9"/>
    </row>
    <row r="12997" s="105" customFormat="1" spans="9:12">
      <c r="I12997" s="225"/>
      <c r="K12997" s="9"/>
      <c r="L12997" s="9"/>
    </row>
    <row r="12998" s="105" customFormat="1" spans="9:12">
      <c r="I12998" s="225"/>
      <c r="K12998" s="9"/>
      <c r="L12998" s="9"/>
    </row>
    <row r="12999" s="105" customFormat="1" spans="9:12">
      <c r="I12999" s="225"/>
      <c r="K12999" s="9"/>
      <c r="L12999" s="9"/>
    </row>
    <row r="13000" s="105" customFormat="1" spans="9:12">
      <c r="I13000" s="225"/>
      <c r="K13000" s="9"/>
      <c r="L13000" s="9"/>
    </row>
    <row r="13001" s="105" customFormat="1" spans="9:12">
      <c r="I13001" s="225"/>
      <c r="K13001" s="9"/>
      <c r="L13001" s="9"/>
    </row>
    <row r="13002" s="105" customFormat="1" spans="9:12">
      <c r="I13002" s="225"/>
      <c r="K13002" s="9"/>
      <c r="L13002" s="9"/>
    </row>
    <row r="13003" s="105" customFormat="1" spans="9:12">
      <c r="I13003" s="225"/>
      <c r="K13003" s="9"/>
      <c r="L13003" s="9"/>
    </row>
    <row r="13004" s="105" customFormat="1" spans="9:12">
      <c r="I13004" s="225"/>
      <c r="K13004" s="9"/>
      <c r="L13004" s="9"/>
    </row>
    <row r="13005" s="105" customFormat="1" spans="9:12">
      <c r="I13005" s="225"/>
      <c r="K13005" s="9"/>
      <c r="L13005" s="9"/>
    </row>
    <row r="13006" s="105" customFormat="1" spans="9:12">
      <c r="I13006" s="225"/>
      <c r="K13006" s="9"/>
      <c r="L13006" s="9"/>
    </row>
    <row r="13007" s="105" customFormat="1" spans="9:12">
      <c r="I13007" s="225"/>
      <c r="K13007" s="9"/>
      <c r="L13007" s="9"/>
    </row>
    <row r="13008" s="105" customFormat="1" spans="9:12">
      <c r="I13008" s="225"/>
      <c r="K13008" s="9"/>
      <c r="L13008" s="9"/>
    </row>
    <row r="13009" s="105" customFormat="1" spans="9:12">
      <c r="I13009" s="225"/>
      <c r="K13009" s="9"/>
      <c r="L13009" s="9"/>
    </row>
    <row r="13010" s="105" customFormat="1" spans="9:12">
      <c r="I13010" s="225"/>
      <c r="K13010" s="9"/>
      <c r="L13010" s="9"/>
    </row>
    <row r="13011" s="105" customFormat="1" spans="9:12">
      <c r="I13011" s="225"/>
      <c r="K13011" s="9"/>
      <c r="L13011" s="9"/>
    </row>
    <row r="13012" s="105" customFormat="1" spans="9:12">
      <c r="I13012" s="225"/>
      <c r="K13012" s="9"/>
      <c r="L13012" s="9"/>
    </row>
    <row r="13013" s="105" customFormat="1" spans="9:12">
      <c r="I13013" s="225"/>
      <c r="K13013" s="9"/>
      <c r="L13013" s="9"/>
    </row>
    <row r="13014" s="105" customFormat="1" spans="9:12">
      <c r="I13014" s="225"/>
      <c r="K13014" s="9"/>
      <c r="L13014" s="9"/>
    </row>
    <row r="13015" s="105" customFormat="1" spans="9:12">
      <c r="I13015" s="225"/>
      <c r="K13015" s="9"/>
      <c r="L13015" s="9"/>
    </row>
    <row r="13016" s="105" customFormat="1" spans="9:12">
      <c r="I13016" s="225"/>
      <c r="K13016" s="9"/>
      <c r="L13016" s="9"/>
    </row>
    <row r="13017" s="105" customFormat="1" spans="9:12">
      <c r="I13017" s="225"/>
      <c r="K13017" s="9"/>
      <c r="L13017" s="9"/>
    </row>
    <row r="13018" s="105" customFormat="1" spans="9:12">
      <c r="I13018" s="225"/>
      <c r="K13018" s="9"/>
      <c r="L13018" s="9"/>
    </row>
    <row r="13019" s="105" customFormat="1" spans="9:12">
      <c r="I13019" s="225"/>
      <c r="K13019" s="9"/>
      <c r="L13019" s="9"/>
    </row>
    <row r="13020" s="105" customFormat="1" spans="9:12">
      <c r="I13020" s="225"/>
      <c r="K13020" s="9"/>
      <c r="L13020" s="9"/>
    </row>
    <row r="13021" s="105" customFormat="1" spans="9:12">
      <c r="I13021" s="225"/>
      <c r="K13021" s="9"/>
      <c r="L13021" s="9"/>
    </row>
    <row r="13022" s="105" customFormat="1" spans="9:12">
      <c r="I13022" s="225"/>
      <c r="K13022" s="9"/>
      <c r="L13022" s="9"/>
    </row>
    <row r="13023" s="105" customFormat="1" spans="9:12">
      <c r="I13023" s="225"/>
      <c r="K13023" s="9"/>
      <c r="L13023" s="9"/>
    </row>
    <row r="13024" s="105" customFormat="1" spans="9:12">
      <c r="I13024" s="225"/>
      <c r="K13024" s="9"/>
      <c r="L13024" s="9"/>
    </row>
    <row r="13025" s="105" customFormat="1" spans="9:12">
      <c r="I13025" s="225"/>
      <c r="K13025" s="9"/>
      <c r="L13025" s="9"/>
    </row>
    <row r="13026" s="105" customFormat="1" spans="9:12">
      <c r="I13026" s="225"/>
      <c r="K13026" s="9"/>
      <c r="L13026" s="9"/>
    </row>
    <row r="13027" s="105" customFormat="1" spans="9:12">
      <c r="I13027" s="225"/>
      <c r="K13027" s="9"/>
      <c r="L13027" s="9"/>
    </row>
    <row r="13028" s="105" customFormat="1" spans="9:12">
      <c r="I13028" s="225"/>
      <c r="K13028" s="9"/>
      <c r="L13028" s="9"/>
    </row>
    <row r="13029" s="105" customFormat="1" spans="9:12">
      <c r="I13029" s="225"/>
      <c r="K13029" s="9"/>
      <c r="L13029" s="9"/>
    </row>
    <row r="13030" s="105" customFormat="1" spans="9:12">
      <c r="I13030" s="225"/>
      <c r="K13030" s="9"/>
      <c r="L13030" s="9"/>
    </row>
    <row r="13031" s="105" customFormat="1" spans="9:12">
      <c r="I13031" s="225"/>
      <c r="K13031" s="9"/>
      <c r="L13031" s="9"/>
    </row>
    <row r="13032" s="105" customFormat="1" spans="9:12">
      <c r="I13032" s="225"/>
      <c r="K13032" s="9"/>
      <c r="L13032" s="9"/>
    </row>
    <row r="13033" s="105" customFormat="1" spans="9:12">
      <c r="I13033" s="225"/>
      <c r="K13033" s="9"/>
      <c r="L13033" s="9"/>
    </row>
    <row r="13034" s="105" customFormat="1" spans="9:12">
      <c r="I13034" s="225"/>
      <c r="K13034" s="9"/>
      <c r="L13034" s="9"/>
    </row>
    <row r="13035" s="105" customFormat="1" spans="9:12">
      <c r="I13035" s="225"/>
      <c r="K13035" s="9"/>
      <c r="L13035" s="9"/>
    </row>
    <row r="13036" s="105" customFormat="1" spans="9:12">
      <c r="I13036" s="225"/>
      <c r="K13036" s="9"/>
      <c r="L13036" s="9"/>
    </row>
    <row r="13037" s="105" customFormat="1" spans="9:12">
      <c r="I13037" s="225"/>
      <c r="K13037" s="9"/>
      <c r="L13037" s="9"/>
    </row>
    <row r="13038" s="105" customFormat="1" spans="9:12">
      <c r="I13038" s="225"/>
      <c r="K13038" s="9"/>
      <c r="L13038" s="9"/>
    </row>
    <row r="13039" s="105" customFormat="1" spans="9:12">
      <c r="I13039" s="225"/>
      <c r="K13039" s="9"/>
      <c r="L13039" s="9"/>
    </row>
    <row r="13040" s="105" customFormat="1" spans="9:12">
      <c r="I13040" s="225"/>
      <c r="K13040" s="9"/>
      <c r="L13040" s="9"/>
    </row>
    <row r="13041" s="105" customFormat="1" spans="9:12">
      <c r="I13041" s="225"/>
      <c r="K13041" s="9"/>
      <c r="L13041" s="9"/>
    </row>
    <row r="13042" s="105" customFormat="1" spans="9:12">
      <c r="I13042" s="225"/>
      <c r="K13042" s="9"/>
      <c r="L13042" s="9"/>
    </row>
    <row r="13043" s="105" customFormat="1" spans="9:12">
      <c r="I13043" s="225"/>
      <c r="K13043" s="9"/>
      <c r="L13043" s="9"/>
    </row>
    <row r="13044" s="105" customFormat="1" spans="9:12">
      <c r="I13044" s="225"/>
      <c r="K13044" s="9"/>
      <c r="L13044" s="9"/>
    </row>
    <row r="13045" s="105" customFormat="1" spans="9:12">
      <c r="I13045" s="225"/>
      <c r="K13045" s="9"/>
      <c r="L13045" s="9"/>
    </row>
    <row r="13046" s="105" customFormat="1" spans="9:12">
      <c r="I13046" s="225"/>
      <c r="K13046" s="9"/>
      <c r="L13046" s="9"/>
    </row>
    <row r="13047" s="105" customFormat="1" spans="9:12">
      <c r="I13047" s="225"/>
      <c r="K13047" s="9"/>
      <c r="L13047" s="9"/>
    </row>
    <row r="13048" s="105" customFormat="1" spans="9:12">
      <c r="I13048" s="225"/>
      <c r="K13048" s="9"/>
      <c r="L13048" s="9"/>
    </row>
    <row r="13049" s="105" customFormat="1" spans="9:12">
      <c r="I13049" s="225"/>
      <c r="K13049" s="9"/>
      <c r="L13049" s="9"/>
    </row>
    <row r="13050" s="105" customFormat="1" spans="9:12">
      <c r="I13050" s="225"/>
      <c r="K13050" s="9"/>
      <c r="L13050" s="9"/>
    </row>
    <row r="13051" s="105" customFormat="1" spans="9:12">
      <c r="I13051" s="225"/>
      <c r="K13051" s="9"/>
      <c r="L13051" s="9"/>
    </row>
    <row r="13052" s="105" customFormat="1" spans="9:12">
      <c r="I13052" s="225"/>
      <c r="K13052" s="9"/>
      <c r="L13052" s="9"/>
    </row>
    <row r="13053" s="105" customFormat="1" spans="9:12">
      <c r="I13053" s="225"/>
      <c r="K13053" s="9"/>
      <c r="L13053" s="9"/>
    </row>
    <row r="13054" s="105" customFormat="1" spans="9:12">
      <c r="I13054" s="225"/>
      <c r="K13054" s="9"/>
      <c r="L13054" s="9"/>
    </row>
    <row r="13055" s="105" customFormat="1" spans="9:12">
      <c r="I13055" s="225"/>
      <c r="K13055" s="9"/>
      <c r="L13055" s="9"/>
    </row>
    <row r="13056" s="105" customFormat="1" spans="9:12">
      <c r="I13056" s="225"/>
      <c r="K13056" s="9"/>
      <c r="L13056" s="9"/>
    </row>
    <row r="13057" s="105" customFormat="1" spans="9:12">
      <c r="I13057" s="225"/>
      <c r="K13057" s="9"/>
      <c r="L13057" s="9"/>
    </row>
    <row r="13058" s="105" customFormat="1" spans="9:12">
      <c r="I13058" s="225"/>
      <c r="K13058" s="9"/>
      <c r="L13058" s="9"/>
    </row>
    <row r="13059" s="105" customFormat="1" spans="9:12">
      <c r="I13059" s="225"/>
      <c r="K13059" s="9"/>
      <c r="L13059" s="9"/>
    </row>
    <row r="13060" s="105" customFormat="1" spans="9:12">
      <c r="I13060" s="225"/>
      <c r="K13060" s="9"/>
      <c r="L13060" s="9"/>
    </row>
    <row r="13061" s="105" customFormat="1" spans="9:12">
      <c r="I13061" s="225"/>
      <c r="K13061" s="9"/>
      <c r="L13061" s="9"/>
    </row>
    <row r="13062" s="105" customFormat="1" spans="9:12">
      <c r="I13062" s="225"/>
      <c r="K13062" s="9"/>
      <c r="L13062" s="9"/>
    </row>
    <row r="13063" s="105" customFormat="1" spans="9:12">
      <c r="I13063" s="225"/>
      <c r="K13063" s="9"/>
      <c r="L13063" s="9"/>
    </row>
    <row r="13064" s="105" customFormat="1" spans="9:12">
      <c r="I13064" s="225"/>
      <c r="K13064" s="9"/>
      <c r="L13064" s="9"/>
    </row>
    <row r="13065" s="105" customFormat="1" spans="9:12">
      <c r="I13065" s="225"/>
      <c r="K13065" s="9"/>
      <c r="L13065" s="9"/>
    </row>
    <row r="13066" s="105" customFormat="1" spans="9:12">
      <c r="I13066" s="225"/>
      <c r="K13066" s="9"/>
      <c r="L13066" s="9"/>
    </row>
    <row r="13067" s="105" customFormat="1" spans="9:12">
      <c r="I13067" s="225"/>
      <c r="K13067" s="9"/>
      <c r="L13067" s="9"/>
    </row>
    <row r="13068" s="105" customFormat="1" spans="9:12">
      <c r="I13068" s="225"/>
      <c r="K13068" s="9"/>
      <c r="L13068" s="9"/>
    </row>
    <row r="13069" s="105" customFormat="1" spans="9:12">
      <c r="I13069" s="225"/>
      <c r="K13069" s="9"/>
      <c r="L13069" s="9"/>
    </row>
    <row r="13070" s="105" customFormat="1" spans="9:12">
      <c r="I13070" s="225"/>
      <c r="K13070" s="9"/>
      <c r="L13070" s="9"/>
    </row>
    <row r="13071" s="105" customFormat="1" spans="9:12">
      <c r="I13071" s="225"/>
      <c r="K13071" s="9"/>
      <c r="L13071" s="9"/>
    </row>
    <row r="13072" s="105" customFormat="1" spans="9:12">
      <c r="I13072" s="225"/>
      <c r="K13072" s="9"/>
      <c r="L13072" s="9"/>
    </row>
    <row r="13073" s="105" customFormat="1" spans="9:12">
      <c r="I13073" s="225"/>
      <c r="K13073" s="9"/>
      <c r="L13073" s="9"/>
    </row>
    <row r="13074" s="105" customFormat="1" spans="9:12">
      <c r="I13074" s="225"/>
      <c r="K13074" s="9"/>
      <c r="L13074" s="9"/>
    </row>
    <row r="13075" s="105" customFormat="1" spans="9:12">
      <c r="I13075" s="225"/>
      <c r="K13075" s="9"/>
      <c r="L13075" s="9"/>
    </row>
    <row r="13076" s="105" customFormat="1" spans="9:12">
      <c r="I13076" s="225"/>
      <c r="K13076" s="9"/>
      <c r="L13076" s="9"/>
    </row>
    <row r="13077" s="105" customFormat="1" spans="9:12">
      <c r="I13077" s="225"/>
      <c r="K13077" s="9"/>
      <c r="L13077" s="9"/>
    </row>
    <row r="13078" s="105" customFormat="1" spans="9:12">
      <c r="I13078" s="225"/>
      <c r="K13078" s="9"/>
      <c r="L13078" s="9"/>
    </row>
    <row r="13079" s="105" customFormat="1" spans="9:12">
      <c r="I13079" s="225"/>
      <c r="K13079" s="9"/>
      <c r="L13079" s="9"/>
    </row>
    <row r="13080" s="105" customFormat="1" spans="9:12">
      <c r="I13080" s="225"/>
      <c r="K13080" s="9"/>
      <c r="L13080" s="9"/>
    </row>
    <row r="13081" s="105" customFormat="1" spans="9:12">
      <c r="I13081" s="225"/>
      <c r="K13081" s="9"/>
      <c r="L13081" s="9"/>
    </row>
    <row r="13082" s="105" customFormat="1" spans="9:12">
      <c r="I13082" s="225"/>
      <c r="K13082" s="9"/>
      <c r="L13082" s="9"/>
    </row>
    <row r="13083" s="105" customFormat="1" spans="9:12">
      <c r="I13083" s="225"/>
      <c r="K13083" s="9"/>
      <c r="L13083" s="9"/>
    </row>
    <row r="13084" s="105" customFormat="1" spans="9:12">
      <c r="I13084" s="225"/>
      <c r="K13084" s="9"/>
      <c r="L13084" s="9"/>
    </row>
    <row r="13085" s="105" customFormat="1" spans="9:12">
      <c r="I13085" s="225"/>
      <c r="K13085" s="9"/>
      <c r="L13085" s="9"/>
    </row>
    <row r="13086" s="105" customFormat="1" spans="9:12">
      <c r="I13086" s="225"/>
      <c r="K13086" s="9"/>
      <c r="L13086" s="9"/>
    </row>
    <row r="13087" s="105" customFormat="1" spans="9:12">
      <c r="I13087" s="225"/>
      <c r="K13087" s="9"/>
      <c r="L13087" s="9"/>
    </row>
    <row r="13088" s="105" customFormat="1" spans="9:12">
      <c r="I13088" s="225"/>
      <c r="K13088" s="9"/>
      <c r="L13088" s="9"/>
    </row>
    <row r="13089" s="105" customFormat="1" spans="9:12">
      <c r="I13089" s="225"/>
      <c r="K13089" s="9"/>
      <c r="L13089" s="9"/>
    </row>
    <row r="13090" s="105" customFormat="1" spans="9:12">
      <c r="I13090" s="225"/>
      <c r="K13090" s="9"/>
      <c r="L13090" s="9"/>
    </row>
    <row r="13091" s="105" customFormat="1" spans="9:12">
      <c r="I13091" s="225"/>
      <c r="K13091" s="9"/>
      <c r="L13091" s="9"/>
    </row>
    <row r="13092" s="105" customFormat="1" spans="9:12">
      <c r="I13092" s="225"/>
      <c r="K13092" s="9"/>
      <c r="L13092" s="9"/>
    </row>
    <row r="13093" s="105" customFormat="1" spans="9:12">
      <c r="I13093" s="225"/>
      <c r="K13093" s="9"/>
      <c r="L13093" s="9"/>
    </row>
    <row r="13094" s="105" customFormat="1" spans="9:12">
      <c r="I13094" s="225"/>
      <c r="K13094" s="9"/>
      <c r="L13094" s="9"/>
    </row>
    <row r="13095" s="105" customFormat="1" spans="9:12">
      <c r="I13095" s="225"/>
      <c r="K13095" s="9"/>
      <c r="L13095" s="9"/>
    </row>
    <row r="13096" s="105" customFormat="1" spans="9:12">
      <c r="I13096" s="225"/>
      <c r="K13096" s="9"/>
      <c r="L13096" s="9"/>
    </row>
    <row r="13097" s="105" customFormat="1" spans="9:12">
      <c r="I13097" s="225"/>
      <c r="K13097" s="9"/>
      <c r="L13097" s="9"/>
    </row>
    <row r="13098" s="105" customFormat="1" spans="9:12">
      <c r="I13098" s="225"/>
      <c r="K13098" s="9"/>
      <c r="L13098" s="9"/>
    </row>
    <row r="13099" s="105" customFormat="1" spans="9:12">
      <c r="I13099" s="225"/>
      <c r="K13099" s="9"/>
      <c r="L13099" s="9"/>
    </row>
    <row r="13100" s="105" customFormat="1" spans="9:12">
      <c r="I13100" s="225"/>
      <c r="K13100" s="9"/>
      <c r="L13100" s="9"/>
    </row>
    <row r="13101" s="105" customFormat="1" spans="9:12">
      <c r="I13101" s="225"/>
      <c r="K13101" s="9"/>
      <c r="L13101" s="9"/>
    </row>
    <row r="13102" s="105" customFormat="1" spans="9:12">
      <c r="I13102" s="225"/>
      <c r="K13102" s="9"/>
      <c r="L13102" s="9"/>
    </row>
    <row r="13103" s="105" customFormat="1" spans="9:12">
      <c r="I13103" s="225"/>
      <c r="K13103" s="9"/>
      <c r="L13103" s="9"/>
    </row>
    <row r="13104" s="105" customFormat="1" spans="9:12">
      <c r="I13104" s="225"/>
      <c r="K13104" s="9"/>
      <c r="L13104" s="9"/>
    </row>
    <row r="13105" s="105" customFormat="1" spans="9:12">
      <c r="I13105" s="225"/>
      <c r="K13105" s="9"/>
      <c r="L13105" s="9"/>
    </row>
    <row r="13106" s="105" customFormat="1" spans="9:12">
      <c r="I13106" s="225"/>
      <c r="K13106" s="9"/>
      <c r="L13106" s="9"/>
    </row>
    <row r="13107" s="105" customFormat="1" spans="9:12">
      <c r="I13107" s="225"/>
      <c r="K13107" s="9"/>
      <c r="L13107" s="9"/>
    </row>
    <row r="13108" s="105" customFormat="1" spans="9:12">
      <c r="I13108" s="225"/>
      <c r="K13108" s="9"/>
      <c r="L13108" s="9"/>
    </row>
    <row r="13109" s="105" customFormat="1" spans="9:12">
      <c r="I13109" s="225"/>
      <c r="K13109" s="9"/>
      <c r="L13109" s="9"/>
    </row>
    <row r="13110" s="105" customFormat="1" spans="9:12">
      <c r="I13110" s="225"/>
      <c r="K13110" s="9"/>
      <c r="L13110" s="9"/>
    </row>
    <row r="13111" s="105" customFormat="1" spans="9:12">
      <c r="I13111" s="225"/>
      <c r="K13111" s="9"/>
      <c r="L13111" s="9"/>
    </row>
    <row r="13112" s="105" customFormat="1" spans="9:12">
      <c r="I13112" s="225"/>
      <c r="K13112" s="9"/>
      <c r="L13112" s="9"/>
    </row>
    <row r="13113" s="105" customFormat="1" spans="9:12">
      <c r="I13113" s="225"/>
      <c r="K13113" s="9"/>
      <c r="L13113" s="9"/>
    </row>
    <row r="13114" s="105" customFormat="1" spans="9:12">
      <c r="I13114" s="225"/>
      <c r="K13114" s="9"/>
      <c r="L13114" s="9"/>
    </row>
    <row r="13115" s="105" customFormat="1" spans="9:12">
      <c r="I13115" s="225"/>
      <c r="K13115" s="9"/>
      <c r="L13115" s="9"/>
    </row>
    <row r="13116" s="105" customFormat="1" spans="9:12">
      <c r="I13116" s="225"/>
      <c r="K13116" s="9"/>
      <c r="L13116" s="9"/>
    </row>
    <row r="13117" s="105" customFormat="1" spans="9:12">
      <c r="I13117" s="225"/>
      <c r="K13117" s="9"/>
      <c r="L13117" s="9"/>
    </row>
    <row r="13118" s="105" customFormat="1" spans="9:12">
      <c r="I13118" s="225"/>
      <c r="K13118" s="9"/>
      <c r="L13118" s="9"/>
    </row>
    <row r="13119" s="105" customFormat="1" spans="9:12">
      <c r="I13119" s="225"/>
      <c r="K13119" s="9"/>
      <c r="L13119" s="9"/>
    </row>
    <row r="13120" s="105" customFormat="1" spans="9:12">
      <c r="I13120" s="225"/>
      <c r="K13120" s="9"/>
      <c r="L13120" s="9"/>
    </row>
    <row r="13121" s="105" customFormat="1" spans="9:12">
      <c r="I13121" s="225"/>
      <c r="K13121" s="9"/>
      <c r="L13121" s="9"/>
    </row>
    <row r="13122" s="105" customFormat="1" spans="9:12">
      <c r="I13122" s="225"/>
      <c r="K13122" s="9"/>
      <c r="L13122" s="9"/>
    </row>
    <row r="13123" s="105" customFormat="1" spans="9:12">
      <c r="I13123" s="225"/>
      <c r="K13123" s="9"/>
      <c r="L13123" s="9"/>
    </row>
    <row r="13124" s="105" customFormat="1" spans="9:12">
      <c r="I13124" s="225"/>
      <c r="K13124" s="9"/>
      <c r="L13124" s="9"/>
    </row>
    <row r="13125" s="105" customFormat="1" spans="9:12">
      <c r="I13125" s="225"/>
      <c r="K13125" s="9"/>
      <c r="L13125" s="9"/>
    </row>
    <row r="13126" s="105" customFormat="1" spans="9:12">
      <c r="I13126" s="225"/>
      <c r="K13126" s="9"/>
      <c r="L13126" s="9"/>
    </row>
    <row r="13127" s="105" customFormat="1" spans="9:12">
      <c r="I13127" s="225"/>
      <c r="K13127" s="9"/>
      <c r="L13127" s="9"/>
    </row>
    <row r="13128" s="105" customFormat="1" spans="9:12">
      <c r="I13128" s="225"/>
      <c r="K13128" s="9"/>
      <c r="L13128" s="9"/>
    </row>
    <row r="13129" s="105" customFormat="1" spans="9:12">
      <c r="I13129" s="225"/>
      <c r="K13129" s="9"/>
      <c r="L13129" s="9"/>
    </row>
    <row r="13130" s="105" customFormat="1" spans="9:12">
      <c r="I13130" s="225"/>
      <c r="K13130" s="9"/>
      <c r="L13130" s="9"/>
    </row>
    <row r="13131" s="105" customFormat="1" spans="9:12">
      <c r="I13131" s="225"/>
      <c r="K13131" s="9"/>
      <c r="L13131" s="9"/>
    </row>
    <row r="13132" s="105" customFormat="1" spans="9:12">
      <c r="I13132" s="225"/>
      <c r="K13132" s="9"/>
      <c r="L13132" s="9"/>
    </row>
    <row r="13133" s="105" customFormat="1" spans="9:12">
      <c r="I13133" s="225"/>
      <c r="K13133" s="9"/>
      <c r="L13133" s="9"/>
    </row>
    <row r="13134" s="105" customFormat="1" spans="9:12">
      <c r="I13134" s="225"/>
      <c r="K13134" s="9"/>
      <c r="L13134" s="9"/>
    </row>
    <row r="13135" s="105" customFormat="1" spans="9:12">
      <c r="I13135" s="225"/>
      <c r="K13135" s="9"/>
      <c r="L13135" s="9"/>
    </row>
    <row r="13136" s="105" customFormat="1" spans="9:12">
      <c r="I13136" s="225"/>
      <c r="K13136" s="9"/>
      <c r="L13136" s="9"/>
    </row>
    <row r="13137" s="105" customFormat="1" spans="9:12">
      <c r="I13137" s="225"/>
      <c r="K13137" s="9"/>
      <c r="L13137" s="9"/>
    </row>
    <row r="13138" s="105" customFormat="1" spans="9:12">
      <c r="I13138" s="225"/>
      <c r="K13138" s="9"/>
      <c r="L13138" s="9"/>
    </row>
    <row r="13139" s="105" customFormat="1" spans="9:12">
      <c r="I13139" s="225"/>
      <c r="K13139" s="9"/>
      <c r="L13139" s="9"/>
    </row>
    <row r="13140" s="105" customFormat="1" spans="9:12">
      <c r="I13140" s="225"/>
      <c r="K13140" s="9"/>
      <c r="L13140" s="9"/>
    </row>
    <row r="13141" s="105" customFormat="1" spans="9:12">
      <c r="I13141" s="225"/>
      <c r="K13141" s="9"/>
      <c r="L13141" s="9"/>
    </row>
    <row r="13142" s="105" customFormat="1" spans="9:12">
      <c r="I13142" s="225"/>
      <c r="K13142" s="9"/>
      <c r="L13142" s="9"/>
    </row>
    <row r="13143" s="105" customFormat="1" spans="9:12">
      <c r="I13143" s="225"/>
      <c r="K13143" s="9"/>
      <c r="L13143" s="9"/>
    </row>
    <row r="13144" s="105" customFormat="1" spans="9:12">
      <c r="I13144" s="225"/>
      <c r="K13144" s="9"/>
      <c r="L13144" s="9"/>
    </row>
    <row r="13145" s="105" customFormat="1" spans="9:12">
      <c r="I13145" s="225"/>
      <c r="K13145" s="9"/>
      <c r="L13145" s="9"/>
    </row>
    <row r="13146" s="105" customFormat="1" spans="9:12">
      <c r="I13146" s="225"/>
      <c r="K13146" s="9"/>
      <c r="L13146" s="9"/>
    </row>
    <row r="13147" s="105" customFormat="1" spans="9:12">
      <c r="I13147" s="225"/>
      <c r="K13147" s="9"/>
      <c r="L13147" s="9"/>
    </row>
    <row r="13148" s="105" customFormat="1" spans="9:12">
      <c r="I13148" s="225"/>
      <c r="K13148" s="9"/>
      <c r="L13148" s="9"/>
    </row>
    <row r="13149" s="105" customFormat="1" spans="9:12">
      <c r="I13149" s="225"/>
      <c r="K13149" s="9"/>
      <c r="L13149" s="9"/>
    </row>
    <row r="13150" s="105" customFormat="1" spans="9:12">
      <c r="I13150" s="225"/>
      <c r="K13150" s="9"/>
      <c r="L13150" s="9"/>
    </row>
    <row r="13151" s="105" customFormat="1" spans="9:12">
      <c r="I13151" s="225"/>
      <c r="K13151" s="9"/>
      <c r="L13151" s="9"/>
    </row>
    <row r="13152" s="105" customFormat="1" spans="9:12">
      <c r="I13152" s="225"/>
      <c r="K13152" s="9"/>
      <c r="L13152" s="9"/>
    </row>
    <row r="13153" s="105" customFormat="1" spans="9:12">
      <c r="I13153" s="225"/>
      <c r="K13153" s="9"/>
      <c r="L13153" s="9"/>
    </row>
    <row r="13154" s="105" customFormat="1" spans="9:12">
      <c r="I13154" s="225"/>
      <c r="K13154" s="9"/>
      <c r="L13154" s="9"/>
    </row>
    <row r="13155" s="105" customFormat="1" spans="9:12">
      <c r="I13155" s="225"/>
      <c r="K13155" s="9"/>
      <c r="L13155" s="9"/>
    </row>
    <row r="13156" s="105" customFormat="1" spans="9:12">
      <c r="I13156" s="225"/>
      <c r="K13156" s="9"/>
      <c r="L13156" s="9"/>
    </row>
    <row r="13157" s="105" customFormat="1" spans="9:12">
      <c r="I13157" s="225"/>
      <c r="K13157" s="9"/>
      <c r="L13157" s="9"/>
    </row>
    <row r="13158" s="105" customFormat="1" spans="9:12">
      <c r="I13158" s="225"/>
      <c r="K13158" s="9"/>
      <c r="L13158" s="9"/>
    </row>
    <row r="13159" s="105" customFormat="1" spans="9:12">
      <c r="I13159" s="225"/>
      <c r="K13159" s="9"/>
      <c r="L13159" s="9"/>
    </row>
    <row r="13160" s="105" customFormat="1" spans="9:12">
      <c r="I13160" s="225"/>
      <c r="K13160" s="9"/>
      <c r="L13160" s="9"/>
    </row>
    <row r="13161" s="105" customFormat="1" spans="9:12">
      <c r="I13161" s="225"/>
      <c r="K13161" s="9"/>
      <c r="L13161" s="9"/>
    </row>
    <row r="13162" s="105" customFormat="1" spans="9:12">
      <c r="I13162" s="225"/>
      <c r="K13162" s="9"/>
      <c r="L13162" s="9"/>
    </row>
    <row r="13163" s="105" customFormat="1" spans="9:12">
      <c r="I13163" s="225"/>
      <c r="K13163" s="9"/>
      <c r="L13163" s="9"/>
    </row>
    <row r="13164" s="105" customFormat="1" spans="9:12">
      <c r="I13164" s="225"/>
      <c r="K13164" s="9"/>
      <c r="L13164" s="9"/>
    </row>
    <row r="13165" s="105" customFormat="1" spans="9:12">
      <c r="I13165" s="225"/>
      <c r="K13165" s="9"/>
      <c r="L13165" s="9"/>
    </row>
    <row r="13166" s="105" customFormat="1" spans="9:12">
      <c r="I13166" s="225"/>
      <c r="K13166" s="9"/>
      <c r="L13166" s="9"/>
    </row>
    <row r="13167" s="105" customFormat="1" spans="9:12">
      <c r="I13167" s="225"/>
      <c r="K13167" s="9"/>
      <c r="L13167" s="9"/>
    </row>
    <row r="13168" s="105" customFormat="1" spans="9:12">
      <c r="I13168" s="225"/>
      <c r="K13168" s="9"/>
      <c r="L13168" s="9"/>
    </row>
    <row r="13169" s="105" customFormat="1" spans="9:12">
      <c r="I13169" s="225"/>
      <c r="K13169" s="9"/>
      <c r="L13169" s="9"/>
    </row>
    <row r="13170" s="105" customFormat="1" spans="9:12">
      <c r="I13170" s="225"/>
      <c r="K13170" s="9"/>
      <c r="L13170" s="9"/>
    </row>
    <row r="13171" s="105" customFormat="1" spans="9:12">
      <c r="I13171" s="225"/>
      <c r="K13171" s="9"/>
      <c r="L13171" s="9"/>
    </row>
    <row r="13172" s="105" customFormat="1" spans="9:12">
      <c r="I13172" s="225"/>
      <c r="K13172" s="9"/>
      <c r="L13172" s="9"/>
    </row>
    <row r="13173" s="105" customFormat="1" spans="9:12">
      <c r="I13173" s="225"/>
      <c r="K13173" s="9"/>
      <c r="L13173" s="9"/>
    </row>
    <row r="13174" s="105" customFormat="1" spans="9:12">
      <c r="I13174" s="225"/>
      <c r="K13174" s="9"/>
      <c r="L13174" s="9"/>
    </row>
    <row r="13175" s="105" customFormat="1" spans="9:12">
      <c r="I13175" s="225"/>
      <c r="K13175" s="9"/>
      <c r="L13175" s="9"/>
    </row>
    <row r="13176" s="105" customFormat="1" spans="9:12">
      <c r="I13176" s="225"/>
      <c r="K13176" s="9"/>
      <c r="L13176" s="9"/>
    </row>
    <row r="13177" s="105" customFormat="1" spans="9:12">
      <c r="I13177" s="225"/>
      <c r="K13177" s="9"/>
      <c r="L13177" s="9"/>
    </row>
    <row r="13178" s="105" customFormat="1" spans="9:12">
      <c r="I13178" s="225"/>
      <c r="K13178" s="9"/>
      <c r="L13178" s="9"/>
    </row>
    <row r="13179" s="105" customFormat="1" spans="9:12">
      <c r="I13179" s="225"/>
      <c r="K13179" s="9"/>
      <c r="L13179" s="9"/>
    </row>
    <row r="13180" s="105" customFormat="1" spans="9:12">
      <c r="I13180" s="225"/>
      <c r="K13180" s="9"/>
      <c r="L13180" s="9"/>
    </row>
    <row r="13181" s="105" customFormat="1" spans="9:12">
      <c r="I13181" s="225"/>
      <c r="K13181" s="9"/>
      <c r="L13181" s="9"/>
    </row>
    <row r="13182" s="105" customFormat="1" spans="9:12">
      <c r="I13182" s="225"/>
      <c r="K13182" s="9"/>
      <c r="L13182" s="9"/>
    </row>
    <row r="13183" s="105" customFormat="1" spans="9:12">
      <c r="I13183" s="225"/>
      <c r="K13183" s="9"/>
      <c r="L13183" s="9"/>
    </row>
    <row r="13184" s="105" customFormat="1" spans="9:12">
      <c r="I13184" s="225"/>
      <c r="K13184" s="9"/>
      <c r="L13184" s="9"/>
    </row>
    <row r="13185" s="105" customFormat="1" spans="9:12">
      <c r="I13185" s="225"/>
      <c r="K13185" s="9"/>
      <c r="L13185" s="9"/>
    </row>
    <row r="13186" s="105" customFormat="1" spans="9:12">
      <c r="I13186" s="225"/>
      <c r="K13186" s="9"/>
      <c r="L13186" s="9"/>
    </row>
    <row r="13187" s="105" customFormat="1" spans="9:12">
      <c r="I13187" s="225"/>
      <c r="K13187" s="9"/>
      <c r="L13187" s="9"/>
    </row>
    <row r="13188" s="105" customFormat="1" spans="9:12">
      <c r="I13188" s="225"/>
      <c r="K13188" s="9"/>
      <c r="L13188" s="9"/>
    </row>
    <row r="13189" s="105" customFormat="1" spans="9:12">
      <c r="I13189" s="225"/>
      <c r="K13189" s="9"/>
      <c r="L13189" s="9"/>
    </row>
    <row r="13190" s="105" customFormat="1" spans="9:12">
      <c r="I13190" s="225"/>
      <c r="K13190" s="9"/>
      <c r="L13190" s="9"/>
    </row>
    <row r="13191" s="105" customFormat="1" spans="9:12">
      <c r="I13191" s="225"/>
      <c r="K13191" s="9"/>
      <c r="L13191" s="9"/>
    </row>
    <row r="13192" s="105" customFormat="1" spans="9:12">
      <c r="I13192" s="225"/>
      <c r="K13192" s="9"/>
      <c r="L13192" s="9"/>
    </row>
    <row r="13193" s="105" customFormat="1" spans="9:12">
      <c r="I13193" s="225"/>
      <c r="K13193" s="9"/>
      <c r="L13193" s="9"/>
    </row>
    <row r="13194" s="105" customFormat="1" spans="9:12">
      <c r="I13194" s="225"/>
      <c r="K13194" s="9"/>
      <c r="L13194" s="9"/>
    </row>
    <row r="13195" s="105" customFormat="1" spans="9:12">
      <c r="I13195" s="225"/>
      <c r="K13195" s="9"/>
      <c r="L13195" s="9"/>
    </row>
    <row r="13196" s="105" customFormat="1" spans="9:12">
      <c r="I13196" s="225"/>
      <c r="K13196" s="9"/>
      <c r="L13196" s="9"/>
    </row>
    <row r="13197" s="105" customFormat="1" spans="9:12">
      <c r="I13197" s="225"/>
      <c r="K13197" s="9"/>
      <c r="L13197" s="9"/>
    </row>
    <row r="13198" s="105" customFormat="1" spans="9:12">
      <c r="I13198" s="225"/>
      <c r="K13198" s="9"/>
      <c r="L13198" s="9"/>
    </row>
    <row r="13199" s="105" customFormat="1" spans="9:12">
      <c r="I13199" s="225"/>
      <c r="K13199" s="9"/>
      <c r="L13199" s="9"/>
    </row>
    <row r="13200" s="105" customFormat="1" spans="9:12">
      <c r="I13200" s="225"/>
      <c r="K13200" s="9"/>
      <c r="L13200" s="9"/>
    </row>
    <row r="13201" s="105" customFormat="1" spans="9:12">
      <c r="I13201" s="225"/>
      <c r="K13201" s="9"/>
      <c r="L13201" s="9"/>
    </row>
    <row r="13202" s="105" customFormat="1" spans="9:12">
      <c r="I13202" s="225"/>
      <c r="K13202" s="9"/>
      <c r="L13202" s="9"/>
    </row>
    <row r="13203" s="105" customFormat="1" spans="9:12">
      <c r="I13203" s="225"/>
      <c r="K13203" s="9"/>
      <c r="L13203" s="9"/>
    </row>
    <row r="13204" s="105" customFormat="1" spans="9:12">
      <c r="I13204" s="225"/>
      <c r="K13204" s="9"/>
      <c r="L13204" s="9"/>
    </row>
    <row r="13205" s="105" customFormat="1" spans="9:12">
      <c r="I13205" s="225"/>
      <c r="K13205" s="9"/>
      <c r="L13205" s="9"/>
    </row>
    <row r="13206" s="105" customFormat="1" spans="9:12">
      <c r="I13206" s="225"/>
      <c r="K13206" s="9"/>
      <c r="L13206" s="9"/>
    </row>
    <row r="13207" s="105" customFormat="1" spans="9:12">
      <c r="I13207" s="225"/>
      <c r="K13207" s="9"/>
      <c r="L13207" s="9"/>
    </row>
    <row r="13208" s="105" customFormat="1" spans="9:12">
      <c r="I13208" s="225"/>
      <c r="K13208" s="9"/>
      <c r="L13208" s="9"/>
    </row>
    <row r="13209" s="105" customFormat="1" spans="9:12">
      <c r="I13209" s="225"/>
      <c r="K13209" s="9"/>
      <c r="L13209" s="9"/>
    </row>
    <row r="13210" s="105" customFormat="1" spans="9:12">
      <c r="I13210" s="225"/>
      <c r="K13210" s="9"/>
      <c r="L13210" s="9"/>
    </row>
    <row r="13211" s="105" customFormat="1" spans="9:12">
      <c r="I13211" s="225"/>
      <c r="K13211" s="9"/>
      <c r="L13211" s="9"/>
    </row>
    <row r="13212" s="105" customFormat="1" spans="9:12">
      <c r="I13212" s="225"/>
      <c r="K13212" s="9"/>
      <c r="L13212" s="9"/>
    </row>
    <row r="13213" s="105" customFormat="1" spans="9:12">
      <c r="I13213" s="225"/>
      <c r="K13213" s="9"/>
      <c r="L13213" s="9"/>
    </row>
    <row r="13214" s="105" customFormat="1" spans="9:12">
      <c r="I13214" s="225"/>
      <c r="K13214" s="9"/>
      <c r="L13214" s="9"/>
    </row>
    <row r="13215" s="105" customFormat="1" spans="9:12">
      <c r="I13215" s="225"/>
      <c r="K13215" s="9"/>
      <c r="L13215" s="9"/>
    </row>
    <row r="13216" s="105" customFormat="1" spans="9:12">
      <c r="I13216" s="225"/>
      <c r="K13216" s="9"/>
      <c r="L13216" s="9"/>
    </row>
    <row r="13217" s="105" customFormat="1" spans="9:12">
      <c r="I13217" s="225"/>
      <c r="K13217" s="9"/>
      <c r="L13217" s="9"/>
    </row>
    <row r="13218" s="105" customFormat="1" spans="9:12">
      <c r="I13218" s="225"/>
      <c r="K13218" s="9"/>
      <c r="L13218" s="9"/>
    </row>
    <row r="13219" s="105" customFormat="1" spans="9:12">
      <c r="I13219" s="225"/>
      <c r="K13219" s="9"/>
      <c r="L13219" s="9"/>
    </row>
    <row r="13220" s="105" customFormat="1" spans="9:12">
      <c r="I13220" s="225"/>
      <c r="K13220" s="9"/>
      <c r="L13220" s="9"/>
    </row>
    <row r="13221" s="105" customFormat="1" spans="9:12">
      <c r="I13221" s="225"/>
      <c r="K13221" s="9"/>
      <c r="L13221" s="9"/>
    </row>
    <row r="13222" s="105" customFormat="1" spans="9:12">
      <c r="I13222" s="225"/>
      <c r="K13222" s="9"/>
      <c r="L13222" s="9"/>
    </row>
    <row r="13223" s="105" customFormat="1" spans="9:12">
      <c r="I13223" s="225"/>
      <c r="K13223" s="9"/>
      <c r="L13223" s="9"/>
    </row>
    <row r="13224" s="105" customFormat="1" spans="9:12">
      <c r="I13224" s="225"/>
      <c r="K13224" s="9"/>
      <c r="L13224" s="9"/>
    </row>
    <row r="13225" s="105" customFormat="1" spans="9:12">
      <c r="I13225" s="225"/>
      <c r="K13225" s="9"/>
      <c r="L13225" s="9"/>
    </row>
    <row r="13226" s="105" customFormat="1" spans="9:12">
      <c r="I13226" s="225"/>
      <c r="K13226" s="9"/>
      <c r="L13226" s="9"/>
    </row>
    <row r="13227" s="105" customFormat="1" spans="9:12">
      <c r="I13227" s="225"/>
      <c r="K13227" s="9"/>
      <c r="L13227" s="9"/>
    </row>
    <row r="13228" s="105" customFormat="1" spans="9:12">
      <c r="I13228" s="225"/>
      <c r="K13228" s="9"/>
      <c r="L13228" s="9"/>
    </row>
    <row r="13229" s="105" customFormat="1" spans="9:12">
      <c r="I13229" s="225"/>
      <c r="K13229" s="9"/>
      <c r="L13229" s="9"/>
    </row>
    <row r="13230" s="105" customFormat="1" spans="9:12">
      <c r="I13230" s="225"/>
      <c r="K13230" s="9"/>
      <c r="L13230" s="9"/>
    </row>
    <row r="13231" s="105" customFormat="1" spans="9:12">
      <c r="I13231" s="225"/>
      <c r="K13231" s="9"/>
      <c r="L13231" s="9"/>
    </row>
    <row r="13232" s="105" customFormat="1" spans="9:12">
      <c r="I13232" s="225"/>
      <c r="K13232" s="9"/>
      <c r="L13232" s="9"/>
    </row>
    <row r="13233" s="105" customFormat="1" spans="9:12">
      <c r="I13233" s="225"/>
      <c r="K13233" s="9"/>
      <c r="L13233" s="9"/>
    </row>
    <row r="13234" s="105" customFormat="1" spans="9:12">
      <c r="I13234" s="225"/>
      <c r="K13234" s="9"/>
      <c r="L13234" s="9"/>
    </row>
    <row r="13235" s="105" customFormat="1" spans="9:12">
      <c r="I13235" s="225"/>
      <c r="K13235" s="9"/>
      <c r="L13235" s="9"/>
    </row>
    <row r="13236" s="105" customFormat="1" spans="9:12">
      <c r="I13236" s="225"/>
      <c r="K13236" s="9"/>
      <c r="L13236" s="9"/>
    </row>
    <row r="13237" s="105" customFormat="1" spans="9:12">
      <c r="I13237" s="225"/>
      <c r="K13237" s="9"/>
      <c r="L13237" s="9"/>
    </row>
    <row r="13238" s="105" customFormat="1" spans="9:12">
      <c r="I13238" s="225"/>
      <c r="K13238" s="9"/>
      <c r="L13238" s="9"/>
    </row>
    <row r="13239" s="105" customFormat="1" spans="9:12">
      <c r="I13239" s="225"/>
      <c r="K13239" s="9"/>
      <c r="L13239" s="9"/>
    </row>
    <row r="13240" s="105" customFormat="1" spans="9:12">
      <c r="I13240" s="225"/>
      <c r="K13240" s="9"/>
      <c r="L13240" s="9"/>
    </row>
    <row r="13241" s="105" customFormat="1" spans="9:12">
      <c r="I13241" s="225"/>
      <c r="K13241" s="9"/>
      <c r="L13241" s="9"/>
    </row>
    <row r="13242" s="105" customFormat="1" spans="9:12">
      <c r="I13242" s="225"/>
      <c r="K13242" s="9"/>
      <c r="L13242" s="9"/>
    </row>
    <row r="13243" s="105" customFormat="1" spans="9:12">
      <c r="I13243" s="225"/>
      <c r="K13243" s="9"/>
      <c r="L13243" s="9"/>
    </row>
    <row r="13244" s="105" customFormat="1" spans="9:12">
      <c r="I13244" s="225"/>
      <c r="K13244" s="9"/>
      <c r="L13244" s="9"/>
    </row>
    <row r="13245" s="105" customFormat="1" spans="9:12">
      <c r="I13245" s="225"/>
      <c r="K13245" s="9"/>
      <c r="L13245" s="9"/>
    </row>
    <row r="13246" s="105" customFormat="1" spans="9:12">
      <c r="I13246" s="225"/>
      <c r="K13246" s="9"/>
      <c r="L13246" s="9"/>
    </row>
    <row r="13247" s="105" customFormat="1" spans="9:12">
      <c r="I13247" s="225"/>
      <c r="K13247" s="9"/>
      <c r="L13247" s="9"/>
    </row>
    <row r="13248" s="105" customFormat="1" spans="9:12">
      <c r="I13248" s="225"/>
      <c r="K13248" s="9"/>
      <c r="L13248" s="9"/>
    </row>
    <row r="13249" s="105" customFormat="1" spans="9:12">
      <c r="I13249" s="225"/>
      <c r="K13249" s="9"/>
      <c r="L13249" s="9"/>
    </row>
    <row r="13250" s="105" customFormat="1" spans="9:12">
      <c r="I13250" s="225"/>
      <c r="K13250" s="9"/>
      <c r="L13250" s="9"/>
    </row>
    <row r="13251" s="105" customFormat="1" spans="9:12">
      <c r="I13251" s="225"/>
      <c r="K13251" s="9"/>
      <c r="L13251" s="9"/>
    </row>
    <row r="13252" s="105" customFormat="1" spans="9:12">
      <c r="I13252" s="225"/>
      <c r="K13252" s="9"/>
      <c r="L13252" s="9"/>
    </row>
    <row r="13253" s="105" customFormat="1" spans="9:12">
      <c r="I13253" s="225"/>
      <c r="K13253" s="9"/>
      <c r="L13253" s="9"/>
    </row>
    <row r="13254" s="105" customFormat="1" spans="9:12">
      <c r="I13254" s="225"/>
      <c r="K13254" s="9"/>
      <c r="L13254" s="9"/>
    </row>
    <row r="13255" s="105" customFormat="1" spans="9:12">
      <c r="I13255" s="225"/>
      <c r="K13255" s="9"/>
      <c r="L13255" s="9"/>
    </row>
    <row r="13256" s="105" customFormat="1" spans="9:12">
      <c r="I13256" s="225"/>
      <c r="K13256" s="9"/>
      <c r="L13256" s="9"/>
    </row>
    <row r="13257" s="105" customFormat="1" spans="9:12">
      <c r="I13257" s="225"/>
      <c r="K13257" s="9"/>
      <c r="L13257" s="9"/>
    </row>
    <row r="13258" s="105" customFormat="1" spans="9:12">
      <c r="I13258" s="225"/>
      <c r="K13258" s="9"/>
      <c r="L13258" s="9"/>
    </row>
    <row r="13259" s="105" customFormat="1" spans="9:12">
      <c r="I13259" s="225"/>
      <c r="K13259" s="9"/>
      <c r="L13259" s="9"/>
    </row>
    <row r="13260" s="105" customFormat="1" spans="9:12">
      <c r="I13260" s="225"/>
      <c r="K13260" s="9"/>
      <c r="L13260" s="9"/>
    </row>
    <row r="13261" s="105" customFormat="1" spans="9:12">
      <c r="I13261" s="225"/>
      <c r="K13261" s="9"/>
      <c r="L13261" s="9"/>
    </row>
    <row r="13262" s="105" customFormat="1" spans="9:12">
      <c r="I13262" s="225"/>
      <c r="K13262" s="9"/>
      <c r="L13262" s="9"/>
    </row>
    <row r="13263" s="105" customFormat="1" spans="9:12">
      <c r="I13263" s="225"/>
      <c r="K13263" s="9"/>
      <c r="L13263" s="9"/>
    </row>
    <row r="13264" s="105" customFormat="1" spans="9:12">
      <c r="I13264" s="225"/>
      <c r="K13264" s="9"/>
      <c r="L13264" s="9"/>
    </row>
    <row r="13265" s="105" customFormat="1" spans="9:12">
      <c r="I13265" s="225"/>
      <c r="K13265" s="9"/>
      <c r="L13265" s="9"/>
    </row>
    <row r="13266" s="105" customFormat="1" spans="9:12">
      <c r="I13266" s="225"/>
      <c r="K13266" s="9"/>
      <c r="L13266" s="9"/>
    </row>
    <row r="13267" s="105" customFormat="1" spans="9:12">
      <c r="I13267" s="225"/>
      <c r="K13267" s="9"/>
      <c r="L13267" s="9"/>
    </row>
    <row r="13268" s="105" customFormat="1" spans="9:12">
      <c r="I13268" s="225"/>
      <c r="K13268" s="9"/>
      <c r="L13268" s="9"/>
    </row>
    <row r="13269" s="105" customFormat="1" spans="9:12">
      <c r="I13269" s="225"/>
      <c r="K13269" s="9"/>
      <c r="L13269" s="9"/>
    </row>
    <row r="13270" s="105" customFormat="1" spans="9:12">
      <c r="I13270" s="225"/>
      <c r="K13270" s="9"/>
      <c r="L13270" s="9"/>
    </row>
    <row r="13271" s="105" customFormat="1" spans="9:12">
      <c r="I13271" s="225"/>
      <c r="K13271" s="9"/>
      <c r="L13271" s="9"/>
    </row>
    <row r="13272" s="105" customFormat="1" spans="9:12">
      <c r="I13272" s="225"/>
      <c r="K13272" s="9"/>
      <c r="L13272" s="9"/>
    </row>
    <row r="13273" s="105" customFormat="1" spans="9:12">
      <c r="I13273" s="225"/>
      <c r="K13273" s="9"/>
      <c r="L13273" s="9"/>
    </row>
    <row r="13274" s="105" customFormat="1" spans="9:12">
      <c r="I13274" s="225"/>
      <c r="K13274" s="9"/>
      <c r="L13274" s="9"/>
    </row>
    <row r="13275" s="105" customFormat="1" spans="9:12">
      <c r="I13275" s="225"/>
      <c r="K13275" s="9"/>
      <c r="L13275" s="9"/>
    </row>
    <row r="13276" s="105" customFormat="1" spans="9:12">
      <c r="I13276" s="225"/>
      <c r="K13276" s="9"/>
      <c r="L13276" s="9"/>
    </row>
    <row r="13277" s="105" customFormat="1" spans="9:12">
      <c r="I13277" s="225"/>
      <c r="K13277" s="9"/>
      <c r="L13277" s="9"/>
    </row>
    <row r="13278" s="105" customFormat="1" spans="9:12">
      <c r="I13278" s="225"/>
      <c r="K13278" s="9"/>
      <c r="L13278" s="9"/>
    </row>
    <row r="13279" s="105" customFormat="1" spans="9:12">
      <c r="I13279" s="225"/>
      <c r="K13279" s="9"/>
      <c r="L13279" s="9"/>
    </row>
    <row r="13280" s="105" customFormat="1" spans="9:12">
      <c r="I13280" s="225"/>
      <c r="K13280" s="9"/>
      <c r="L13280" s="9"/>
    </row>
    <row r="13281" s="105" customFormat="1" spans="9:12">
      <c r="I13281" s="225"/>
      <c r="K13281" s="9"/>
      <c r="L13281" s="9"/>
    </row>
    <row r="13282" s="105" customFormat="1" spans="9:12">
      <c r="I13282" s="225"/>
      <c r="K13282" s="9"/>
      <c r="L13282" s="9"/>
    </row>
    <row r="13283" s="105" customFormat="1" spans="9:12">
      <c r="I13283" s="225"/>
      <c r="K13283" s="9"/>
      <c r="L13283" s="9"/>
    </row>
    <row r="13284" s="105" customFormat="1" spans="9:12">
      <c r="I13284" s="225"/>
      <c r="K13284" s="9"/>
      <c r="L13284" s="9"/>
    </row>
    <row r="13285" s="105" customFormat="1" spans="9:12">
      <c r="I13285" s="225"/>
      <c r="K13285" s="9"/>
      <c r="L13285" s="9"/>
    </row>
    <row r="13286" s="105" customFormat="1" spans="9:12">
      <c r="I13286" s="225"/>
      <c r="K13286" s="9"/>
      <c r="L13286" s="9"/>
    </row>
    <row r="13287" s="105" customFormat="1" spans="9:12">
      <c r="I13287" s="225"/>
      <c r="K13287" s="9"/>
      <c r="L13287" s="9"/>
    </row>
    <row r="13288" s="105" customFormat="1" spans="9:12">
      <c r="I13288" s="225"/>
      <c r="K13288" s="9"/>
      <c r="L13288" s="9"/>
    </row>
    <row r="13289" s="105" customFormat="1" spans="9:12">
      <c r="I13289" s="225"/>
      <c r="K13289" s="9"/>
      <c r="L13289" s="9"/>
    </row>
    <row r="13290" s="105" customFormat="1" spans="9:12">
      <c r="I13290" s="225"/>
      <c r="K13290" s="9"/>
      <c r="L13290" s="9"/>
    </row>
    <row r="13291" s="105" customFormat="1" spans="9:12">
      <c r="I13291" s="225"/>
      <c r="K13291" s="9"/>
      <c r="L13291" s="9"/>
    </row>
    <row r="13292" s="105" customFormat="1" spans="9:12">
      <c r="I13292" s="225"/>
      <c r="K13292" s="9"/>
      <c r="L13292" s="9"/>
    </row>
    <row r="13293" s="105" customFormat="1" spans="9:12">
      <c r="I13293" s="225"/>
      <c r="K13293" s="9"/>
      <c r="L13293" s="9"/>
    </row>
    <row r="13294" s="105" customFormat="1" spans="9:12">
      <c r="I13294" s="225"/>
      <c r="K13294" s="9"/>
      <c r="L13294" s="9"/>
    </row>
    <row r="13295" s="105" customFormat="1" spans="9:12">
      <c r="I13295" s="225"/>
      <c r="K13295" s="9"/>
      <c r="L13295" s="9"/>
    </row>
    <row r="13296" s="105" customFormat="1" spans="9:12">
      <c r="I13296" s="225"/>
      <c r="K13296" s="9"/>
      <c r="L13296" s="9"/>
    </row>
    <row r="13297" s="105" customFormat="1" spans="9:12">
      <c r="I13297" s="225"/>
      <c r="K13297" s="9"/>
      <c r="L13297" s="9"/>
    </row>
    <row r="13298" s="105" customFormat="1" spans="9:12">
      <c r="I13298" s="225"/>
      <c r="K13298" s="9"/>
      <c r="L13298" s="9"/>
    </row>
    <row r="13299" s="105" customFormat="1" spans="9:12">
      <c r="I13299" s="225"/>
      <c r="K13299" s="9"/>
      <c r="L13299" s="9"/>
    </row>
    <row r="13300" s="105" customFormat="1" spans="9:12">
      <c r="I13300" s="225"/>
      <c r="K13300" s="9"/>
      <c r="L13300" s="9"/>
    </row>
    <row r="13301" s="105" customFormat="1" spans="9:12">
      <c r="I13301" s="225"/>
      <c r="K13301" s="9"/>
      <c r="L13301" s="9"/>
    </row>
    <row r="13302" s="105" customFormat="1" spans="9:12">
      <c r="I13302" s="225"/>
      <c r="K13302" s="9"/>
      <c r="L13302" s="9"/>
    </row>
    <row r="13303" s="105" customFormat="1" spans="9:12">
      <c r="I13303" s="225"/>
      <c r="K13303" s="9"/>
      <c r="L13303" s="9"/>
    </row>
    <row r="13304" s="105" customFormat="1" spans="9:12">
      <c r="I13304" s="225"/>
      <c r="K13304" s="9"/>
      <c r="L13304" s="9"/>
    </row>
    <row r="13305" s="105" customFormat="1" spans="9:12">
      <c r="I13305" s="225"/>
      <c r="K13305" s="9"/>
      <c r="L13305" s="9"/>
    </row>
    <row r="13306" s="105" customFormat="1" spans="9:12">
      <c r="I13306" s="225"/>
      <c r="K13306" s="9"/>
      <c r="L13306" s="9"/>
    </row>
    <row r="13307" s="105" customFormat="1" spans="9:12">
      <c r="I13307" s="225"/>
      <c r="K13307" s="9"/>
      <c r="L13307" s="9"/>
    </row>
    <row r="13308" s="105" customFormat="1" spans="9:12">
      <c r="I13308" s="225"/>
      <c r="K13308" s="9"/>
      <c r="L13308" s="9"/>
    </row>
    <row r="13309" s="105" customFormat="1" spans="9:12">
      <c r="I13309" s="225"/>
      <c r="K13309" s="9"/>
      <c r="L13309" s="9"/>
    </row>
    <row r="13310" s="105" customFormat="1" spans="9:12">
      <c r="I13310" s="225"/>
      <c r="K13310" s="9"/>
      <c r="L13310" s="9"/>
    </row>
    <row r="13311" s="105" customFormat="1" spans="9:12">
      <c r="I13311" s="225"/>
      <c r="K13311" s="9"/>
      <c r="L13311" s="9"/>
    </row>
    <row r="13312" s="105" customFormat="1" spans="9:12">
      <c r="I13312" s="225"/>
      <c r="K13312" s="9"/>
      <c r="L13312" s="9"/>
    </row>
    <row r="13313" s="105" customFormat="1" spans="9:12">
      <c r="I13313" s="225"/>
      <c r="K13313" s="9"/>
      <c r="L13313" s="9"/>
    </row>
    <row r="13314" s="105" customFormat="1" spans="9:12">
      <c r="I13314" s="225"/>
      <c r="K13314" s="9"/>
      <c r="L13314" s="9"/>
    </row>
    <row r="13315" s="105" customFormat="1" spans="9:12">
      <c r="I13315" s="225"/>
      <c r="K13315" s="9"/>
      <c r="L13315" s="9"/>
    </row>
    <row r="13316" s="105" customFormat="1" spans="9:12">
      <c r="I13316" s="225"/>
      <c r="K13316" s="9"/>
      <c r="L13316" s="9"/>
    </row>
    <row r="13317" s="105" customFormat="1" spans="9:12">
      <c r="I13317" s="225"/>
      <c r="K13317" s="9"/>
      <c r="L13317" s="9"/>
    </row>
    <row r="13318" s="105" customFormat="1" spans="9:12">
      <c r="I13318" s="225"/>
      <c r="K13318" s="9"/>
      <c r="L13318" s="9"/>
    </row>
    <row r="13319" s="105" customFormat="1" spans="9:12">
      <c r="I13319" s="225"/>
      <c r="K13319" s="9"/>
      <c r="L13319" s="9"/>
    </row>
    <row r="13320" s="105" customFormat="1" spans="9:12">
      <c r="I13320" s="225"/>
      <c r="K13320" s="9"/>
      <c r="L13320" s="9"/>
    </row>
    <row r="13321" s="105" customFormat="1" spans="9:12">
      <c r="I13321" s="225"/>
      <c r="K13321" s="9"/>
      <c r="L13321" s="9"/>
    </row>
    <row r="13322" s="105" customFormat="1" spans="9:12">
      <c r="I13322" s="225"/>
      <c r="K13322" s="9"/>
      <c r="L13322" s="9"/>
    </row>
    <row r="13323" s="105" customFormat="1" spans="9:12">
      <c r="I13323" s="225"/>
      <c r="K13323" s="9"/>
      <c r="L13323" s="9"/>
    </row>
    <row r="13324" s="105" customFormat="1" spans="9:12">
      <c r="I13324" s="225"/>
      <c r="K13324" s="9"/>
      <c r="L13324" s="9"/>
    </row>
    <row r="13325" s="105" customFormat="1" spans="9:12">
      <c r="I13325" s="225"/>
      <c r="K13325" s="9"/>
      <c r="L13325" s="9"/>
    </row>
    <row r="13326" s="105" customFormat="1" spans="9:12">
      <c r="I13326" s="225"/>
      <c r="K13326" s="9"/>
      <c r="L13326" s="9"/>
    </row>
    <row r="13327" s="105" customFormat="1" spans="9:12">
      <c r="I13327" s="225"/>
      <c r="K13327" s="9"/>
      <c r="L13327" s="9"/>
    </row>
    <row r="13328" s="105" customFormat="1" spans="9:12">
      <c r="I13328" s="225"/>
      <c r="K13328" s="9"/>
      <c r="L13328" s="9"/>
    </row>
    <row r="13329" s="105" customFormat="1" spans="9:12">
      <c r="I13329" s="225"/>
      <c r="K13329" s="9"/>
      <c r="L13329" s="9"/>
    </row>
    <row r="13330" s="105" customFormat="1" spans="9:12">
      <c r="I13330" s="225"/>
      <c r="K13330" s="9"/>
      <c r="L13330" s="9"/>
    </row>
    <row r="13331" s="105" customFormat="1" spans="9:12">
      <c r="I13331" s="225"/>
      <c r="K13331" s="9"/>
      <c r="L13331" s="9"/>
    </row>
    <row r="13332" s="105" customFormat="1" spans="9:12">
      <c r="I13332" s="225"/>
      <c r="K13332" s="9"/>
      <c r="L13332" s="9"/>
    </row>
    <row r="13333" s="105" customFormat="1" spans="9:12">
      <c r="I13333" s="225"/>
      <c r="K13333" s="9"/>
      <c r="L13333" s="9"/>
    </row>
    <row r="13334" s="105" customFormat="1" spans="9:12">
      <c r="I13334" s="225"/>
      <c r="K13334" s="9"/>
      <c r="L13334" s="9"/>
    </row>
    <row r="13335" s="105" customFormat="1" spans="9:12">
      <c r="I13335" s="225"/>
      <c r="K13335" s="9"/>
      <c r="L13335" s="9"/>
    </row>
    <row r="13336" s="105" customFormat="1" spans="9:12">
      <c r="I13336" s="225"/>
      <c r="K13336" s="9"/>
      <c r="L13336" s="9"/>
    </row>
    <row r="13337" s="105" customFormat="1" spans="9:12">
      <c r="I13337" s="225"/>
      <c r="K13337" s="9"/>
      <c r="L13337" s="9"/>
    </row>
    <row r="13338" s="105" customFormat="1" spans="9:12">
      <c r="I13338" s="225"/>
      <c r="K13338" s="9"/>
      <c r="L13338" s="9"/>
    </row>
    <row r="13339" s="105" customFormat="1" spans="9:12">
      <c r="I13339" s="225"/>
      <c r="K13339" s="9"/>
      <c r="L13339" s="9"/>
    </row>
    <row r="13340" s="105" customFormat="1" spans="9:12">
      <c r="I13340" s="225"/>
      <c r="K13340" s="9"/>
      <c r="L13340" s="9"/>
    </row>
    <row r="13341" s="105" customFormat="1" spans="9:12">
      <c r="I13341" s="225"/>
      <c r="K13341" s="9"/>
      <c r="L13341" s="9"/>
    </row>
    <row r="13342" s="105" customFormat="1" spans="9:12">
      <c r="I13342" s="225"/>
      <c r="K13342" s="9"/>
      <c r="L13342" s="9"/>
    </row>
    <row r="13343" s="105" customFormat="1" spans="9:12">
      <c r="I13343" s="225"/>
      <c r="K13343" s="9"/>
      <c r="L13343" s="9"/>
    </row>
    <row r="13344" s="105" customFormat="1" spans="9:12">
      <c r="I13344" s="225"/>
      <c r="K13344" s="9"/>
      <c r="L13344" s="9"/>
    </row>
    <row r="13345" s="105" customFormat="1" spans="9:12">
      <c r="I13345" s="225"/>
      <c r="K13345" s="9"/>
      <c r="L13345" s="9"/>
    </row>
    <row r="13346" s="105" customFormat="1" spans="9:12">
      <c r="I13346" s="225"/>
      <c r="K13346" s="9"/>
      <c r="L13346" s="9"/>
    </row>
    <row r="13347" s="105" customFormat="1" spans="9:12">
      <c r="I13347" s="225"/>
      <c r="K13347" s="9"/>
      <c r="L13347" s="9"/>
    </row>
    <row r="13348" s="105" customFormat="1" spans="9:12">
      <c r="I13348" s="225"/>
      <c r="K13348" s="9"/>
      <c r="L13348" s="9"/>
    </row>
    <row r="13349" s="105" customFormat="1" spans="9:12">
      <c r="I13349" s="225"/>
      <c r="K13349" s="9"/>
      <c r="L13349" s="9"/>
    </row>
    <row r="13350" s="105" customFormat="1" spans="9:12">
      <c r="I13350" s="225"/>
      <c r="K13350" s="9"/>
      <c r="L13350" s="9"/>
    </row>
    <row r="13351" s="105" customFormat="1" spans="9:12">
      <c r="I13351" s="225"/>
      <c r="K13351" s="9"/>
      <c r="L13351" s="9"/>
    </row>
    <row r="13352" s="105" customFormat="1" spans="9:12">
      <c r="I13352" s="225"/>
      <c r="K13352" s="9"/>
      <c r="L13352" s="9"/>
    </row>
    <row r="13353" s="105" customFormat="1" spans="9:12">
      <c r="I13353" s="225"/>
      <c r="K13353" s="9"/>
      <c r="L13353" s="9"/>
    </row>
    <row r="13354" s="105" customFormat="1" spans="9:12">
      <c r="I13354" s="225"/>
      <c r="K13354" s="9"/>
      <c r="L13354" s="9"/>
    </row>
    <row r="13355" s="105" customFormat="1" spans="9:12">
      <c r="I13355" s="225"/>
      <c r="K13355" s="9"/>
      <c r="L13355" s="9"/>
    </row>
    <row r="13356" s="105" customFormat="1" spans="9:12">
      <c r="I13356" s="225"/>
      <c r="K13356" s="9"/>
      <c r="L13356" s="9"/>
    </row>
    <row r="13357" s="105" customFormat="1" spans="9:12">
      <c r="I13357" s="225"/>
      <c r="K13357" s="9"/>
      <c r="L13357" s="9"/>
    </row>
    <row r="13358" s="105" customFormat="1" spans="9:12">
      <c r="I13358" s="225"/>
      <c r="K13358" s="9"/>
      <c r="L13358" s="9"/>
    </row>
    <row r="13359" s="105" customFormat="1" spans="9:12">
      <c r="I13359" s="225"/>
      <c r="K13359" s="9"/>
      <c r="L13359" s="9"/>
    </row>
    <row r="13360" s="105" customFormat="1" spans="9:12">
      <c r="I13360" s="225"/>
      <c r="K13360" s="9"/>
      <c r="L13360" s="9"/>
    </row>
    <row r="13361" s="105" customFormat="1" spans="9:12">
      <c r="I13361" s="225"/>
      <c r="K13361" s="9"/>
      <c r="L13361" s="9"/>
    </row>
    <row r="13362" s="105" customFormat="1" spans="9:12">
      <c r="I13362" s="225"/>
      <c r="K13362" s="9"/>
      <c r="L13362" s="9"/>
    </row>
    <row r="13363" s="105" customFormat="1" spans="9:12">
      <c r="I13363" s="225"/>
      <c r="K13363" s="9"/>
      <c r="L13363" s="9"/>
    </row>
    <row r="13364" s="105" customFormat="1" spans="9:12">
      <c r="I13364" s="225"/>
      <c r="K13364" s="9"/>
      <c r="L13364" s="9"/>
    </row>
    <row r="13365" s="105" customFormat="1" spans="9:12">
      <c r="I13365" s="225"/>
      <c r="K13365" s="9"/>
      <c r="L13365" s="9"/>
    </row>
    <row r="13366" s="105" customFormat="1" spans="9:12">
      <c r="I13366" s="225"/>
      <c r="K13366" s="9"/>
      <c r="L13366" s="9"/>
    </row>
    <row r="13367" s="105" customFormat="1" spans="9:12">
      <c r="I13367" s="225"/>
      <c r="K13367" s="9"/>
      <c r="L13367" s="9"/>
    </row>
    <row r="13368" s="105" customFormat="1" spans="9:12">
      <c r="I13368" s="225"/>
      <c r="K13368" s="9"/>
      <c r="L13368" s="9"/>
    </row>
    <row r="13369" s="105" customFormat="1" spans="9:12">
      <c r="I13369" s="225"/>
      <c r="K13369" s="9"/>
      <c r="L13369" s="9"/>
    </row>
    <row r="13370" s="105" customFormat="1" spans="9:12">
      <c r="I13370" s="225"/>
      <c r="K13370" s="9"/>
      <c r="L13370" s="9"/>
    </row>
    <row r="13371" s="105" customFormat="1" spans="9:12">
      <c r="I13371" s="225"/>
      <c r="K13371" s="9"/>
      <c r="L13371" s="9"/>
    </row>
    <row r="13372" s="105" customFormat="1" spans="9:12">
      <c r="I13372" s="225"/>
      <c r="K13372" s="9"/>
      <c r="L13372" s="9"/>
    </row>
    <row r="13373" s="105" customFormat="1" spans="9:12">
      <c r="I13373" s="225"/>
      <c r="K13373" s="9"/>
      <c r="L13373" s="9"/>
    </row>
    <row r="13374" s="105" customFormat="1" spans="9:12">
      <c r="I13374" s="225"/>
      <c r="K13374" s="9"/>
      <c r="L13374" s="9"/>
    </row>
    <row r="13375" s="105" customFormat="1" spans="9:12">
      <c r="I13375" s="225"/>
      <c r="K13375" s="9"/>
      <c r="L13375" s="9"/>
    </row>
    <row r="13376" s="105" customFormat="1" spans="9:12">
      <c r="I13376" s="225"/>
      <c r="K13376" s="9"/>
      <c r="L13376" s="9"/>
    </row>
    <row r="13377" s="105" customFormat="1" spans="9:12">
      <c r="I13377" s="225"/>
      <c r="K13377" s="9"/>
      <c r="L13377" s="9"/>
    </row>
    <row r="13378" s="105" customFormat="1" spans="9:12">
      <c r="I13378" s="225"/>
      <c r="K13378" s="9"/>
      <c r="L13378" s="9"/>
    </row>
    <row r="13379" s="105" customFormat="1" spans="9:12">
      <c r="I13379" s="225"/>
      <c r="K13379" s="9"/>
      <c r="L13379" s="9"/>
    </row>
    <row r="13380" s="105" customFormat="1" spans="9:12">
      <c r="I13380" s="225"/>
      <c r="K13380" s="9"/>
      <c r="L13380" s="9"/>
    </row>
    <row r="13381" s="105" customFormat="1" spans="9:12">
      <c r="I13381" s="225"/>
      <c r="K13381" s="9"/>
      <c r="L13381" s="9"/>
    </row>
    <row r="13382" s="105" customFormat="1" spans="9:12">
      <c r="I13382" s="225"/>
      <c r="K13382" s="9"/>
      <c r="L13382" s="9"/>
    </row>
    <row r="13383" s="105" customFormat="1" spans="9:12">
      <c r="I13383" s="225"/>
      <c r="K13383" s="9"/>
      <c r="L13383" s="9"/>
    </row>
    <row r="13384" s="105" customFormat="1" spans="9:12">
      <c r="I13384" s="225"/>
      <c r="K13384" s="9"/>
      <c r="L13384" s="9"/>
    </row>
    <row r="13385" s="105" customFormat="1" spans="9:12">
      <c r="I13385" s="225"/>
      <c r="K13385" s="9"/>
      <c r="L13385" s="9"/>
    </row>
    <row r="13386" s="105" customFormat="1" spans="9:12">
      <c r="I13386" s="225"/>
      <c r="K13386" s="9"/>
      <c r="L13386" s="9"/>
    </row>
    <row r="13387" s="105" customFormat="1" spans="9:12">
      <c r="I13387" s="225"/>
      <c r="K13387" s="9"/>
      <c r="L13387" s="9"/>
    </row>
    <row r="13388" s="105" customFormat="1" spans="9:12">
      <c r="I13388" s="225"/>
      <c r="K13388" s="9"/>
      <c r="L13388" s="9"/>
    </row>
    <row r="13389" s="105" customFormat="1" spans="9:12">
      <c r="I13389" s="225"/>
      <c r="K13389" s="9"/>
      <c r="L13389" s="9"/>
    </row>
    <row r="13390" s="105" customFormat="1" spans="9:12">
      <c r="I13390" s="225"/>
      <c r="K13390" s="9"/>
      <c r="L13390" s="9"/>
    </row>
    <row r="13391" s="105" customFormat="1" spans="9:12">
      <c r="I13391" s="225"/>
      <c r="K13391" s="9"/>
      <c r="L13391" s="9"/>
    </row>
    <row r="13392" s="105" customFormat="1" spans="9:12">
      <c r="I13392" s="225"/>
      <c r="K13392" s="9"/>
      <c r="L13392" s="9"/>
    </row>
    <row r="13393" s="105" customFormat="1" spans="9:12">
      <c r="I13393" s="225"/>
      <c r="K13393" s="9"/>
      <c r="L13393" s="9"/>
    </row>
    <row r="13394" s="105" customFormat="1" spans="9:12">
      <c r="I13394" s="225"/>
      <c r="K13394" s="9"/>
      <c r="L13394" s="9"/>
    </row>
    <row r="13395" s="105" customFormat="1" spans="9:12">
      <c r="I13395" s="225"/>
      <c r="K13395" s="9"/>
      <c r="L13395" s="9"/>
    </row>
    <row r="13396" s="105" customFormat="1" spans="9:12">
      <c r="I13396" s="225"/>
      <c r="K13396" s="9"/>
      <c r="L13396" s="9"/>
    </row>
    <row r="13397" s="105" customFormat="1" spans="9:12">
      <c r="I13397" s="225"/>
      <c r="K13397" s="9"/>
      <c r="L13397" s="9"/>
    </row>
    <row r="13398" s="105" customFormat="1" spans="9:12">
      <c r="I13398" s="225"/>
      <c r="K13398" s="9"/>
      <c r="L13398" s="9"/>
    </row>
    <row r="13399" s="105" customFormat="1" spans="9:12">
      <c r="I13399" s="225"/>
      <c r="K13399" s="9"/>
      <c r="L13399" s="9"/>
    </row>
    <row r="13400" s="105" customFormat="1" spans="9:12">
      <c r="I13400" s="225"/>
      <c r="K13400" s="9"/>
      <c r="L13400" s="9"/>
    </row>
    <row r="13401" s="105" customFormat="1" spans="9:12">
      <c r="I13401" s="225"/>
      <c r="K13401" s="9"/>
      <c r="L13401" s="9"/>
    </row>
    <row r="13402" s="105" customFormat="1" spans="9:12">
      <c r="I13402" s="225"/>
      <c r="K13402" s="9"/>
      <c r="L13402" s="9"/>
    </row>
    <row r="13403" s="105" customFormat="1" spans="9:12">
      <c r="I13403" s="225"/>
      <c r="K13403" s="9"/>
      <c r="L13403" s="9"/>
    </row>
    <row r="13404" s="105" customFormat="1" spans="9:12">
      <c r="I13404" s="225"/>
      <c r="K13404" s="9"/>
      <c r="L13404" s="9"/>
    </row>
    <row r="13405" s="105" customFormat="1" spans="9:12">
      <c r="I13405" s="225"/>
      <c r="K13405" s="9"/>
      <c r="L13405" s="9"/>
    </row>
    <row r="13406" s="105" customFormat="1" spans="9:12">
      <c r="I13406" s="225"/>
      <c r="K13406" s="9"/>
      <c r="L13406" s="9"/>
    </row>
    <row r="13407" s="105" customFormat="1" spans="9:12">
      <c r="I13407" s="225"/>
      <c r="K13407" s="9"/>
      <c r="L13407" s="9"/>
    </row>
    <row r="13408" s="105" customFormat="1" spans="9:12">
      <c r="I13408" s="225"/>
      <c r="K13408" s="9"/>
      <c r="L13408" s="9"/>
    </row>
    <row r="13409" s="105" customFormat="1" spans="9:12">
      <c r="I13409" s="225"/>
      <c r="K13409" s="9"/>
      <c r="L13409" s="9"/>
    </row>
    <row r="13410" s="105" customFormat="1" spans="9:12">
      <c r="I13410" s="225"/>
      <c r="K13410" s="9"/>
      <c r="L13410" s="9"/>
    </row>
    <row r="13411" s="105" customFormat="1" spans="9:12">
      <c r="I13411" s="225"/>
      <c r="K13411" s="9"/>
      <c r="L13411" s="9"/>
    </row>
    <row r="13412" s="105" customFormat="1" spans="9:12">
      <c r="I13412" s="225"/>
      <c r="K13412" s="9"/>
      <c r="L13412" s="9"/>
    </row>
    <row r="13413" s="105" customFormat="1" spans="9:12">
      <c r="I13413" s="225"/>
      <c r="K13413" s="9"/>
      <c r="L13413" s="9"/>
    </row>
    <row r="13414" s="105" customFormat="1" spans="9:12">
      <c r="I13414" s="225"/>
      <c r="K13414" s="9"/>
      <c r="L13414" s="9"/>
    </row>
    <row r="13415" s="105" customFormat="1" spans="9:12">
      <c r="I13415" s="225"/>
      <c r="K13415" s="9"/>
      <c r="L13415" s="9"/>
    </row>
    <row r="13416" s="105" customFormat="1" spans="9:12">
      <c r="I13416" s="225"/>
      <c r="K13416" s="9"/>
      <c r="L13416" s="9"/>
    </row>
    <row r="13417" s="105" customFormat="1" spans="9:12">
      <c r="I13417" s="225"/>
      <c r="K13417" s="9"/>
      <c r="L13417" s="9"/>
    </row>
    <row r="13418" s="105" customFormat="1" spans="9:12">
      <c r="I13418" s="225"/>
      <c r="K13418" s="9"/>
      <c r="L13418" s="9"/>
    </row>
    <row r="13419" s="105" customFormat="1" spans="9:12">
      <c r="I13419" s="225"/>
      <c r="K13419" s="9"/>
      <c r="L13419" s="9"/>
    </row>
    <row r="13420" s="105" customFormat="1" spans="9:12">
      <c r="I13420" s="225"/>
      <c r="K13420" s="9"/>
      <c r="L13420" s="9"/>
    </row>
    <row r="13421" s="105" customFormat="1" spans="9:12">
      <c r="I13421" s="225"/>
      <c r="K13421" s="9"/>
      <c r="L13421" s="9"/>
    </row>
    <row r="13422" s="105" customFormat="1" spans="9:12">
      <c r="I13422" s="225"/>
      <c r="K13422" s="9"/>
      <c r="L13422" s="9"/>
    </row>
    <row r="13423" s="105" customFormat="1" spans="9:12">
      <c r="I13423" s="225"/>
      <c r="K13423" s="9"/>
      <c r="L13423" s="9"/>
    </row>
    <row r="13424" s="105" customFormat="1" spans="9:12">
      <c r="I13424" s="225"/>
      <c r="K13424" s="9"/>
      <c r="L13424" s="9"/>
    </row>
    <row r="13425" s="105" customFormat="1" spans="9:12">
      <c r="I13425" s="225"/>
      <c r="K13425" s="9"/>
      <c r="L13425" s="9"/>
    </row>
    <row r="13426" s="105" customFormat="1" spans="9:12">
      <c r="I13426" s="225"/>
      <c r="K13426" s="9"/>
      <c r="L13426" s="9"/>
    </row>
    <row r="13427" s="105" customFormat="1" spans="9:12">
      <c r="I13427" s="225"/>
      <c r="K13427" s="9"/>
      <c r="L13427" s="9"/>
    </row>
    <row r="13428" s="105" customFormat="1" spans="9:12">
      <c r="I13428" s="225"/>
      <c r="K13428" s="9"/>
      <c r="L13428" s="9"/>
    </row>
    <row r="13429" s="105" customFormat="1" spans="9:12">
      <c r="I13429" s="225"/>
      <c r="K13429" s="9"/>
      <c r="L13429" s="9"/>
    </row>
    <row r="13430" s="105" customFormat="1" spans="9:12">
      <c r="I13430" s="225"/>
      <c r="K13430" s="9"/>
      <c r="L13430" s="9"/>
    </row>
    <row r="13431" s="105" customFormat="1" spans="9:12">
      <c r="I13431" s="225"/>
      <c r="K13431" s="9"/>
      <c r="L13431" s="9"/>
    </row>
    <row r="13432" s="105" customFormat="1" spans="9:12">
      <c r="I13432" s="225"/>
      <c r="K13432" s="9"/>
      <c r="L13432" s="9"/>
    </row>
    <row r="13433" s="105" customFormat="1" spans="9:12">
      <c r="I13433" s="225"/>
      <c r="K13433" s="9"/>
      <c r="L13433" s="9"/>
    </row>
    <row r="13434" s="105" customFormat="1" spans="9:12">
      <c r="I13434" s="225"/>
      <c r="K13434" s="9"/>
      <c r="L13434" s="9"/>
    </row>
    <row r="13435" s="105" customFormat="1" spans="9:12">
      <c r="I13435" s="225"/>
      <c r="K13435" s="9"/>
      <c r="L13435" s="9"/>
    </row>
    <row r="13436" s="105" customFormat="1" spans="9:12">
      <c r="I13436" s="225"/>
      <c r="K13436" s="9"/>
      <c r="L13436" s="9"/>
    </row>
    <row r="13437" s="105" customFormat="1" spans="9:12">
      <c r="I13437" s="225"/>
      <c r="K13437" s="9"/>
      <c r="L13437" s="9"/>
    </row>
    <row r="13438" s="105" customFormat="1" spans="9:12">
      <c r="I13438" s="225"/>
      <c r="K13438" s="9"/>
      <c r="L13438" s="9"/>
    </row>
    <row r="13439" s="105" customFormat="1" spans="9:12">
      <c r="I13439" s="225"/>
      <c r="K13439" s="9"/>
      <c r="L13439" s="9"/>
    </row>
    <row r="13440" s="105" customFormat="1" spans="9:12">
      <c r="I13440" s="225"/>
      <c r="K13440" s="9"/>
      <c r="L13440" s="9"/>
    </row>
    <row r="13441" s="105" customFormat="1" spans="9:12">
      <c r="I13441" s="225"/>
      <c r="K13441" s="9"/>
      <c r="L13441" s="9"/>
    </row>
    <row r="13442" s="105" customFormat="1" spans="9:12">
      <c r="I13442" s="225"/>
      <c r="K13442" s="9"/>
      <c r="L13442" s="9"/>
    </row>
    <row r="13443" s="105" customFormat="1" spans="9:12">
      <c r="I13443" s="225"/>
      <c r="K13443" s="9"/>
      <c r="L13443" s="9"/>
    </row>
    <row r="13444" s="105" customFormat="1" spans="9:12">
      <c r="I13444" s="225"/>
      <c r="K13444" s="9"/>
      <c r="L13444" s="9"/>
    </row>
    <row r="13445" s="105" customFormat="1" spans="9:12">
      <c r="I13445" s="225"/>
      <c r="K13445" s="9"/>
      <c r="L13445" s="9"/>
    </row>
    <row r="13446" s="105" customFormat="1" spans="9:12">
      <c r="I13446" s="225"/>
      <c r="K13446" s="9"/>
      <c r="L13446" s="9"/>
    </row>
    <row r="13447" s="105" customFormat="1" spans="9:12">
      <c r="I13447" s="225"/>
      <c r="K13447" s="9"/>
      <c r="L13447" s="9"/>
    </row>
    <row r="13448" s="105" customFormat="1" spans="9:12">
      <c r="I13448" s="225"/>
      <c r="K13448" s="9"/>
      <c r="L13448" s="9"/>
    </row>
    <row r="13449" s="105" customFormat="1" spans="9:12">
      <c r="I13449" s="225"/>
      <c r="K13449" s="9"/>
      <c r="L13449" s="9"/>
    </row>
    <row r="13450" s="105" customFormat="1" spans="9:12">
      <c r="I13450" s="225"/>
      <c r="K13450" s="9"/>
      <c r="L13450" s="9"/>
    </row>
    <row r="13451" s="105" customFormat="1" spans="9:12">
      <c r="I13451" s="225"/>
      <c r="K13451" s="9"/>
      <c r="L13451" s="9"/>
    </row>
    <row r="13452" s="105" customFormat="1" spans="9:12">
      <c r="I13452" s="225"/>
      <c r="K13452" s="9"/>
      <c r="L13452" s="9"/>
    </row>
    <row r="13453" s="105" customFormat="1" spans="9:12">
      <c r="I13453" s="225"/>
      <c r="K13453" s="9"/>
      <c r="L13453" s="9"/>
    </row>
    <row r="13454" s="105" customFormat="1" spans="9:12">
      <c r="I13454" s="225"/>
      <c r="K13454" s="9"/>
      <c r="L13454" s="9"/>
    </row>
    <row r="13455" s="105" customFormat="1" spans="9:12">
      <c r="I13455" s="225"/>
      <c r="K13455" s="9"/>
      <c r="L13455" s="9"/>
    </row>
    <row r="13456" s="105" customFormat="1" spans="9:12">
      <c r="I13456" s="225"/>
      <c r="K13456" s="9"/>
      <c r="L13456" s="9"/>
    </row>
    <row r="13457" s="105" customFormat="1" spans="9:12">
      <c r="I13457" s="225"/>
      <c r="K13457" s="9"/>
      <c r="L13457" s="9"/>
    </row>
    <row r="13458" s="105" customFormat="1" spans="9:12">
      <c r="I13458" s="225"/>
      <c r="K13458" s="9"/>
      <c r="L13458" s="9"/>
    </row>
    <row r="13459" s="105" customFormat="1" spans="9:12">
      <c r="I13459" s="225"/>
      <c r="K13459" s="9"/>
      <c r="L13459" s="9"/>
    </row>
    <row r="13460" s="105" customFormat="1" spans="9:12">
      <c r="I13460" s="225"/>
      <c r="K13460" s="9"/>
      <c r="L13460" s="9"/>
    </row>
    <row r="13461" s="105" customFormat="1" spans="9:12">
      <c r="I13461" s="225"/>
      <c r="K13461" s="9"/>
      <c r="L13461" s="9"/>
    </row>
    <row r="13462" s="105" customFormat="1" spans="9:12">
      <c r="I13462" s="225"/>
      <c r="K13462" s="9"/>
      <c r="L13462" s="9"/>
    </row>
    <row r="13463" s="105" customFormat="1" spans="9:12">
      <c r="I13463" s="225"/>
      <c r="K13463" s="9"/>
      <c r="L13463" s="9"/>
    </row>
    <row r="13464" s="105" customFormat="1" spans="9:12">
      <c r="I13464" s="225"/>
      <c r="K13464" s="9"/>
      <c r="L13464" s="9"/>
    </row>
    <row r="13465" s="105" customFormat="1" spans="9:12">
      <c r="I13465" s="225"/>
      <c r="K13465" s="9"/>
      <c r="L13465" s="9"/>
    </row>
    <row r="13466" s="105" customFormat="1" spans="9:12">
      <c r="I13466" s="225"/>
      <c r="K13466" s="9"/>
      <c r="L13466" s="9"/>
    </row>
    <row r="13467" s="105" customFormat="1" spans="9:12">
      <c r="I13467" s="225"/>
      <c r="K13467" s="9"/>
      <c r="L13467" s="9"/>
    </row>
    <row r="13468" s="105" customFormat="1" spans="9:12">
      <c r="I13468" s="225"/>
      <c r="K13468" s="9"/>
      <c r="L13468" s="9"/>
    </row>
    <row r="13469" s="105" customFormat="1" spans="9:12">
      <c r="I13469" s="225"/>
      <c r="K13469" s="9"/>
      <c r="L13469" s="9"/>
    </row>
    <row r="13470" s="105" customFormat="1" spans="9:12">
      <c r="I13470" s="225"/>
      <c r="K13470" s="9"/>
      <c r="L13470" s="9"/>
    </row>
    <row r="13471" s="105" customFormat="1" spans="9:12">
      <c r="I13471" s="225"/>
      <c r="K13471" s="9"/>
      <c r="L13471" s="9"/>
    </row>
    <row r="13472" s="105" customFormat="1" spans="9:12">
      <c r="I13472" s="225"/>
      <c r="K13472" s="9"/>
      <c r="L13472" s="9"/>
    </row>
    <row r="13473" s="105" customFormat="1" spans="9:12">
      <c r="I13473" s="225"/>
      <c r="K13473" s="9"/>
      <c r="L13473" s="9"/>
    </row>
    <row r="13474" s="105" customFormat="1" spans="9:12">
      <c r="I13474" s="225"/>
      <c r="K13474" s="9"/>
      <c r="L13474" s="9"/>
    </row>
    <row r="13475" s="105" customFormat="1" spans="9:12">
      <c r="I13475" s="225"/>
      <c r="K13475" s="9"/>
      <c r="L13475" s="9"/>
    </row>
    <row r="13476" s="105" customFormat="1" spans="9:12">
      <c r="I13476" s="225"/>
      <c r="K13476" s="9"/>
      <c r="L13476" s="9"/>
    </row>
    <row r="13477" s="105" customFormat="1" spans="9:12">
      <c r="I13477" s="225"/>
      <c r="K13477" s="9"/>
      <c r="L13477" s="9"/>
    </row>
    <row r="13478" s="105" customFormat="1" spans="9:12">
      <c r="I13478" s="225"/>
      <c r="K13478" s="9"/>
      <c r="L13478" s="9"/>
    </row>
    <row r="13479" s="105" customFormat="1" spans="9:12">
      <c r="I13479" s="225"/>
      <c r="K13479" s="9"/>
      <c r="L13479" s="9"/>
    </row>
    <row r="13480" s="105" customFormat="1" spans="9:12">
      <c r="I13480" s="225"/>
      <c r="K13480" s="9"/>
      <c r="L13480" s="9"/>
    </row>
    <row r="13481" s="105" customFormat="1" spans="9:12">
      <c r="I13481" s="225"/>
      <c r="K13481" s="9"/>
      <c r="L13481" s="9"/>
    </row>
    <row r="13482" s="105" customFormat="1" spans="9:12">
      <c r="I13482" s="225"/>
      <c r="K13482" s="9"/>
      <c r="L13482" s="9"/>
    </row>
    <row r="13483" s="105" customFormat="1" spans="9:12">
      <c r="I13483" s="225"/>
      <c r="K13483" s="9"/>
      <c r="L13483" s="9"/>
    </row>
    <row r="13484" s="105" customFormat="1" spans="9:12">
      <c r="I13484" s="225"/>
      <c r="K13484" s="9"/>
      <c r="L13484" s="9"/>
    </row>
    <row r="13485" s="105" customFormat="1" spans="9:12">
      <c r="I13485" s="225"/>
      <c r="K13485" s="9"/>
      <c r="L13485" s="9"/>
    </row>
    <row r="13486" s="105" customFormat="1" spans="9:12">
      <c r="I13486" s="225"/>
      <c r="K13486" s="9"/>
      <c r="L13486" s="9"/>
    </row>
    <row r="13487" s="105" customFormat="1" spans="9:12">
      <c r="I13487" s="225"/>
      <c r="K13487" s="9"/>
      <c r="L13487" s="9"/>
    </row>
    <row r="13488" s="105" customFormat="1" spans="9:12">
      <c r="I13488" s="225"/>
      <c r="K13488" s="9"/>
      <c r="L13488" s="9"/>
    </row>
    <row r="13489" s="105" customFormat="1" spans="9:12">
      <c r="I13489" s="225"/>
      <c r="K13489" s="9"/>
      <c r="L13489" s="9"/>
    </row>
    <row r="13490" s="105" customFormat="1" spans="9:12">
      <c r="I13490" s="225"/>
      <c r="K13490" s="9"/>
      <c r="L13490" s="9"/>
    </row>
    <row r="13491" s="105" customFormat="1" spans="9:12">
      <c r="I13491" s="225"/>
      <c r="K13491" s="9"/>
      <c r="L13491" s="9"/>
    </row>
    <row r="13492" s="105" customFormat="1" spans="9:12">
      <c r="I13492" s="225"/>
      <c r="K13492" s="9"/>
      <c r="L13492" s="9"/>
    </row>
    <row r="13493" s="105" customFormat="1" spans="9:12">
      <c r="I13493" s="225"/>
      <c r="K13493" s="9"/>
      <c r="L13493" s="9"/>
    </row>
    <row r="13494" s="105" customFormat="1" spans="9:12">
      <c r="I13494" s="225"/>
      <c r="K13494" s="9"/>
      <c r="L13494" s="9"/>
    </row>
    <row r="13495" s="105" customFormat="1" spans="9:12">
      <c r="I13495" s="225"/>
      <c r="K13495" s="9"/>
      <c r="L13495" s="9"/>
    </row>
    <row r="13496" s="105" customFormat="1" spans="9:12">
      <c r="I13496" s="225"/>
      <c r="K13496" s="9"/>
      <c r="L13496" s="9"/>
    </row>
    <row r="13497" s="105" customFormat="1" spans="9:12">
      <c r="I13497" s="225"/>
      <c r="K13497" s="9"/>
      <c r="L13497" s="9"/>
    </row>
    <row r="13498" s="105" customFormat="1" spans="9:12">
      <c r="I13498" s="225"/>
      <c r="K13498" s="9"/>
      <c r="L13498" s="9"/>
    </row>
    <row r="13499" s="105" customFormat="1" spans="9:12">
      <c r="I13499" s="225"/>
      <c r="K13499" s="9"/>
      <c r="L13499" s="9"/>
    </row>
    <row r="13500" s="105" customFormat="1" spans="9:12">
      <c r="I13500" s="225"/>
      <c r="K13500" s="9"/>
      <c r="L13500" s="9"/>
    </row>
    <row r="13501" s="105" customFormat="1" spans="9:12">
      <c r="I13501" s="225"/>
      <c r="K13501" s="9"/>
      <c r="L13501" s="9"/>
    </row>
    <row r="13502" s="105" customFormat="1" spans="9:12">
      <c r="I13502" s="225"/>
      <c r="K13502" s="9"/>
      <c r="L13502" s="9"/>
    </row>
    <row r="13503" s="105" customFormat="1" spans="9:12">
      <c r="I13503" s="225"/>
      <c r="K13503" s="9"/>
      <c r="L13503" s="9"/>
    </row>
    <row r="13504" s="105" customFormat="1" spans="9:12">
      <c r="I13504" s="225"/>
      <c r="K13504" s="9"/>
      <c r="L13504" s="9"/>
    </row>
    <row r="13505" s="105" customFormat="1" spans="9:12">
      <c r="I13505" s="225"/>
      <c r="K13505" s="9"/>
      <c r="L13505" s="9"/>
    </row>
    <row r="13506" s="105" customFormat="1" spans="9:12">
      <c r="I13506" s="225"/>
      <c r="K13506" s="9"/>
      <c r="L13506" s="9"/>
    </row>
    <row r="13507" s="105" customFormat="1" spans="9:12">
      <c r="I13507" s="225"/>
      <c r="K13507" s="9"/>
      <c r="L13507" s="9"/>
    </row>
    <row r="13508" s="105" customFormat="1" spans="9:12">
      <c r="I13508" s="225"/>
      <c r="K13508" s="9"/>
      <c r="L13508" s="9"/>
    </row>
    <row r="13509" s="105" customFormat="1" spans="9:12">
      <c r="I13509" s="225"/>
      <c r="K13509" s="9"/>
      <c r="L13509" s="9"/>
    </row>
    <row r="13510" s="105" customFormat="1" spans="9:12">
      <c r="I13510" s="225"/>
      <c r="K13510" s="9"/>
      <c r="L13510" s="9"/>
    </row>
    <row r="13511" s="105" customFormat="1" spans="9:12">
      <c r="I13511" s="225"/>
      <c r="K13511" s="9"/>
      <c r="L13511" s="9"/>
    </row>
    <row r="13512" s="105" customFormat="1" spans="9:12">
      <c r="I13512" s="225"/>
      <c r="K13512" s="9"/>
      <c r="L13512" s="9"/>
    </row>
    <row r="13513" s="105" customFormat="1" spans="9:12">
      <c r="I13513" s="225"/>
      <c r="K13513" s="9"/>
      <c r="L13513" s="9"/>
    </row>
    <row r="13514" s="105" customFormat="1" spans="9:12">
      <c r="I13514" s="225"/>
      <c r="K13514" s="9"/>
      <c r="L13514" s="9"/>
    </row>
    <row r="13515" s="105" customFormat="1" spans="9:12">
      <c r="I13515" s="225"/>
      <c r="K13515" s="9"/>
      <c r="L13515" s="9"/>
    </row>
    <row r="13516" s="105" customFormat="1" spans="9:12">
      <c r="I13516" s="225"/>
      <c r="K13516" s="9"/>
      <c r="L13516" s="9"/>
    </row>
    <row r="13517" s="105" customFormat="1" spans="9:12">
      <c r="I13517" s="225"/>
      <c r="K13517" s="9"/>
      <c r="L13517" s="9"/>
    </row>
    <row r="13518" s="105" customFormat="1" spans="9:12">
      <c r="I13518" s="225"/>
      <c r="K13518" s="9"/>
      <c r="L13518" s="9"/>
    </row>
    <row r="13519" s="105" customFormat="1" spans="9:12">
      <c r="I13519" s="225"/>
      <c r="K13519" s="9"/>
      <c r="L13519" s="9"/>
    </row>
    <row r="13520" s="105" customFormat="1" spans="9:12">
      <c r="I13520" s="225"/>
      <c r="K13520" s="9"/>
      <c r="L13520" s="9"/>
    </row>
    <row r="13521" s="105" customFormat="1" spans="9:12">
      <c r="I13521" s="225"/>
      <c r="K13521" s="9"/>
      <c r="L13521" s="9"/>
    </row>
    <row r="13522" s="105" customFormat="1" spans="9:12">
      <c r="I13522" s="225"/>
      <c r="K13522" s="9"/>
      <c r="L13522" s="9"/>
    </row>
    <row r="13523" s="105" customFormat="1" spans="9:12">
      <c r="I13523" s="225"/>
      <c r="K13523" s="9"/>
      <c r="L13523" s="9"/>
    </row>
    <row r="13524" s="105" customFormat="1" spans="9:12">
      <c r="I13524" s="225"/>
      <c r="K13524" s="9"/>
      <c r="L13524" s="9"/>
    </row>
    <row r="13525" s="105" customFormat="1" spans="9:12">
      <c r="I13525" s="225"/>
      <c r="K13525" s="9"/>
      <c r="L13525" s="9"/>
    </row>
    <row r="13526" s="105" customFormat="1" spans="9:12">
      <c r="I13526" s="225"/>
      <c r="K13526" s="9"/>
      <c r="L13526" s="9"/>
    </row>
    <row r="13527" s="105" customFormat="1" spans="9:12">
      <c r="I13527" s="225"/>
      <c r="K13527" s="9"/>
      <c r="L13527" s="9"/>
    </row>
    <row r="13528" s="105" customFormat="1" spans="9:12">
      <c r="I13528" s="225"/>
      <c r="K13528" s="9"/>
      <c r="L13528" s="9"/>
    </row>
    <row r="13529" s="105" customFormat="1" spans="9:12">
      <c r="I13529" s="225"/>
      <c r="K13529" s="9"/>
      <c r="L13529" s="9"/>
    </row>
    <row r="13530" s="105" customFormat="1" spans="9:12">
      <c r="I13530" s="225"/>
      <c r="K13530" s="9"/>
      <c r="L13530" s="9"/>
    </row>
    <row r="13531" s="105" customFormat="1" spans="9:12">
      <c r="I13531" s="225"/>
      <c r="K13531" s="9"/>
      <c r="L13531" s="9"/>
    </row>
    <row r="13532" s="105" customFormat="1" spans="9:12">
      <c r="I13532" s="225"/>
      <c r="K13532" s="9"/>
      <c r="L13532" s="9"/>
    </row>
    <row r="13533" s="105" customFormat="1" spans="9:12">
      <c r="I13533" s="225"/>
      <c r="K13533" s="9"/>
      <c r="L13533" s="9"/>
    </row>
    <row r="13534" s="105" customFormat="1" spans="9:12">
      <c r="I13534" s="225"/>
      <c r="K13534" s="9"/>
      <c r="L13534" s="9"/>
    </row>
    <row r="13535" s="105" customFormat="1" spans="9:12">
      <c r="I13535" s="225"/>
      <c r="K13535" s="9"/>
      <c r="L13535" s="9"/>
    </row>
    <row r="13536" s="105" customFormat="1" spans="9:12">
      <c r="I13536" s="225"/>
      <c r="K13536" s="9"/>
      <c r="L13536" s="9"/>
    </row>
    <row r="13537" s="105" customFormat="1" spans="9:12">
      <c r="I13537" s="225"/>
      <c r="K13537" s="9"/>
      <c r="L13537" s="9"/>
    </row>
    <row r="13538" s="105" customFormat="1" spans="9:12">
      <c r="I13538" s="225"/>
      <c r="K13538" s="9"/>
      <c r="L13538" s="9"/>
    </row>
    <row r="13539" s="105" customFormat="1" spans="9:12">
      <c r="I13539" s="225"/>
      <c r="K13539" s="9"/>
      <c r="L13539" s="9"/>
    </row>
    <row r="13540" s="105" customFormat="1" spans="9:12">
      <c r="I13540" s="225"/>
      <c r="K13540" s="9"/>
      <c r="L13540" s="9"/>
    </row>
    <row r="13541" s="105" customFormat="1" spans="9:12">
      <c r="I13541" s="225"/>
      <c r="K13541" s="9"/>
      <c r="L13541" s="9"/>
    </row>
    <row r="13542" s="105" customFormat="1" spans="9:12">
      <c r="I13542" s="225"/>
      <c r="K13542" s="9"/>
      <c r="L13542" s="9"/>
    </row>
    <row r="13543" s="105" customFormat="1" spans="9:12">
      <c r="I13543" s="225"/>
      <c r="K13543" s="9"/>
      <c r="L13543" s="9"/>
    </row>
    <row r="13544" s="105" customFormat="1" spans="9:12">
      <c r="I13544" s="225"/>
      <c r="K13544" s="9"/>
      <c r="L13544" s="9"/>
    </row>
    <row r="13545" s="105" customFormat="1" spans="9:12">
      <c r="I13545" s="225"/>
      <c r="K13545" s="9"/>
      <c r="L13545" s="9"/>
    </row>
    <row r="13546" s="105" customFormat="1" spans="9:12">
      <c r="I13546" s="225"/>
      <c r="K13546" s="9"/>
      <c r="L13546" s="9"/>
    </row>
    <row r="13547" s="105" customFormat="1" spans="9:12">
      <c r="I13547" s="225"/>
      <c r="K13547" s="9"/>
      <c r="L13547" s="9"/>
    </row>
    <row r="13548" s="105" customFormat="1" spans="9:12">
      <c r="I13548" s="225"/>
      <c r="K13548" s="9"/>
      <c r="L13548" s="9"/>
    </row>
    <row r="13549" s="105" customFormat="1" spans="9:12">
      <c r="I13549" s="225"/>
      <c r="K13549" s="9"/>
      <c r="L13549" s="9"/>
    </row>
    <row r="13550" s="105" customFormat="1" spans="9:12">
      <c r="I13550" s="225"/>
      <c r="K13550" s="9"/>
      <c r="L13550" s="9"/>
    </row>
    <row r="13551" s="105" customFormat="1" spans="9:12">
      <c r="I13551" s="225"/>
      <c r="K13551" s="9"/>
      <c r="L13551" s="9"/>
    </row>
    <row r="13552" s="105" customFormat="1" spans="9:12">
      <c r="I13552" s="225"/>
      <c r="K13552" s="9"/>
      <c r="L13552" s="9"/>
    </row>
    <row r="13553" s="105" customFormat="1" spans="9:12">
      <c r="I13553" s="225"/>
      <c r="K13553" s="9"/>
      <c r="L13553" s="9"/>
    </row>
    <row r="13554" s="105" customFormat="1" spans="9:12">
      <c r="I13554" s="225"/>
      <c r="K13554" s="9"/>
      <c r="L13554" s="9"/>
    </row>
    <row r="13555" s="105" customFormat="1" spans="9:12">
      <c r="I13555" s="225"/>
      <c r="K13555" s="9"/>
      <c r="L13555" s="9"/>
    </row>
    <row r="13556" s="105" customFormat="1" spans="9:12">
      <c r="I13556" s="225"/>
      <c r="K13556" s="9"/>
      <c r="L13556" s="9"/>
    </row>
    <row r="13557" s="105" customFormat="1" spans="9:12">
      <c r="I13557" s="225"/>
      <c r="K13557" s="9"/>
      <c r="L13557" s="9"/>
    </row>
    <row r="13558" s="105" customFormat="1" spans="9:12">
      <c r="I13558" s="225"/>
      <c r="K13558" s="9"/>
      <c r="L13558" s="9"/>
    </row>
    <row r="13559" s="105" customFormat="1" spans="9:12">
      <c r="I13559" s="225"/>
      <c r="K13559" s="9"/>
      <c r="L13559" s="9"/>
    </row>
    <row r="13560" s="105" customFormat="1" spans="9:12">
      <c r="I13560" s="225"/>
      <c r="K13560" s="9"/>
      <c r="L13560" s="9"/>
    </row>
    <row r="13561" s="105" customFormat="1" spans="9:12">
      <c r="I13561" s="225"/>
      <c r="K13561" s="9"/>
      <c r="L13561" s="9"/>
    </row>
    <row r="13562" s="105" customFormat="1" spans="9:12">
      <c r="I13562" s="225"/>
      <c r="K13562" s="9"/>
      <c r="L13562" s="9"/>
    </row>
    <row r="13563" s="105" customFormat="1" spans="9:12">
      <c r="I13563" s="225"/>
      <c r="K13563" s="9"/>
      <c r="L13563" s="9"/>
    </row>
    <row r="13564" s="105" customFormat="1" spans="9:12">
      <c r="I13564" s="225"/>
      <c r="K13564" s="9"/>
      <c r="L13564" s="9"/>
    </row>
    <row r="13565" s="105" customFormat="1" spans="9:12">
      <c r="I13565" s="225"/>
      <c r="K13565" s="9"/>
      <c r="L13565" s="9"/>
    </row>
    <row r="13566" s="105" customFormat="1" spans="9:12">
      <c r="I13566" s="225"/>
      <c r="K13566" s="9"/>
      <c r="L13566" s="9"/>
    </row>
    <row r="13567" s="105" customFormat="1" spans="9:12">
      <c r="I13567" s="225"/>
      <c r="K13567" s="9"/>
      <c r="L13567" s="9"/>
    </row>
    <row r="13568" s="105" customFormat="1" spans="9:12">
      <c r="I13568" s="225"/>
      <c r="K13568" s="9"/>
      <c r="L13568" s="9"/>
    </row>
    <row r="13569" s="105" customFormat="1" spans="9:12">
      <c r="I13569" s="225"/>
      <c r="K13569" s="9"/>
      <c r="L13569" s="9"/>
    </row>
    <row r="13570" s="105" customFormat="1" spans="9:12">
      <c r="I13570" s="225"/>
      <c r="K13570" s="9"/>
      <c r="L13570" s="9"/>
    </row>
    <row r="13571" s="105" customFormat="1" spans="9:12">
      <c r="I13571" s="225"/>
      <c r="K13571" s="9"/>
      <c r="L13571" s="9"/>
    </row>
    <row r="13572" s="105" customFormat="1" spans="9:12">
      <c r="I13572" s="225"/>
      <c r="K13572" s="9"/>
      <c r="L13572" s="9"/>
    </row>
    <row r="13573" s="105" customFormat="1" spans="9:12">
      <c r="I13573" s="225"/>
      <c r="K13573" s="9"/>
      <c r="L13573" s="9"/>
    </row>
    <row r="13574" s="105" customFormat="1" spans="9:12">
      <c r="I13574" s="225"/>
      <c r="K13574" s="9"/>
      <c r="L13574" s="9"/>
    </row>
    <row r="13575" s="105" customFormat="1" spans="9:12">
      <c r="I13575" s="225"/>
      <c r="K13575" s="9"/>
      <c r="L13575" s="9"/>
    </row>
    <row r="13576" s="105" customFormat="1" spans="9:12">
      <c r="I13576" s="225"/>
      <c r="K13576" s="9"/>
      <c r="L13576" s="9"/>
    </row>
    <row r="13577" s="105" customFormat="1" spans="9:12">
      <c r="I13577" s="225"/>
      <c r="K13577" s="9"/>
      <c r="L13577" s="9"/>
    </row>
    <row r="13578" s="105" customFormat="1" spans="9:12">
      <c r="I13578" s="225"/>
      <c r="K13578" s="9"/>
      <c r="L13578" s="9"/>
    </row>
    <row r="13579" s="105" customFormat="1" spans="9:12">
      <c r="I13579" s="225"/>
      <c r="K13579" s="9"/>
      <c r="L13579" s="9"/>
    </row>
    <row r="13580" s="105" customFormat="1" spans="9:12">
      <c r="I13580" s="225"/>
      <c r="K13580" s="9"/>
      <c r="L13580" s="9"/>
    </row>
    <row r="13581" s="105" customFormat="1" spans="9:12">
      <c r="I13581" s="225"/>
      <c r="K13581" s="9"/>
      <c r="L13581" s="9"/>
    </row>
    <row r="13582" s="105" customFormat="1" spans="9:12">
      <c r="I13582" s="225"/>
      <c r="K13582" s="9"/>
      <c r="L13582" s="9"/>
    </row>
    <row r="13583" s="105" customFormat="1" spans="9:12">
      <c r="I13583" s="225"/>
      <c r="K13583" s="9"/>
      <c r="L13583" s="9"/>
    </row>
    <row r="13584" s="105" customFormat="1" spans="9:12">
      <c r="I13584" s="225"/>
      <c r="K13584" s="9"/>
      <c r="L13584" s="9"/>
    </row>
    <row r="13585" s="105" customFormat="1" spans="9:12">
      <c r="I13585" s="225"/>
      <c r="K13585" s="9"/>
      <c r="L13585" s="9"/>
    </row>
    <row r="13586" s="105" customFormat="1" spans="9:12">
      <c r="I13586" s="225"/>
      <c r="K13586" s="9"/>
      <c r="L13586" s="9"/>
    </row>
    <row r="13587" s="105" customFormat="1" spans="9:12">
      <c r="I13587" s="225"/>
      <c r="K13587" s="9"/>
      <c r="L13587" s="9"/>
    </row>
    <row r="13588" s="105" customFormat="1" spans="9:12">
      <c r="I13588" s="225"/>
      <c r="K13588" s="9"/>
      <c r="L13588" s="9"/>
    </row>
    <row r="13589" s="105" customFormat="1" spans="9:12">
      <c r="I13589" s="225"/>
      <c r="K13589" s="9"/>
      <c r="L13589" s="9"/>
    </row>
    <row r="13590" s="105" customFormat="1" spans="9:12">
      <c r="I13590" s="225"/>
      <c r="K13590" s="9"/>
      <c r="L13590" s="9"/>
    </row>
    <row r="13591" s="105" customFormat="1" spans="9:12">
      <c r="I13591" s="225"/>
      <c r="K13591" s="9"/>
      <c r="L13591" s="9"/>
    </row>
    <row r="13592" s="105" customFormat="1" spans="9:12">
      <c r="I13592" s="225"/>
      <c r="K13592" s="9"/>
      <c r="L13592" s="9"/>
    </row>
    <row r="13593" s="105" customFormat="1" spans="9:12">
      <c r="I13593" s="225"/>
      <c r="K13593" s="9"/>
      <c r="L13593" s="9"/>
    </row>
    <row r="13594" s="105" customFormat="1" spans="9:12">
      <c r="I13594" s="225"/>
      <c r="K13594" s="9"/>
      <c r="L13594" s="9"/>
    </row>
    <row r="13595" s="105" customFormat="1" spans="9:12">
      <c r="I13595" s="225"/>
      <c r="K13595" s="9"/>
      <c r="L13595" s="9"/>
    </row>
    <row r="13596" s="105" customFormat="1" spans="9:12">
      <c r="I13596" s="225"/>
      <c r="K13596" s="9"/>
      <c r="L13596" s="9"/>
    </row>
    <row r="13597" s="105" customFormat="1" spans="9:12">
      <c r="I13597" s="225"/>
      <c r="K13597" s="9"/>
      <c r="L13597" s="9"/>
    </row>
    <row r="13598" s="105" customFormat="1" spans="9:12">
      <c r="I13598" s="225"/>
      <c r="K13598" s="9"/>
      <c r="L13598" s="9"/>
    </row>
    <row r="13599" s="105" customFormat="1" spans="9:12">
      <c r="I13599" s="225"/>
      <c r="K13599" s="9"/>
      <c r="L13599" s="9"/>
    </row>
    <row r="13600" s="105" customFormat="1" spans="9:12">
      <c r="I13600" s="225"/>
      <c r="K13600" s="9"/>
      <c r="L13600" s="9"/>
    </row>
    <row r="13601" s="105" customFormat="1" spans="9:12">
      <c r="I13601" s="225"/>
      <c r="K13601" s="9"/>
      <c r="L13601" s="9"/>
    </row>
    <row r="13602" s="105" customFormat="1" spans="9:12">
      <c r="I13602" s="225"/>
      <c r="K13602" s="9"/>
      <c r="L13602" s="9"/>
    </row>
    <row r="13603" s="105" customFormat="1" spans="9:12">
      <c r="I13603" s="225"/>
      <c r="K13603" s="9"/>
      <c r="L13603" s="9"/>
    </row>
    <row r="13604" s="105" customFormat="1" spans="9:12">
      <c r="I13604" s="225"/>
      <c r="K13604" s="9"/>
      <c r="L13604" s="9"/>
    </row>
    <row r="13605" s="105" customFormat="1" spans="9:12">
      <c r="I13605" s="225"/>
      <c r="K13605" s="9"/>
      <c r="L13605" s="9"/>
    </row>
    <row r="13606" s="105" customFormat="1" spans="9:12">
      <c r="I13606" s="225"/>
      <c r="K13606" s="9"/>
      <c r="L13606" s="9"/>
    </row>
    <row r="13607" s="105" customFormat="1" spans="9:12">
      <c r="I13607" s="225"/>
      <c r="K13607" s="9"/>
      <c r="L13607" s="9"/>
    </row>
    <row r="13608" s="105" customFormat="1" spans="9:12">
      <c r="I13608" s="225"/>
      <c r="K13608" s="9"/>
      <c r="L13608" s="9"/>
    </row>
    <row r="13609" s="105" customFormat="1" spans="9:12">
      <c r="I13609" s="225"/>
      <c r="K13609" s="9"/>
      <c r="L13609" s="9"/>
    </row>
    <row r="13610" s="105" customFormat="1" spans="9:12">
      <c r="I13610" s="225"/>
      <c r="K13610" s="9"/>
      <c r="L13610" s="9"/>
    </row>
    <row r="13611" s="105" customFormat="1" spans="9:12">
      <c r="I13611" s="225"/>
      <c r="K13611" s="9"/>
      <c r="L13611" s="9"/>
    </row>
    <row r="13612" s="105" customFormat="1" spans="9:12">
      <c r="I13612" s="225"/>
      <c r="K13612" s="9"/>
      <c r="L13612" s="9"/>
    </row>
    <row r="13613" s="105" customFormat="1" spans="9:12">
      <c r="I13613" s="225"/>
      <c r="K13613" s="9"/>
      <c r="L13613" s="9"/>
    </row>
    <row r="13614" s="105" customFormat="1" spans="9:12">
      <c r="I13614" s="225"/>
      <c r="K13614" s="9"/>
      <c r="L13614" s="9"/>
    </row>
    <row r="13615" s="105" customFormat="1" spans="9:12">
      <c r="I13615" s="225"/>
      <c r="K13615" s="9"/>
      <c r="L13615" s="9"/>
    </row>
    <row r="13616" s="105" customFormat="1" spans="9:12">
      <c r="I13616" s="225"/>
      <c r="K13616" s="9"/>
      <c r="L13616" s="9"/>
    </row>
    <row r="13617" s="105" customFormat="1" spans="9:12">
      <c r="I13617" s="225"/>
      <c r="K13617" s="9"/>
      <c r="L13617" s="9"/>
    </row>
    <row r="13618" s="105" customFormat="1" spans="9:12">
      <c r="I13618" s="225"/>
      <c r="K13618" s="9"/>
      <c r="L13618" s="9"/>
    </row>
    <row r="13619" s="105" customFormat="1" spans="9:12">
      <c r="I13619" s="225"/>
      <c r="K13619" s="9"/>
      <c r="L13619" s="9"/>
    </row>
    <row r="13620" s="105" customFormat="1" spans="9:12">
      <c r="I13620" s="225"/>
      <c r="K13620" s="9"/>
      <c r="L13620" s="9"/>
    </row>
    <row r="13621" s="105" customFormat="1" spans="9:12">
      <c r="I13621" s="225"/>
      <c r="K13621" s="9"/>
      <c r="L13621" s="9"/>
    </row>
    <row r="13622" s="105" customFormat="1" spans="9:12">
      <c r="I13622" s="225"/>
      <c r="K13622" s="9"/>
      <c r="L13622" s="9"/>
    </row>
    <row r="13623" s="105" customFormat="1" spans="9:12">
      <c r="I13623" s="225"/>
      <c r="K13623" s="9"/>
      <c r="L13623" s="9"/>
    </row>
    <row r="13624" s="105" customFormat="1" spans="9:12">
      <c r="I13624" s="225"/>
      <c r="K13624" s="9"/>
      <c r="L13624" s="9"/>
    </row>
    <row r="13625" s="105" customFormat="1" spans="9:12">
      <c r="I13625" s="225"/>
      <c r="K13625" s="9"/>
      <c r="L13625" s="9"/>
    </row>
    <row r="13626" s="105" customFormat="1" spans="9:12">
      <c r="I13626" s="225"/>
      <c r="K13626" s="9"/>
      <c r="L13626" s="9"/>
    </row>
    <row r="13627" s="105" customFormat="1" spans="9:12">
      <c r="I13627" s="225"/>
      <c r="K13627" s="9"/>
      <c r="L13627" s="9"/>
    </row>
    <row r="13628" s="105" customFormat="1" spans="9:12">
      <c r="I13628" s="225"/>
      <c r="K13628" s="9"/>
      <c r="L13628" s="9"/>
    </row>
    <row r="13629" s="105" customFormat="1" spans="9:12">
      <c r="I13629" s="225"/>
      <c r="K13629" s="9"/>
      <c r="L13629" s="9"/>
    </row>
    <row r="13630" s="105" customFormat="1" spans="9:12">
      <c r="I13630" s="225"/>
      <c r="K13630" s="9"/>
      <c r="L13630" s="9"/>
    </row>
    <row r="13631" s="105" customFormat="1" spans="9:12">
      <c r="I13631" s="225"/>
      <c r="K13631" s="9"/>
      <c r="L13631" s="9"/>
    </row>
    <row r="13632" s="105" customFormat="1" spans="9:12">
      <c r="I13632" s="225"/>
      <c r="K13632" s="9"/>
      <c r="L13632" s="9"/>
    </row>
    <row r="13633" s="105" customFormat="1" spans="9:12">
      <c r="I13633" s="225"/>
      <c r="K13633" s="9"/>
      <c r="L13633" s="9"/>
    </row>
    <row r="13634" s="105" customFormat="1" spans="9:12">
      <c r="I13634" s="225"/>
      <c r="K13634" s="9"/>
      <c r="L13634" s="9"/>
    </row>
    <row r="13635" s="105" customFormat="1" spans="9:12">
      <c r="I13635" s="225"/>
      <c r="K13635" s="9"/>
      <c r="L13635" s="9"/>
    </row>
    <row r="13636" s="105" customFormat="1" spans="9:12">
      <c r="I13636" s="225"/>
      <c r="K13636" s="9"/>
      <c r="L13636" s="9"/>
    </row>
    <row r="13637" s="105" customFormat="1" spans="9:12">
      <c r="I13637" s="225"/>
      <c r="K13637" s="9"/>
      <c r="L13637" s="9"/>
    </row>
    <row r="13638" s="105" customFormat="1" spans="9:12">
      <c r="I13638" s="225"/>
      <c r="K13638" s="9"/>
      <c r="L13638" s="9"/>
    </row>
    <row r="13639" s="105" customFormat="1" spans="9:12">
      <c r="I13639" s="225"/>
      <c r="K13639" s="9"/>
      <c r="L13639" s="9"/>
    </row>
    <row r="13640" s="105" customFormat="1" spans="9:12">
      <c r="I13640" s="225"/>
      <c r="K13640" s="9"/>
      <c r="L13640" s="9"/>
    </row>
    <row r="13641" s="105" customFormat="1" spans="9:12">
      <c r="I13641" s="225"/>
      <c r="K13641" s="9"/>
      <c r="L13641" s="9"/>
    </row>
    <row r="13642" s="105" customFormat="1" spans="9:12">
      <c r="I13642" s="225"/>
      <c r="K13642" s="9"/>
      <c r="L13642" s="9"/>
    </row>
    <row r="13643" s="105" customFormat="1" spans="9:12">
      <c r="I13643" s="225"/>
      <c r="K13643" s="9"/>
      <c r="L13643" s="9"/>
    </row>
    <row r="13644" s="105" customFormat="1" spans="9:12">
      <c r="I13644" s="225"/>
      <c r="K13644" s="9"/>
      <c r="L13644" s="9"/>
    </row>
    <row r="13645" s="105" customFormat="1" spans="9:12">
      <c r="I13645" s="225"/>
      <c r="K13645" s="9"/>
      <c r="L13645" s="9"/>
    </row>
    <row r="13646" s="105" customFormat="1" spans="9:12">
      <c r="I13646" s="225"/>
      <c r="K13646" s="9"/>
      <c r="L13646" s="9"/>
    </row>
    <row r="13647" s="105" customFormat="1" spans="9:12">
      <c r="I13647" s="225"/>
      <c r="K13647" s="9"/>
      <c r="L13647" s="9"/>
    </row>
    <row r="13648" s="105" customFormat="1" spans="9:12">
      <c r="I13648" s="225"/>
      <c r="K13648" s="9"/>
      <c r="L13648" s="9"/>
    </row>
    <row r="13649" s="105" customFormat="1" spans="9:12">
      <c r="I13649" s="225"/>
      <c r="K13649" s="9"/>
      <c r="L13649" s="9"/>
    </row>
    <row r="13650" s="105" customFormat="1" spans="9:12">
      <c r="I13650" s="225"/>
      <c r="K13650" s="9"/>
      <c r="L13650" s="9"/>
    </row>
    <row r="13651" s="105" customFormat="1" spans="9:12">
      <c r="I13651" s="225"/>
      <c r="K13651" s="9"/>
      <c r="L13651" s="9"/>
    </row>
    <row r="13652" s="105" customFormat="1" spans="9:12">
      <c r="I13652" s="225"/>
      <c r="K13652" s="9"/>
      <c r="L13652" s="9"/>
    </row>
    <row r="13653" s="105" customFormat="1" spans="9:12">
      <c r="I13653" s="225"/>
      <c r="K13653" s="9"/>
      <c r="L13653" s="9"/>
    </row>
    <row r="13654" s="105" customFormat="1" spans="9:12">
      <c r="I13654" s="225"/>
      <c r="K13654" s="9"/>
      <c r="L13654" s="9"/>
    </row>
    <row r="13655" s="105" customFormat="1" spans="9:12">
      <c r="I13655" s="225"/>
      <c r="K13655" s="9"/>
      <c r="L13655" s="9"/>
    </row>
    <row r="13656" s="105" customFormat="1" spans="9:12">
      <c r="I13656" s="225"/>
      <c r="K13656" s="9"/>
      <c r="L13656" s="9"/>
    </row>
    <row r="13657" s="105" customFormat="1" spans="9:12">
      <c r="I13657" s="225"/>
      <c r="K13657" s="9"/>
      <c r="L13657" s="9"/>
    </row>
    <row r="13658" s="105" customFormat="1" spans="9:12">
      <c r="I13658" s="225"/>
      <c r="K13658" s="9"/>
      <c r="L13658" s="9"/>
    </row>
    <row r="13659" s="105" customFormat="1" spans="9:12">
      <c r="I13659" s="225"/>
      <c r="K13659" s="9"/>
      <c r="L13659" s="9"/>
    </row>
    <row r="13660" s="105" customFormat="1" spans="9:12">
      <c r="I13660" s="225"/>
      <c r="K13660" s="9"/>
      <c r="L13660" s="9"/>
    </row>
    <row r="13661" s="105" customFormat="1" spans="9:12">
      <c r="I13661" s="225"/>
      <c r="K13661" s="9"/>
      <c r="L13661" s="9"/>
    </row>
    <row r="13662" s="105" customFormat="1" spans="9:12">
      <c r="I13662" s="225"/>
      <c r="K13662" s="9"/>
      <c r="L13662" s="9"/>
    </row>
    <row r="13663" s="105" customFormat="1" spans="9:12">
      <c r="I13663" s="225"/>
      <c r="K13663" s="9"/>
      <c r="L13663" s="9"/>
    </row>
    <row r="13664" s="105" customFormat="1" spans="9:12">
      <c r="I13664" s="225"/>
      <c r="K13664" s="9"/>
      <c r="L13664" s="9"/>
    </row>
    <row r="13665" s="105" customFormat="1" spans="9:12">
      <c r="I13665" s="225"/>
      <c r="K13665" s="9"/>
      <c r="L13665" s="9"/>
    </row>
    <row r="13666" s="105" customFormat="1" spans="9:12">
      <c r="I13666" s="225"/>
      <c r="K13666" s="9"/>
      <c r="L13666" s="9"/>
    </row>
    <row r="13667" s="105" customFormat="1" spans="9:12">
      <c r="I13667" s="225"/>
      <c r="K13667" s="9"/>
      <c r="L13667" s="9"/>
    </row>
    <row r="13668" s="105" customFormat="1" spans="9:12">
      <c r="I13668" s="225"/>
      <c r="K13668" s="9"/>
      <c r="L13668" s="9"/>
    </row>
    <row r="13669" s="105" customFormat="1" spans="9:12">
      <c r="I13669" s="225"/>
      <c r="K13669" s="9"/>
      <c r="L13669" s="9"/>
    </row>
    <row r="13670" s="105" customFormat="1" spans="9:12">
      <c r="I13670" s="225"/>
      <c r="K13670" s="9"/>
      <c r="L13670" s="9"/>
    </row>
    <row r="13671" s="105" customFormat="1" spans="9:12">
      <c r="I13671" s="225"/>
      <c r="K13671" s="9"/>
      <c r="L13671" s="9"/>
    </row>
    <row r="13672" s="105" customFormat="1" spans="9:12">
      <c r="I13672" s="225"/>
      <c r="K13672" s="9"/>
      <c r="L13672" s="9"/>
    </row>
    <row r="13673" s="105" customFormat="1" spans="9:12">
      <c r="I13673" s="225"/>
      <c r="K13673" s="9"/>
      <c r="L13673" s="9"/>
    </row>
    <row r="13674" s="105" customFormat="1" spans="9:12">
      <c r="I13674" s="225"/>
      <c r="K13674" s="9"/>
      <c r="L13674" s="9"/>
    </row>
    <row r="13675" s="105" customFormat="1" spans="9:12">
      <c r="I13675" s="225"/>
      <c r="K13675" s="9"/>
      <c r="L13675" s="9"/>
    </row>
    <row r="13676" s="105" customFormat="1" spans="9:12">
      <c r="I13676" s="225"/>
      <c r="K13676" s="9"/>
      <c r="L13676" s="9"/>
    </row>
    <row r="13677" s="105" customFormat="1" spans="9:12">
      <c r="I13677" s="225"/>
      <c r="K13677" s="9"/>
      <c r="L13677" s="9"/>
    </row>
    <row r="13678" s="105" customFormat="1" spans="9:12">
      <c r="I13678" s="225"/>
      <c r="K13678" s="9"/>
      <c r="L13678" s="9"/>
    </row>
    <row r="13679" s="105" customFormat="1" spans="9:12">
      <c r="I13679" s="225"/>
      <c r="K13679" s="9"/>
      <c r="L13679" s="9"/>
    </row>
    <row r="13680" s="105" customFormat="1" spans="9:12">
      <c r="I13680" s="225"/>
      <c r="K13680" s="9"/>
      <c r="L13680" s="9"/>
    </row>
    <row r="13681" s="105" customFormat="1" spans="9:12">
      <c r="I13681" s="225"/>
      <c r="K13681" s="9"/>
      <c r="L13681" s="9"/>
    </row>
    <row r="13682" s="105" customFormat="1" spans="9:12">
      <c r="I13682" s="225"/>
      <c r="K13682" s="9"/>
      <c r="L13682" s="9"/>
    </row>
    <row r="13683" s="105" customFormat="1" spans="9:12">
      <c r="I13683" s="225"/>
      <c r="K13683" s="9"/>
      <c r="L13683" s="9"/>
    </row>
    <row r="13684" s="105" customFormat="1" spans="9:12">
      <c r="I13684" s="225"/>
      <c r="K13684" s="9"/>
      <c r="L13684" s="9"/>
    </row>
    <row r="13685" s="105" customFormat="1" spans="9:12">
      <c r="I13685" s="225"/>
      <c r="K13685" s="9"/>
      <c r="L13685" s="9"/>
    </row>
    <row r="13686" s="105" customFormat="1" spans="9:12">
      <c r="I13686" s="225"/>
      <c r="K13686" s="9"/>
      <c r="L13686" s="9"/>
    </row>
    <row r="13687" s="105" customFormat="1" spans="9:12">
      <c r="I13687" s="225"/>
      <c r="K13687" s="9"/>
      <c r="L13687" s="9"/>
    </row>
    <row r="13688" s="105" customFormat="1" spans="9:12">
      <c r="I13688" s="225"/>
      <c r="K13688" s="9"/>
      <c r="L13688" s="9"/>
    </row>
    <row r="13689" s="105" customFormat="1" spans="9:12">
      <c r="I13689" s="225"/>
      <c r="K13689" s="9"/>
      <c r="L13689" s="9"/>
    </row>
    <row r="13690" s="105" customFormat="1" spans="9:12">
      <c r="I13690" s="225"/>
      <c r="K13690" s="9"/>
      <c r="L13690" s="9"/>
    </row>
    <row r="13691" s="105" customFormat="1" spans="9:12">
      <c r="I13691" s="225"/>
      <c r="K13691" s="9"/>
      <c r="L13691" s="9"/>
    </row>
    <row r="13692" s="105" customFormat="1" spans="9:12">
      <c r="I13692" s="225"/>
      <c r="K13692" s="9"/>
      <c r="L13692" s="9"/>
    </row>
    <row r="13693" s="105" customFormat="1" spans="9:12">
      <c r="I13693" s="225"/>
      <c r="K13693" s="9"/>
      <c r="L13693" s="9"/>
    </row>
    <row r="13694" s="105" customFormat="1" spans="9:12">
      <c r="I13694" s="225"/>
      <c r="K13694" s="9"/>
      <c r="L13694" s="9"/>
    </row>
    <row r="13695" s="105" customFormat="1" spans="9:12">
      <c r="I13695" s="225"/>
      <c r="K13695" s="9"/>
      <c r="L13695" s="9"/>
    </row>
    <row r="13696" s="105" customFormat="1" spans="9:12">
      <c r="I13696" s="225"/>
      <c r="K13696" s="9"/>
      <c r="L13696" s="9"/>
    </row>
    <row r="13697" s="105" customFormat="1" spans="9:12">
      <c r="I13697" s="225"/>
      <c r="K13697" s="9"/>
      <c r="L13697" s="9"/>
    </row>
    <row r="13698" s="105" customFormat="1" spans="9:12">
      <c r="I13698" s="225"/>
      <c r="K13698" s="9"/>
      <c r="L13698" s="9"/>
    </row>
    <row r="13699" s="105" customFormat="1" spans="9:12">
      <c r="I13699" s="225"/>
      <c r="K13699" s="9"/>
      <c r="L13699" s="9"/>
    </row>
    <row r="13700" s="105" customFormat="1" spans="9:12">
      <c r="I13700" s="225"/>
      <c r="K13700" s="9"/>
      <c r="L13700" s="9"/>
    </row>
    <row r="13701" s="105" customFormat="1" spans="9:12">
      <c r="I13701" s="225"/>
      <c r="K13701" s="9"/>
      <c r="L13701" s="9"/>
    </row>
    <row r="13702" s="105" customFormat="1" spans="9:12">
      <c r="I13702" s="225"/>
      <c r="K13702" s="9"/>
      <c r="L13702" s="9"/>
    </row>
    <row r="13703" s="105" customFormat="1" spans="9:12">
      <c r="I13703" s="225"/>
      <c r="K13703" s="9"/>
      <c r="L13703" s="9"/>
    </row>
    <row r="13704" s="105" customFormat="1" spans="9:12">
      <c r="I13704" s="225"/>
      <c r="K13704" s="9"/>
      <c r="L13704" s="9"/>
    </row>
    <row r="13705" s="105" customFormat="1" spans="9:12">
      <c r="I13705" s="225"/>
      <c r="K13705" s="9"/>
      <c r="L13705" s="9"/>
    </row>
    <row r="13706" s="105" customFormat="1" spans="9:12">
      <c r="I13706" s="225"/>
      <c r="K13706" s="9"/>
      <c r="L13706" s="9"/>
    </row>
    <row r="13707" s="105" customFormat="1" spans="9:12">
      <c r="I13707" s="225"/>
      <c r="K13707" s="9"/>
      <c r="L13707" s="9"/>
    </row>
    <row r="13708" s="105" customFormat="1" spans="9:12">
      <c r="I13708" s="225"/>
      <c r="K13708" s="9"/>
      <c r="L13708" s="9"/>
    </row>
    <row r="13709" s="105" customFormat="1" spans="9:12">
      <c r="I13709" s="225"/>
      <c r="K13709" s="9"/>
      <c r="L13709" s="9"/>
    </row>
    <row r="13710" s="105" customFormat="1" spans="9:12">
      <c r="I13710" s="225"/>
      <c r="K13710" s="9"/>
      <c r="L13710" s="9"/>
    </row>
    <row r="13711" s="105" customFormat="1" spans="9:12">
      <c r="I13711" s="225"/>
      <c r="K13711" s="9"/>
      <c r="L13711" s="9"/>
    </row>
    <row r="13712" s="105" customFormat="1" spans="9:12">
      <c r="I13712" s="225"/>
      <c r="K13712" s="9"/>
      <c r="L13712" s="9"/>
    </row>
    <row r="13713" s="105" customFormat="1" spans="9:12">
      <c r="I13713" s="225"/>
      <c r="K13713" s="9"/>
      <c r="L13713" s="9"/>
    </row>
    <row r="13714" s="105" customFormat="1" spans="9:12">
      <c r="I13714" s="225"/>
      <c r="K13714" s="9"/>
      <c r="L13714" s="9"/>
    </row>
    <row r="13715" s="105" customFormat="1" spans="9:12">
      <c r="I13715" s="225"/>
      <c r="K13715" s="9"/>
      <c r="L13715" s="9"/>
    </row>
    <row r="13716" s="105" customFormat="1" spans="9:12">
      <c r="I13716" s="225"/>
      <c r="K13716" s="9"/>
      <c r="L13716" s="9"/>
    </row>
    <row r="13717" s="105" customFormat="1" spans="9:12">
      <c r="I13717" s="225"/>
      <c r="K13717" s="9"/>
      <c r="L13717" s="9"/>
    </row>
    <row r="13718" s="105" customFormat="1" spans="9:12">
      <c r="I13718" s="225"/>
      <c r="K13718" s="9"/>
      <c r="L13718" s="9"/>
    </row>
    <row r="13719" s="105" customFormat="1" spans="9:12">
      <c r="I13719" s="225"/>
      <c r="K13719" s="9"/>
      <c r="L13719" s="9"/>
    </row>
    <row r="13720" s="105" customFormat="1" spans="9:12">
      <c r="I13720" s="225"/>
      <c r="K13720" s="9"/>
      <c r="L13720" s="9"/>
    </row>
    <row r="13721" s="105" customFormat="1" spans="9:12">
      <c r="I13721" s="225"/>
      <c r="K13721" s="9"/>
      <c r="L13721" s="9"/>
    </row>
    <row r="13722" s="105" customFormat="1" spans="9:12">
      <c r="I13722" s="225"/>
      <c r="K13722" s="9"/>
      <c r="L13722" s="9"/>
    </row>
    <row r="13723" s="105" customFormat="1" spans="9:12">
      <c r="I13723" s="225"/>
      <c r="K13723" s="9"/>
      <c r="L13723" s="9"/>
    </row>
    <row r="13724" s="105" customFormat="1" spans="9:12">
      <c r="I13724" s="225"/>
      <c r="K13724" s="9"/>
      <c r="L13724" s="9"/>
    </row>
    <row r="13725" s="105" customFormat="1" spans="9:12">
      <c r="I13725" s="225"/>
      <c r="K13725" s="9"/>
      <c r="L13725" s="9"/>
    </row>
    <row r="13726" s="105" customFormat="1" spans="9:12">
      <c r="I13726" s="225"/>
      <c r="K13726" s="9"/>
      <c r="L13726" s="9"/>
    </row>
    <row r="13727" s="105" customFormat="1" spans="9:12">
      <c r="I13727" s="225"/>
      <c r="K13727" s="9"/>
      <c r="L13727" s="9"/>
    </row>
    <row r="13728" s="105" customFormat="1" spans="9:12">
      <c r="I13728" s="225"/>
      <c r="K13728" s="9"/>
      <c r="L13728" s="9"/>
    </row>
    <row r="13729" s="105" customFormat="1" spans="9:12">
      <c r="I13729" s="225"/>
      <c r="K13729" s="9"/>
      <c r="L13729" s="9"/>
    </row>
    <row r="13730" s="105" customFormat="1" spans="9:12">
      <c r="I13730" s="225"/>
      <c r="K13730" s="9"/>
      <c r="L13730" s="9"/>
    </row>
    <row r="13731" s="105" customFormat="1" spans="9:12">
      <c r="I13731" s="225"/>
      <c r="K13731" s="9"/>
      <c r="L13731" s="9"/>
    </row>
    <row r="13732" s="105" customFormat="1" spans="9:12">
      <c r="I13732" s="225"/>
      <c r="K13732" s="9"/>
      <c r="L13732" s="9"/>
    </row>
    <row r="13733" s="105" customFormat="1" spans="9:12">
      <c r="I13733" s="225"/>
      <c r="K13733" s="9"/>
      <c r="L13733" s="9"/>
    </row>
    <row r="13734" s="105" customFormat="1" spans="9:12">
      <c r="I13734" s="225"/>
      <c r="K13734" s="9"/>
      <c r="L13734" s="9"/>
    </row>
    <row r="13735" s="105" customFormat="1" spans="9:12">
      <c r="I13735" s="225"/>
      <c r="K13735" s="9"/>
      <c r="L13735" s="9"/>
    </row>
    <row r="13736" s="105" customFormat="1" spans="9:12">
      <c r="I13736" s="225"/>
      <c r="K13736" s="9"/>
      <c r="L13736" s="9"/>
    </row>
    <row r="13737" s="105" customFormat="1" spans="9:12">
      <c r="I13737" s="225"/>
      <c r="K13737" s="9"/>
      <c r="L13737" s="9"/>
    </row>
    <row r="13738" s="105" customFormat="1" spans="9:12">
      <c r="I13738" s="225"/>
      <c r="K13738" s="9"/>
      <c r="L13738" s="9"/>
    </row>
    <row r="13739" s="105" customFormat="1" spans="9:12">
      <c r="I13739" s="225"/>
      <c r="K13739" s="9"/>
      <c r="L13739" s="9"/>
    </row>
    <row r="13740" s="105" customFormat="1" spans="9:12">
      <c r="I13740" s="225"/>
      <c r="K13740" s="9"/>
      <c r="L13740" s="9"/>
    </row>
    <row r="13741" s="105" customFormat="1" spans="9:12">
      <c r="I13741" s="225"/>
      <c r="K13741" s="9"/>
      <c r="L13741" s="9"/>
    </row>
    <row r="13742" s="105" customFormat="1" spans="9:12">
      <c r="I13742" s="225"/>
      <c r="K13742" s="9"/>
      <c r="L13742" s="9"/>
    </row>
    <row r="13743" s="105" customFormat="1" spans="9:12">
      <c r="I13743" s="225"/>
      <c r="K13743" s="9"/>
      <c r="L13743" s="9"/>
    </row>
    <row r="13744" s="105" customFormat="1" spans="9:12">
      <c r="I13744" s="225"/>
      <c r="K13744" s="9"/>
      <c r="L13744" s="9"/>
    </row>
    <row r="13745" s="105" customFormat="1" spans="9:12">
      <c r="I13745" s="225"/>
      <c r="K13745" s="9"/>
      <c r="L13745" s="9"/>
    </row>
    <row r="13746" s="105" customFormat="1" spans="9:12">
      <c r="I13746" s="225"/>
      <c r="K13746" s="9"/>
      <c r="L13746" s="9"/>
    </row>
    <row r="13747" s="105" customFormat="1" spans="9:12">
      <c r="I13747" s="225"/>
      <c r="K13747" s="9"/>
      <c r="L13747" s="9"/>
    </row>
    <row r="13748" s="105" customFormat="1" spans="9:12">
      <c r="I13748" s="225"/>
      <c r="K13748" s="9"/>
      <c r="L13748" s="9"/>
    </row>
    <row r="13749" s="105" customFormat="1" spans="9:12">
      <c r="I13749" s="225"/>
      <c r="K13749" s="9"/>
      <c r="L13749" s="9"/>
    </row>
    <row r="13750" s="105" customFormat="1" spans="9:12">
      <c r="I13750" s="225"/>
      <c r="K13750" s="9"/>
      <c r="L13750" s="9"/>
    </row>
    <row r="13751" s="105" customFormat="1" spans="9:12">
      <c r="I13751" s="225"/>
      <c r="K13751" s="9"/>
      <c r="L13751" s="9"/>
    </row>
    <row r="13752" s="105" customFormat="1" spans="9:12">
      <c r="I13752" s="225"/>
      <c r="K13752" s="9"/>
      <c r="L13752" s="9"/>
    </row>
    <row r="13753" s="105" customFormat="1" spans="9:12">
      <c r="I13753" s="225"/>
      <c r="K13753" s="9"/>
      <c r="L13753" s="9"/>
    </row>
    <row r="13754" s="105" customFormat="1" spans="9:12">
      <c r="I13754" s="225"/>
      <c r="K13754" s="9"/>
      <c r="L13754" s="9"/>
    </row>
    <row r="13755" s="105" customFormat="1" spans="9:12">
      <c r="I13755" s="225"/>
      <c r="K13755" s="9"/>
      <c r="L13755" s="9"/>
    </row>
    <row r="13756" s="105" customFormat="1" spans="9:12">
      <c r="I13756" s="225"/>
      <c r="K13756" s="9"/>
      <c r="L13756" s="9"/>
    </row>
    <row r="13757" s="105" customFormat="1" spans="9:12">
      <c r="I13757" s="225"/>
      <c r="K13757" s="9"/>
      <c r="L13757" s="9"/>
    </row>
    <row r="13758" s="105" customFormat="1" spans="9:12">
      <c r="I13758" s="225"/>
      <c r="K13758" s="9"/>
      <c r="L13758" s="9"/>
    </row>
    <row r="13759" s="105" customFormat="1" spans="9:12">
      <c r="I13759" s="225"/>
      <c r="K13759" s="9"/>
      <c r="L13759" s="9"/>
    </row>
    <row r="13760" s="105" customFormat="1" spans="9:12">
      <c r="I13760" s="225"/>
      <c r="K13760" s="9"/>
      <c r="L13760" s="9"/>
    </row>
    <row r="13761" s="105" customFormat="1" spans="9:12">
      <c r="I13761" s="225"/>
      <c r="K13761" s="9"/>
      <c r="L13761" s="9"/>
    </row>
    <row r="13762" s="105" customFormat="1" spans="9:12">
      <c r="I13762" s="225"/>
      <c r="K13762" s="9"/>
      <c r="L13762" s="9"/>
    </row>
    <row r="13763" s="105" customFormat="1" spans="9:12">
      <c r="I13763" s="225"/>
      <c r="K13763" s="9"/>
      <c r="L13763" s="9"/>
    </row>
    <row r="13764" s="105" customFormat="1" spans="9:12">
      <c r="I13764" s="225"/>
      <c r="K13764" s="9"/>
      <c r="L13764" s="9"/>
    </row>
    <row r="13765" s="105" customFormat="1" spans="9:12">
      <c r="I13765" s="225"/>
      <c r="K13765" s="9"/>
      <c r="L13765" s="9"/>
    </row>
    <row r="13766" s="105" customFormat="1" spans="9:12">
      <c r="I13766" s="225"/>
      <c r="K13766" s="9"/>
      <c r="L13766" s="9"/>
    </row>
    <row r="13767" s="105" customFormat="1" spans="9:12">
      <c r="I13767" s="225"/>
      <c r="K13767" s="9"/>
      <c r="L13767" s="9"/>
    </row>
    <row r="13768" s="105" customFormat="1" spans="9:12">
      <c r="I13768" s="225"/>
      <c r="K13768" s="9"/>
      <c r="L13768" s="9"/>
    </row>
    <row r="13769" s="105" customFormat="1" spans="9:12">
      <c r="I13769" s="225"/>
      <c r="K13769" s="9"/>
      <c r="L13769" s="9"/>
    </row>
    <row r="13770" s="105" customFormat="1" spans="9:12">
      <c r="I13770" s="225"/>
      <c r="K13770" s="9"/>
      <c r="L13770" s="9"/>
    </row>
    <row r="13771" s="105" customFormat="1" spans="9:12">
      <c r="I13771" s="225"/>
      <c r="K13771" s="9"/>
      <c r="L13771" s="9"/>
    </row>
    <row r="13772" s="105" customFormat="1" spans="9:12">
      <c r="I13772" s="225"/>
      <c r="K13772" s="9"/>
      <c r="L13772" s="9"/>
    </row>
    <row r="13773" s="105" customFormat="1" spans="9:12">
      <c r="I13773" s="225"/>
      <c r="K13773" s="9"/>
      <c r="L13773" s="9"/>
    </row>
    <row r="13774" s="105" customFormat="1" spans="9:12">
      <c r="I13774" s="225"/>
      <c r="K13774" s="9"/>
      <c r="L13774" s="9"/>
    </row>
    <row r="13775" s="105" customFormat="1" spans="9:12">
      <c r="I13775" s="225"/>
      <c r="K13775" s="9"/>
      <c r="L13775" s="9"/>
    </row>
    <row r="13776" s="105" customFormat="1" spans="9:12">
      <c r="I13776" s="225"/>
      <c r="K13776" s="9"/>
      <c r="L13776" s="9"/>
    </row>
    <row r="13777" s="105" customFormat="1" spans="9:12">
      <c r="I13777" s="225"/>
      <c r="K13777" s="9"/>
      <c r="L13777" s="9"/>
    </row>
    <row r="13778" s="105" customFormat="1" spans="9:12">
      <c r="I13778" s="225"/>
      <c r="K13778" s="9"/>
      <c r="L13778" s="9"/>
    </row>
    <row r="13779" s="105" customFormat="1" spans="9:12">
      <c r="I13779" s="225"/>
      <c r="K13779" s="9"/>
      <c r="L13779" s="9"/>
    </row>
    <row r="13780" s="105" customFormat="1" spans="9:12">
      <c r="I13780" s="225"/>
      <c r="K13780" s="9"/>
      <c r="L13780" s="9"/>
    </row>
    <row r="13781" s="105" customFormat="1" spans="9:12">
      <c r="I13781" s="225"/>
      <c r="K13781" s="9"/>
      <c r="L13781" s="9"/>
    </row>
    <row r="13782" s="105" customFormat="1" spans="9:12">
      <c r="I13782" s="225"/>
      <c r="K13782" s="9"/>
      <c r="L13782" s="9"/>
    </row>
    <row r="13783" s="105" customFormat="1" spans="9:12">
      <c r="I13783" s="225"/>
      <c r="K13783" s="9"/>
      <c r="L13783" s="9"/>
    </row>
    <row r="13784" s="105" customFormat="1" spans="9:12">
      <c r="I13784" s="225"/>
      <c r="K13784" s="9"/>
      <c r="L13784" s="9"/>
    </row>
    <row r="13785" s="105" customFormat="1" spans="9:12">
      <c r="I13785" s="225"/>
      <c r="K13785" s="9"/>
      <c r="L13785" s="9"/>
    </row>
    <row r="13786" s="105" customFormat="1" spans="9:12">
      <c r="I13786" s="225"/>
      <c r="K13786" s="9"/>
      <c r="L13786" s="9"/>
    </row>
    <row r="13787" s="105" customFormat="1" spans="9:12">
      <c r="I13787" s="225"/>
      <c r="K13787" s="9"/>
      <c r="L13787" s="9"/>
    </row>
    <row r="13788" s="105" customFormat="1" spans="9:12">
      <c r="I13788" s="225"/>
      <c r="K13788" s="9"/>
      <c r="L13788" s="9"/>
    </row>
    <row r="13789" s="105" customFormat="1" spans="9:12">
      <c r="I13789" s="225"/>
      <c r="K13789" s="9"/>
      <c r="L13789" s="9"/>
    </row>
    <row r="13790" s="105" customFormat="1" spans="9:12">
      <c r="I13790" s="225"/>
      <c r="K13790" s="9"/>
      <c r="L13790" s="9"/>
    </row>
    <row r="13791" s="105" customFormat="1" spans="9:12">
      <c r="I13791" s="225"/>
      <c r="K13791" s="9"/>
      <c r="L13791" s="9"/>
    </row>
    <row r="13792" s="105" customFormat="1" spans="9:12">
      <c r="I13792" s="225"/>
      <c r="K13792" s="9"/>
      <c r="L13792" s="9"/>
    </row>
    <row r="13793" s="105" customFormat="1" spans="9:12">
      <c r="I13793" s="225"/>
      <c r="K13793" s="9"/>
      <c r="L13793" s="9"/>
    </row>
    <row r="13794" s="105" customFormat="1" spans="9:12">
      <c r="I13794" s="225"/>
      <c r="K13794" s="9"/>
      <c r="L13794" s="9"/>
    </row>
    <row r="13795" s="105" customFormat="1" spans="9:12">
      <c r="I13795" s="225"/>
      <c r="K13795" s="9"/>
      <c r="L13795" s="9"/>
    </row>
    <row r="13796" s="105" customFormat="1" spans="9:12">
      <c r="I13796" s="225"/>
      <c r="K13796" s="9"/>
      <c r="L13796" s="9"/>
    </row>
    <row r="13797" s="105" customFormat="1" spans="9:12">
      <c r="I13797" s="225"/>
      <c r="K13797" s="9"/>
      <c r="L13797" s="9"/>
    </row>
    <row r="13798" s="105" customFormat="1" spans="9:12">
      <c r="I13798" s="225"/>
      <c r="K13798" s="9"/>
      <c r="L13798" s="9"/>
    </row>
    <row r="13799" s="105" customFormat="1" spans="9:12">
      <c r="I13799" s="225"/>
      <c r="K13799" s="9"/>
      <c r="L13799" s="9"/>
    </row>
    <row r="13800" s="105" customFormat="1" spans="9:12">
      <c r="I13800" s="225"/>
      <c r="K13800" s="9"/>
      <c r="L13800" s="9"/>
    </row>
    <row r="13801" s="105" customFormat="1" spans="9:12">
      <c r="I13801" s="225"/>
      <c r="K13801" s="9"/>
      <c r="L13801" s="9"/>
    </row>
    <row r="13802" s="105" customFormat="1" spans="9:12">
      <c r="I13802" s="225"/>
      <c r="K13802" s="9"/>
      <c r="L13802" s="9"/>
    </row>
    <row r="13803" s="105" customFormat="1" spans="9:12">
      <c r="I13803" s="225"/>
      <c r="K13803" s="9"/>
      <c r="L13803" s="9"/>
    </row>
    <row r="13804" s="105" customFormat="1" spans="9:12">
      <c r="I13804" s="225"/>
      <c r="K13804" s="9"/>
      <c r="L13804" s="9"/>
    </row>
    <row r="13805" s="105" customFormat="1" spans="9:12">
      <c r="I13805" s="225"/>
      <c r="K13805" s="9"/>
      <c r="L13805" s="9"/>
    </row>
    <row r="13806" s="105" customFormat="1" spans="9:12">
      <c r="I13806" s="225"/>
      <c r="K13806" s="9"/>
      <c r="L13806" s="9"/>
    </row>
    <row r="13807" s="105" customFormat="1" spans="9:12">
      <c r="I13807" s="225"/>
      <c r="K13807" s="9"/>
      <c r="L13807" s="9"/>
    </row>
    <row r="13808" s="105" customFormat="1" spans="9:12">
      <c r="I13808" s="225"/>
      <c r="K13808" s="9"/>
      <c r="L13808" s="9"/>
    </row>
    <row r="13809" s="105" customFormat="1" spans="9:12">
      <c r="I13809" s="225"/>
      <c r="K13809" s="9"/>
      <c r="L13809" s="9"/>
    </row>
    <row r="13810" s="105" customFormat="1" spans="9:12">
      <c r="I13810" s="225"/>
      <c r="K13810" s="9"/>
      <c r="L13810" s="9"/>
    </row>
    <row r="13811" s="105" customFormat="1" spans="9:12">
      <c r="I13811" s="225"/>
      <c r="K13811" s="9"/>
      <c r="L13811" s="9"/>
    </row>
    <row r="13812" s="105" customFormat="1" spans="9:12">
      <c r="I13812" s="225"/>
      <c r="K13812" s="9"/>
      <c r="L13812" s="9"/>
    </row>
    <row r="13813" s="105" customFormat="1" spans="9:12">
      <c r="I13813" s="225"/>
      <c r="K13813" s="9"/>
      <c r="L13813" s="9"/>
    </row>
    <row r="13814" s="105" customFormat="1" spans="9:12">
      <c r="I13814" s="225"/>
      <c r="K13814" s="9"/>
      <c r="L13814" s="9"/>
    </row>
    <row r="13815" s="105" customFormat="1" spans="9:12">
      <c r="I13815" s="225"/>
      <c r="K13815" s="9"/>
      <c r="L13815" s="9"/>
    </row>
    <row r="13816" s="105" customFormat="1" spans="9:12">
      <c r="I13816" s="225"/>
      <c r="K13816" s="9"/>
      <c r="L13816" s="9"/>
    </row>
    <row r="13817" s="105" customFormat="1" spans="9:12">
      <c r="I13817" s="225"/>
      <c r="K13817" s="9"/>
      <c r="L13817" s="9"/>
    </row>
    <row r="13818" s="105" customFormat="1" spans="9:12">
      <c r="I13818" s="225"/>
      <c r="K13818" s="9"/>
      <c r="L13818" s="9"/>
    </row>
    <row r="13819" s="105" customFormat="1" spans="9:12">
      <c r="I13819" s="225"/>
      <c r="K13819" s="9"/>
      <c r="L13819" s="9"/>
    </row>
    <row r="13820" s="105" customFormat="1" spans="9:12">
      <c r="I13820" s="225"/>
      <c r="K13820" s="9"/>
      <c r="L13820" s="9"/>
    </row>
    <row r="13821" s="105" customFormat="1" spans="9:12">
      <c r="I13821" s="225"/>
      <c r="K13821" s="9"/>
      <c r="L13821" s="9"/>
    </row>
    <row r="13822" s="105" customFormat="1" spans="9:12">
      <c r="I13822" s="225"/>
      <c r="K13822" s="9"/>
      <c r="L13822" s="9"/>
    </row>
    <row r="13823" s="105" customFormat="1" spans="9:12">
      <c r="I13823" s="225"/>
      <c r="K13823" s="9"/>
      <c r="L13823" s="9"/>
    </row>
    <row r="13824" s="105" customFormat="1" spans="9:12">
      <c r="I13824" s="225"/>
      <c r="K13824" s="9"/>
      <c r="L13824" s="9"/>
    </row>
    <row r="13825" s="105" customFormat="1" spans="9:12">
      <c r="I13825" s="225"/>
      <c r="K13825" s="9"/>
      <c r="L13825" s="9"/>
    </row>
    <row r="13826" s="105" customFormat="1" spans="9:12">
      <c r="I13826" s="225"/>
      <c r="K13826" s="9"/>
      <c r="L13826" s="9"/>
    </row>
    <row r="13827" s="105" customFormat="1" spans="9:12">
      <c r="I13827" s="225"/>
      <c r="K13827" s="9"/>
      <c r="L13827" s="9"/>
    </row>
    <row r="13828" s="105" customFormat="1" spans="9:12">
      <c r="I13828" s="225"/>
      <c r="K13828" s="9"/>
      <c r="L13828" s="9"/>
    </row>
    <row r="13829" s="105" customFormat="1" spans="9:12">
      <c r="I13829" s="225"/>
      <c r="K13829" s="9"/>
      <c r="L13829" s="9"/>
    </row>
    <row r="13830" s="105" customFormat="1" spans="9:12">
      <c r="I13830" s="225"/>
      <c r="K13830" s="9"/>
      <c r="L13830" s="9"/>
    </row>
    <row r="13831" s="105" customFormat="1" spans="9:12">
      <c r="I13831" s="225"/>
      <c r="K13831" s="9"/>
      <c r="L13831" s="9"/>
    </row>
    <row r="13832" s="105" customFormat="1" spans="9:12">
      <c r="I13832" s="225"/>
      <c r="K13832" s="9"/>
      <c r="L13832" s="9"/>
    </row>
    <row r="13833" s="105" customFormat="1" spans="9:12">
      <c r="I13833" s="225"/>
      <c r="K13833" s="9"/>
      <c r="L13833" s="9"/>
    </row>
    <row r="13834" s="105" customFormat="1" spans="9:12">
      <c r="I13834" s="225"/>
      <c r="K13834" s="9"/>
      <c r="L13834" s="9"/>
    </row>
    <row r="13835" s="105" customFormat="1" spans="9:12">
      <c r="I13835" s="225"/>
      <c r="K13835" s="9"/>
      <c r="L13835" s="9"/>
    </row>
    <row r="13836" s="105" customFormat="1" spans="9:12">
      <c r="I13836" s="225"/>
      <c r="K13836" s="9"/>
      <c r="L13836" s="9"/>
    </row>
    <row r="13837" s="105" customFormat="1" spans="9:12">
      <c r="I13837" s="225"/>
      <c r="K13837" s="9"/>
      <c r="L13837" s="9"/>
    </row>
    <row r="13838" s="105" customFormat="1" spans="9:12">
      <c r="I13838" s="225"/>
      <c r="K13838" s="9"/>
      <c r="L13838" s="9"/>
    </row>
    <row r="13839" s="105" customFormat="1" spans="9:12">
      <c r="I13839" s="225"/>
      <c r="K13839" s="9"/>
      <c r="L13839" s="9"/>
    </row>
    <row r="13840" s="105" customFormat="1" spans="9:12">
      <c r="I13840" s="225"/>
      <c r="K13840" s="9"/>
      <c r="L13840" s="9"/>
    </row>
    <row r="13841" s="105" customFormat="1" spans="9:12">
      <c r="I13841" s="225"/>
      <c r="K13841" s="9"/>
      <c r="L13841" s="9"/>
    </row>
    <row r="13842" s="105" customFormat="1" spans="9:12">
      <c r="I13842" s="225"/>
      <c r="K13842" s="9"/>
      <c r="L13842" s="9"/>
    </row>
    <row r="13843" s="105" customFormat="1" spans="9:12">
      <c r="I13843" s="225"/>
      <c r="K13843" s="9"/>
      <c r="L13843" s="9"/>
    </row>
    <row r="13844" s="105" customFormat="1" spans="9:12">
      <c r="I13844" s="225"/>
      <c r="K13844" s="9"/>
      <c r="L13844" s="9"/>
    </row>
    <row r="13845" s="105" customFormat="1" spans="9:12">
      <c r="I13845" s="225"/>
      <c r="K13845" s="9"/>
      <c r="L13845" s="9"/>
    </row>
    <row r="13846" s="105" customFormat="1" spans="9:12">
      <c r="I13846" s="225"/>
      <c r="K13846" s="9"/>
      <c r="L13846" s="9"/>
    </row>
    <row r="13847" s="105" customFormat="1" spans="9:12">
      <c r="I13847" s="225"/>
      <c r="K13847" s="9"/>
      <c r="L13847" s="9"/>
    </row>
    <row r="13848" s="105" customFormat="1" spans="9:12">
      <c r="I13848" s="225"/>
      <c r="K13848" s="9"/>
      <c r="L13848" s="9"/>
    </row>
    <row r="13849" s="105" customFormat="1" spans="9:12">
      <c r="I13849" s="225"/>
      <c r="K13849" s="9"/>
      <c r="L13849" s="9"/>
    </row>
    <row r="13850" s="105" customFormat="1" spans="9:12">
      <c r="I13850" s="225"/>
      <c r="K13850" s="9"/>
      <c r="L13850" s="9"/>
    </row>
    <row r="13851" s="105" customFormat="1" spans="9:12">
      <c r="I13851" s="225"/>
      <c r="K13851" s="9"/>
      <c r="L13851" s="9"/>
    </row>
    <row r="13852" s="105" customFormat="1" spans="9:12">
      <c r="I13852" s="225"/>
      <c r="K13852" s="9"/>
      <c r="L13852" s="9"/>
    </row>
    <row r="13853" s="105" customFormat="1" spans="9:12">
      <c r="I13853" s="225"/>
      <c r="K13853" s="9"/>
      <c r="L13853" s="9"/>
    </row>
    <row r="13854" s="105" customFormat="1" spans="9:12">
      <c r="I13854" s="225"/>
      <c r="K13854" s="9"/>
      <c r="L13854" s="9"/>
    </row>
    <row r="13855" s="105" customFormat="1" spans="9:12">
      <c r="I13855" s="225"/>
      <c r="K13855" s="9"/>
      <c r="L13855" s="9"/>
    </row>
    <row r="13856" s="105" customFormat="1" spans="9:12">
      <c r="I13856" s="225"/>
      <c r="K13856" s="9"/>
      <c r="L13856" s="9"/>
    </row>
    <row r="13857" s="105" customFormat="1" spans="9:12">
      <c r="I13857" s="225"/>
      <c r="K13857" s="9"/>
      <c r="L13857" s="9"/>
    </row>
    <row r="13858" s="105" customFormat="1" spans="9:12">
      <c r="I13858" s="225"/>
      <c r="K13858" s="9"/>
      <c r="L13858" s="9"/>
    </row>
    <row r="13859" s="105" customFormat="1" spans="9:12">
      <c r="I13859" s="225"/>
      <c r="K13859" s="9"/>
      <c r="L13859" s="9"/>
    </row>
    <row r="13860" s="105" customFormat="1" spans="9:12">
      <c r="I13860" s="225"/>
      <c r="K13860" s="9"/>
      <c r="L13860" s="9"/>
    </row>
    <row r="13861" s="105" customFormat="1" spans="9:12">
      <c r="I13861" s="225"/>
      <c r="K13861" s="9"/>
      <c r="L13861" s="9"/>
    </row>
    <row r="13862" s="105" customFormat="1" spans="9:12">
      <c r="I13862" s="225"/>
      <c r="K13862" s="9"/>
      <c r="L13862" s="9"/>
    </row>
    <row r="13863" s="105" customFormat="1" spans="9:12">
      <c r="I13863" s="225"/>
      <c r="K13863" s="9"/>
      <c r="L13863" s="9"/>
    </row>
    <row r="13864" s="105" customFormat="1" spans="9:12">
      <c r="I13864" s="225"/>
      <c r="K13864" s="9"/>
      <c r="L13864" s="9"/>
    </row>
    <row r="13865" s="105" customFormat="1" spans="9:12">
      <c r="I13865" s="225"/>
      <c r="K13865" s="9"/>
      <c r="L13865" s="9"/>
    </row>
    <row r="13866" s="105" customFormat="1" spans="9:12">
      <c r="I13866" s="225"/>
      <c r="K13866" s="9"/>
      <c r="L13866" s="9"/>
    </row>
    <row r="13867" s="105" customFormat="1" spans="9:12">
      <c r="I13867" s="225"/>
      <c r="K13867" s="9"/>
      <c r="L13867" s="9"/>
    </row>
    <row r="13868" s="105" customFormat="1" spans="9:12">
      <c r="I13868" s="225"/>
      <c r="K13868" s="9"/>
      <c r="L13868" s="9"/>
    </row>
    <row r="13869" s="105" customFormat="1" spans="9:12">
      <c r="I13869" s="225"/>
      <c r="K13869" s="9"/>
      <c r="L13869" s="9"/>
    </row>
    <row r="13870" s="105" customFormat="1" spans="9:12">
      <c r="I13870" s="225"/>
      <c r="K13870" s="9"/>
      <c r="L13870" s="9"/>
    </row>
    <row r="13871" s="105" customFormat="1" spans="9:12">
      <c r="I13871" s="225"/>
      <c r="K13871" s="9"/>
      <c r="L13871" s="9"/>
    </row>
    <row r="13872" s="105" customFormat="1" spans="9:12">
      <c r="I13872" s="225"/>
      <c r="K13872" s="9"/>
      <c r="L13872" s="9"/>
    </row>
    <row r="13873" s="105" customFormat="1" spans="9:12">
      <c r="I13873" s="225"/>
      <c r="K13873" s="9"/>
      <c r="L13873" s="9"/>
    </row>
    <row r="13874" s="105" customFormat="1" spans="9:12">
      <c r="I13874" s="225"/>
      <c r="K13874" s="9"/>
      <c r="L13874" s="9"/>
    </row>
    <row r="13875" s="105" customFormat="1" spans="9:12">
      <c r="I13875" s="225"/>
      <c r="K13875" s="9"/>
      <c r="L13875" s="9"/>
    </row>
    <row r="13876" s="105" customFormat="1" spans="9:12">
      <c r="I13876" s="225"/>
      <c r="K13876" s="9"/>
      <c r="L13876" s="9"/>
    </row>
    <row r="13877" s="105" customFormat="1" spans="9:12">
      <c r="I13877" s="225"/>
      <c r="K13877" s="9"/>
      <c r="L13877" s="9"/>
    </row>
    <row r="13878" s="105" customFormat="1" spans="9:12">
      <c r="I13878" s="225"/>
      <c r="K13878" s="9"/>
      <c r="L13878" s="9"/>
    </row>
    <row r="13879" s="105" customFormat="1" spans="9:12">
      <c r="I13879" s="225"/>
      <c r="K13879" s="9"/>
      <c r="L13879" s="9"/>
    </row>
    <row r="13880" s="105" customFormat="1" spans="9:12">
      <c r="I13880" s="225"/>
      <c r="K13880" s="9"/>
      <c r="L13880" s="9"/>
    </row>
    <row r="13881" s="105" customFormat="1" spans="9:12">
      <c r="I13881" s="225"/>
      <c r="K13881" s="9"/>
      <c r="L13881" s="9"/>
    </row>
    <row r="13882" s="105" customFormat="1" spans="9:12">
      <c r="I13882" s="225"/>
      <c r="K13882" s="9"/>
      <c r="L13882" s="9"/>
    </row>
    <row r="13883" s="105" customFormat="1" spans="9:12">
      <c r="I13883" s="225"/>
      <c r="K13883" s="9"/>
      <c r="L13883" s="9"/>
    </row>
    <row r="13884" s="105" customFormat="1" spans="9:12">
      <c r="I13884" s="225"/>
      <c r="K13884" s="9"/>
      <c r="L13884" s="9"/>
    </row>
    <row r="13885" s="105" customFormat="1" spans="9:12">
      <c r="I13885" s="225"/>
      <c r="K13885" s="9"/>
      <c r="L13885" s="9"/>
    </row>
    <row r="13886" s="105" customFormat="1" spans="9:12">
      <c r="I13886" s="225"/>
      <c r="K13886" s="9"/>
      <c r="L13886" s="9"/>
    </row>
    <row r="13887" s="105" customFormat="1" spans="9:12">
      <c r="I13887" s="225"/>
      <c r="K13887" s="9"/>
      <c r="L13887" s="9"/>
    </row>
    <row r="13888" s="105" customFormat="1" spans="9:12">
      <c r="I13888" s="225"/>
      <c r="K13888" s="9"/>
      <c r="L13888" s="9"/>
    </row>
    <row r="13889" s="105" customFormat="1" spans="9:12">
      <c r="I13889" s="225"/>
      <c r="K13889" s="9"/>
      <c r="L13889" s="9"/>
    </row>
    <row r="13890" s="105" customFormat="1" spans="9:12">
      <c r="I13890" s="225"/>
      <c r="K13890" s="9"/>
      <c r="L13890" s="9"/>
    </row>
    <row r="13891" s="105" customFormat="1" spans="9:12">
      <c r="I13891" s="225"/>
      <c r="K13891" s="9"/>
      <c r="L13891" s="9"/>
    </row>
    <row r="13892" s="105" customFormat="1" spans="9:12">
      <c r="I13892" s="225"/>
      <c r="K13892" s="9"/>
      <c r="L13892" s="9"/>
    </row>
    <row r="13893" s="105" customFormat="1" spans="9:12">
      <c r="I13893" s="225"/>
      <c r="K13893" s="9"/>
      <c r="L13893" s="9"/>
    </row>
    <row r="13894" s="105" customFormat="1" spans="9:12">
      <c r="I13894" s="225"/>
      <c r="K13894" s="9"/>
      <c r="L13894" s="9"/>
    </row>
    <row r="13895" s="105" customFormat="1" spans="9:12">
      <c r="I13895" s="225"/>
      <c r="K13895" s="9"/>
      <c r="L13895" s="9"/>
    </row>
    <row r="13896" s="105" customFormat="1" spans="9:12">
      <c r="I13896" s="225"/>
      <c r="K13896" s="9"/>
      <c r="L13896" s="9"/>
    </row>
    <row r="13897" s="105" customFormat="1" spans="9:12">
      <c r="I13897" s="225"/>
      <c r="K13897" s="9"/>
      <c r="L13897" s="9"/>
    </row>
    <row r="13898" s="105" customFormat="1" spans="9:12">
      <c r="I13898" s="225"/>
      <c r="K13898" s="9"/>
      <c r="L13898" s="9"/>
    </row>
    <row r="13899" s="105" customFormat="1" spans="9:12">
      <c r="I13899" s="225"/>
      <c r="K13899" s="9"/>
      <c r="L13899" s="9"/>
    </row>
    <row r="13900" s="105" customFormat="1" spans="9:12">
      <c r="I13900" s="225"/>
      <c r="K13900" s="9"/>
      <c r="L13900" s="9"/>
    </row>
    <row r="13901" s="105" customFormat="1" spans="9:12">
      <c r="I13901" s="225"/>
      <c r="K13901" s="9"/>
      <c r="L13901" s="9"/>
    </row>
    <row r="13902" s="105" customFormat="1" spans="9:12">
      <c r="I13902" s="225"/>
      <c r="K13902" s="9"/>
      <c r="L13902" s="9"/>
    </row>
    <row r="13903" s="105" customFormat="1" spans="9:12">
      <c r="I13903" s="225"/>
      <c r="K13903" s="9"/>
      <c r="L13903" s="9"/>
    </row>
    <row r="13904" s="105" customFormat="1" spans="9:12">
      <c r="I13904" s="225"/>
      <c r="K13904" s="9"/>
      <c r="L13904" s="9"/>
    </row>
    <row r="13905" s="105" customFormat="1" spans="9:12">
      <c r="I13905" s="225"/>
      <c r="K13905" s="9"/>
      <c r="L13905" s="9"/>
    </row>
    <row r="13906" s="105" customFormat="1" spans="9:12">
      <c r="I13906" s="225"/>
      <c r="K13906" s="9"/>
      <c r="L13906" s="9"/>
    </row>
    <row r="13907" s="105" customFormat="1" spans="9:12">
      <c r="I13907" s="225"/>
      <c r="K13907" s="9"/>
      <c r="L13907" s="9"/>
    </row>
    <row r="13908" s="105" customFormat="1" spans="9:12">
      <c r="I13908" s="225"/>
      <c r="K13908" s="9"/>
      <c r="L13908" s="9"/>
    </row>
    <row r="13909" s="105" customFormat="1" spans="9:12">
      <c r="I13909" s="225"/>
      <c r="K13909" s="9"/>
      <c r="L13909" s="9"/>
    </row>
    <row r="13910" s="105" customFormat="1" spans="9:12">
      <c r="I13910" s="225"/>
      <c r="K13910" s="9"/>
      <c r="L13910" s="9"/>
    </row>
    <row r="13911" s="105" customFormat="1" spans="9:12">
      <c r="I13911" s="225"/>
      <c r="K13911" s="9"/>
      <c r="L13911" s="9"/>
    </row>
    <row r="13912" s="105" customFormat="1" spans="9:12">
      <c r="I13912" s="225"/>
      <c r="K13912" s="9"/>
      <c r="L13912" s="9"/>
    </row>
    <row r="13913" s="105" customFormat="1" spans="9:12">
      <c r="I13913" s="225"/>
      <c r="K13913" s="9"/>
      <c r="L13913" s="9"/>
    </row>
    <row r="13914" s="105" customFormat="1" spans="9:12">
      <c r="I13914" s="225"/>
      <c r="K13914" s="9"/>
      <c r="L13914" s="9"/>
    </row>
    <row r="13915" s="105" customFormat="1" spans="9:12">
      <c r="I13915" s="225"/>
      <c r="K13915" s="9"/>
      <c r="L13915" s="9"/>
    </row>
    <row r="13916" s="105" customFormat="1" spans="9:12">
      <c r="I13916" s="225"/>
      <c r="K13916" s="9"/>
      <c r="L13916" s="9"/>
    </row>
    <row r="13917" s="105" customFormat="1" spans="9:12">
      <c r="I13917" s="225"/>
      <c r="K13917" s="9"/>
      <c r="L13917" s="9"/>
    </row>
    <row r="13918" s="105" customFormat="1" spans="9:12">
      <c r="I13918" s="225"/>
      <c r="K13918" s="9"/>
      <c r="L13918" s="9"/>
    </row>
    <row r="13919" s="105" customFormat="1" spans="9:12">
      <c r="I13919" s="225"/>
      <c r="K13919" s="9"/>
      <c r="L13919" s="9"/>
    </row>
    <row r="13920" s="105" customFormat="1" spans="9:12">
      <c r="I13920" s="225"/>
      <c r="K13920" s="9"/>
      <c r="L13920" s="9"/>
    </row>
    <row r="13921" s="105" customFormat="1" spans="9:12">
      <c r="I13921" s="225"/>
      <c r="K13921" s="9"/>
      <c r="L13921" s="9"/>
    </row>
    <row r="13922" s="105" customFormat="1" spans="9:12">
      <c r="I13922" s="225"/>
      <c r="K13922" s="9"/>
      <c r="L13922" s="9"/>
    </row>
    <row r="13923" s="105" customFormat="1" spans="9:12">
      <c r="I13923" s="225"/>
      <c r="K13923" s="9"/>
      <c r="L13923" s="9"/>
    </row>
    <row r="13924" s="105" customFormat="1" spans="9:12">
      <c r="I13924" s="225"/>
      <c r="K13924" s="9"/>
      <c r="L13924" s="9"/>
    </row>
    <row r="13925" s="105" customFormat="1" spans="9:12">
      <c r="I13925" s="225"/>
      <c r="K13925" s="9"/>
      <c r="L13925" s="9"/>
    </row>
    <row r="13926" s="105" customFormat="1" spans="9:12">
      <c r="I13926" s="225"/>
      <c r="K13926" s="9"/>
      <c r="L13926" s="9"/>
    </row>
    <row r="13927" s="105" customFormat="1" spans="9:12">
      <c r="I13927" s="225"/>
      <c r="K13927" s="9"/>
      <c r="L13927" s="9"/>
    </row>
    <row r="13928" s="105" customFormat="1" spans="9:12">
      <c r="I13928" s="225"/>
      <c r="K13928" s="9"/>
      <c r="L13928" s="9"/>
    </row>
    <row r="13929" s="105" customFormat="1" spans="9:12">
      <c r="I13929" s="225"/>
      <c r="K13929" s="9"/>
      <c r="L13929" s="9"/>
    </row>
    <row r="13930" s="105" customFormat="1" spans="9:12">
      <c r="I13930" s="225"/>
      <c r="K13930" s="9"/>
      <c r="L13930" s="9"/>
    </row>
    <row r="13931" s="105" customFormat="1" spans="9:12">
      <c r="I13931" s="225"/>
      <c r="K13931" s="9"/>
      <c r="L13931" s="9"/>
    </row>
    <row r="13932" s="105" customFormat="1" spans="9:12">
      <c r="I13932" s="225"/>
      <c r="K13932" s="9"/>
      <c r="L13932" s="9"/>
    </row>
    <row r="13933" s="105" customFormat="1" spans="9:12">
      <c r="I13933" s="225"/>
      <c r="K13933" s="9"/>
      <c r="L13933" s="9"/>
    </row>
    <row r="13934" s="105" customFormat="1" spans="9:12">
      <c r="I13934" s="225"/>
      <c r="K13934" s="9"/>
      <c r="L13934" s="9"/>
    </row>
    <row r="13935" s="105" customFormat="1" spans="9:12">
      <c r="I13935" s="225"/>
      <c r="K13935" s="9"/>
      <c r="L13935" s="9"/>
    </row>
    <row r="13936" s="105" customFormat="1" spans="9:12">
      <c r="I13936" s="225"/>
      <c r="K13936" s="9"/>
      <c r="L13936" s="9"/>
    </row>
    <row r="13937" s="105" customFormat="1" spans="9:12">
      <c r="I13937" s="225"/>
      <c r="K13937" s="9"/>
      <c r="L13937" s="9"/>
    </row>
    <row r="13938" s="105" customFormat="1" spans="9:12">
      <c r="I13938" s="225"/>
      <c r="K13938" s="9"/>
      <c r="L13938" s="9"/>
    </row>
    <row r="13939" s="105" customFormat="1" spans="9:12">
      <c r="I13939" s="225"/>
      <c r="K13939" s="9"/>
      <c r="L13939" s="9"/>
    </row>
    <row r="13940" s="105" customFormat="1" spans="9:12">
      <c r="I13940" s="225"/>
      <c r="K13940" s="9"/>
      <c r="L13940" s="9"/>
    </row>
    <row r="13941" s="105" customFormat="1" spans="9:12">
      <c r="I13941" s="225"/>
      <c r="K13941" s="9"/>
      <c r="L13941" s="9"/>
    </row>
    <row r="13942" s="105" customFormat="1" spans="9:12">
      <c r="I13942" s="225"/>
      <c r="K13942" s="9"/>
      <c r="L13942" s="9"/>
    </row>
    <row r="13943" s="105" customFormat="1" spans="9:12">
      <c r="I13943" s="225"/>
      <c r="K13943" s="9"/>
      <c r="L13943" s="9"/>
    </row>
    <row r="13944" s="105" customFormat="1" spans="9:12">
      <c r="I13944" s="225"/>
      <c r="K13944" s="9"/>
      <c r="L13944" s="9"/>
    </row>
    <row r="13945" s="105" customFormat="1" spans="9:12">
      <c r="I13945" s="225"/>
      <c r="K13945" s="9"/>
      <c r="L13945" s="9"/>
    </row>
    <row r="13946" s="105" customFormat="1" spans="9:12">
      <c r="I13946" s="225"/>
      <c r="K13946" s="9"/>
      <c r="L13946" s="9"/>
    </row>
    <row r="13947" s="105" customFormat="1" spans="9:12">
      <c r="I13947" s="225"/>
      <c r="K13947" s="9"/>
      <c r="L13947" s="9"/>
    </row>
    <row r="13948" s="105" customFormat="1" spans="9:12">
      <c r="I13948" s="225"/>
      <c r="K13948" s="9"/>
      <c r="L13948" s="9"/>
    </row>
    <row r="13949" s="105" customFormat="1" spans="9:12">
      <c r="I13949" s="225"/>
      <c r="K13949" s="9"/>
      <c r="L13949" s="9"/>
    </row>
    <row r="13950" s="105" customFormat="1" spans="9:12">
      <c r="I13950" s="225"/>
      <c r="K13950" s="9"/>
      <c r="L13950" s="9"/>
    </row>
    <row r="13951" s="105" customFormat="1" spans="9:12">
      <c r="I13951" s="225"/>
      <c r="K13951" s="9"/>
      <c r="L13951" s="9"/>
    </row>
    <row r="13952" s="105" customFormat="1" spans="9:12">
      <c r="I13952" s="225"/>
      <c r="K13952" s="9"/>
      <c r="L13952" s="9"/>
    </row>
    <row r="13953" s="105" customFormat="1" spans="9:12">
      <c r="I13953" s="225"/>
      <c r="K13953" s="9"/>
      <c r="L13953" s="9"/>
    </row>
    <row r="13954" s="105" customFormat="1" spans="9:12">
      <c r="I13954" s="225"/>
      <c r="K13954" s="9"/>
      <c r="L13954" s="9"/>
    </row>
    <row r="13955" s="105" customFormat="1" spans="9:12">
      <c r="I13955" s="225"/>
      <c r="K13955" s="9"/>
      <c r="L13955" s="9"/>
    </row>
    <row r="13956" s="105" customFormat="1" spans="9:12">
      <c r="I13956" s="225"/>
      <c r="K13956" s="9"/>
      <c r="L13956" s="9"/>
    </row>
    <row r="13957" s="105" customFormat="1" spans="9:12">
      <c r="I13957" s="225"/>
      <c r="K13957" s="9"/>
      <c r="L13957" s="9"/>
    </row>
    <row r="13958" s="105" customFormat="1" spans="9:12">
      <c r="I13958" s="225"/>
      <c r="K13958" s="9"/>
      <c r="L13958" s="9"/>
    </row>
    <row r="13959" s="105" customFormat="1" spans="9:12">
      <c r="I13959" s="225"/>
      <c r="K13959" s="9"/>
      <c r="L13959" s="9"/>
    </row>
    <row r="13960" s="105" customFormat="1" spans="9:12">
      <c r="I13960" s="225"/>
      <c r="K13960" s="9"/>
      <c r="L13960" s="9"/>
    </row>
    <row r="13961" s="105" customFormat="1" spans="9:12">
      <c r="I13961" s="225"/>
      <c r="K13961" s="9"/>
      <c r="L13961" s="9"/>
    </row>
    <row r="13962" s="105" customFormat="1" spans="9:12">
      <c r="I13962" s="225"/>
      <c r="K13962" s="9"/>
      <c r="L13962" s="9"/>
    </row>
    <row r="13963" s="105" customFormat="1" spans="9:12">
      <c r="I13963" s="225"/>
      <c r="K13963" s="9"/>
      <c r="L13963" s="9"/>
    </row>
    <row r="13964" s="105" customFormat="1" spans="9:12">
      <c r="I13964" s="225"/>
      <c r="K13964" s="9"/>
      <c r="L13964" s="9"/>
    </row>
    <row r="13965" s="105" customFormat="1" spans="9:12">
      <c r="I13965" s="225"/>
      <c r="K13965" s="9"/>
      <c r="L13965" s="9"/>
    </row>
    <row r="13966" s="105" customFormat="1" spans="9:12">
      <c r="I13966" s="225"/>
      <c r="K13966" s="9"/>
      <c r="L13966" s="9"/>
    </row>
    <row r="13967" s="105" customFormat="1" spans="9:12">
      <c r="I13967" s="225"/>
      <c r="K13967" s="9"/>
      <c r="L13967" s="9"/>
    </row>
    <row r="13968" s="105" customFormat="1" spans="9:12">
      <c r="I13968" s="225"/>
      <c r="K13968" s="9"/>
      <c r="L13968" s="9"/>
    </row>
    <row r="13969" s="105" customFormat="1" spans="9:12">
      <c r="I13969" s="225"/>
      <c r="K13969" s="9"/>
      <c r="L13969" s="9"/>
    </row>
    <row r="13970" s="105" customFormat="1" spans="9:12">
      <c r="I13970" s="225"/>
      <c r="K13970" s="9"/>
      <c r="L13970" s="9"/>
    </row>
    <row r="13971" s="105" customFormat="1" spans="9:12">
      <c r="I13971" s="225"/>
      <c r="K13971" s="9"/>
      <c r="L13971" s="9"/>
    </row>
    <row r="13972" s="105" customFormat="1" spans="9:12">
      <c r="I13972" s="225"/>
      <c r="K13972" s="9"/>
      <c r="L13972" s="9"/>
    </row>
    <row r="13973" s="105" customFormat="1" spans="9:12">
      <c r="I13973" s="225"/>
      <c r="K13973" s="9"/>
      <c r="L13973" s="9"/>
    </row>
    <row r="13974" s="105" customFormat="1" spans="9:12">
      <c r="I13974" s="225"/>
      <c r="K13974" s="9"/>
      <c r="L13974" s="9"/>
    </row>
    <row r="13975" s="105" customFormat="1" spans="9:12">
      <c r="I13975" s="225"/>
      <c r="K13975" s="9"/>
      <c r="L13975" s="9"/>
    </row>
    <row r="13976" s="105" customFormat="1" spans="9:12">
      <c r="I13976" s="225"/>
      <c r="K13976" s="9"/>
      <c r="L13976" s="9"/>
    </row>
    <row r="13977" s="105" customFormat="1" spans="9:12">
      <c r="I13977" s="225"/>
      <c r="K13977" s="9"/>
      <c r="L13977" s="9"/>
    </row>
    <row r="13978" s="105" customFormat="1" spans="9:12">
      <c r="I13978" s="225"/>
      <c r="K13978" s="9"/>
      <c r="L13978" s="9"/>
    </row>
    <row r="13979" s="105" customFormat="1" spans="9:12">
      <c r="I13979" s="225"/>
      <c r="K13979" s="9"/>
      <c r="L13979" s="9"/>
    </row>
    <row r="13980" s="105" customFormat="1" spans="9:12">
      <c r="I13980" s="225"/>
      <c r="K13980" s="9"/>
      <c r="L13980" s="9"/>
    </row>
    <row r="13981" s="105" customFormat="1" spans="9:12">
      <c r="I13981" s="225"/>
      <c r="K13981" s="9"/>
      <c r="L13981" s="9"/>
    </row>
    <row r="13982" s="105" customFormat="1" spans="9:12">
      <c r="I13982" s="225"/>
      <c r="K13982" s="9"/>
      <c r="L13982" s="9"/>
    </row>
    <row r="13983" s="105" customFormat="1" spans="9:12">
      <c r="I13983" s="225"/>
      <c r="K13983" s="9"/>
      <c r="L13983" s="9"/>
    </row>
    <row r="13984" s="105" customFormat="1" spans="9:12">
      <c r="I13984" s="225"/>
      <c r="K13984" s="9"/>
      <c r="L13984" s="9"/>
    </row>
    <row r="13985" s="105" customFormat="1" spans="9:12">
      <c r="I13985" s="225"/>
      <c r="K13985" s="9"/>
      <c r="L13985" s="9"/>
    </row>
    <row r="13986" s="105" customFormat="1" spans="9:12">
      <c r="I13986" s="225"/>
      <c r="K13986" s="9"/>
      <c r="L13986" s="9"/>
    </row>
    <row r="13987" s="105" customFormat="1" spans="9:12">
      <c r="I13987" s="225"/>
      <c r="K13987" s="9"/>
      <c r="L13987" s="9"/>
    </row>
    <row r="13988" s="105" customFormat="1" spans="9:12">
      <c r="I13988" s="225"/>
      <c r="K13988" s="9"/>
      <c r="L13988" s="9"/>
    </row>
    <row r="13989" s="105" customFormat="1" spans="9:12">
      <c r="I13989" s="225"/>
      <c r="K13989" s="9"/>
      <c r="L13989" s="9"/>
    </row>
    <row r="13990" s="105" customFormat="1" spans="9:12">
      <c r="I13990" s="225"/>
      <c r="K13990" s="9"/>
      <c r="L13990" s="9"/>
    </row>
    <row r="13991" s="105" customFormat="1" spans="9:12">
      <c r="I13991" s="225"/>
      <c r="K13991" s="9"/>
      <c r="L13991" s="9"/>
    </row>
    <row r="13992" s="105" customFormat="1" spans="9:12">
      <c r="I13992" s="225"/>
      <c r="K13992" s="9"/>
      <c r="L13992" s="9"/>
    </row>
    <row r="13993" s="105" customFormat="1" spans="9:12">
      <c r="I13993" s="225"/>
      <c r="K13993" s="9"/>
      <c r="L13993" s="9"/>
    </row>
    <row r="13994" s="105" customFormat="1" spans="9:12">
      <c r="I13994" s="225"/>
      <c r="K13994" s="9"/>
      <c r="L13994" s="9"/>
    </row>
    <row r="13995" s="105" customFormat="1" spans="9:12">
      <c r="I13995" s="225"/>
      <c r="K13995" s="9"/>
      <c r="L13995" s="9"/>
    </row>
    <row r="13996" s="105" customFormat="1" spans="9:12">
      <c r="I13996" s="225"/>
      <c r="K13996" s="9"/>
      <c r="L13996" s="9"/>
    </row>
    <row r="13997" s="105" customFormat="1" spans="9:12">
      <c r="I13997" s="225"/>
      <c r="K13997" s="9"/>
      <c r="L13997" s="9"/>
    </row>
    <row r="13998" s="105" customFormat="1" spans="9:12">
      <c r="I13998" s="225"/>
      <c r="K13998" s="9"/>
      <c r="L13998" s="9"/>
    </row>
    <row r="13999" s="105" customFormat="1" spans="9:12">
      <c r="I13999" s="225"/>
      <c r="K13999" s="9"/>
      <c r="L13999" s="9"/>
    </row>
    <row r="14000" s="105" customFormat="1" spans="9:12">
      <c r="I14000" s="225"/>
      <c r="K14000" s="9"/>
      <c r="L14000" s="9"/>
    </row>
    <row r="14001" s="105" customFormat="1" spans="9:12">
      <c r="I14001" s="225"/>
      <c r="K14001" s="9"/>
      <c r="L14001" s="9"/>
    </row>
    <row r="14002" s="105" customFormat="1" spans="9:12">
      <c r="I14002" s="225"/>
      <c r="K14002" s="9"/>
      <c r="L14002" s="9"/>
    </row>
    <row r="14003" s="105" customFormat="1" spans="9:12">
      <c r="I14003" s="225"/>
      <c r="K14003" s="9"/>
      <c r="L14003" s="9"/>
    </row>
    <row r="14004" s="105" customFormat="1" spans="9:12">
      <c r="I14004" s="225"/>
      <c r="K14004" s="9"/>
      <c r="L14004" s="9"/>
    </row>
    <row r="14005" s="105" customFormat="1" spans="9:12">
      <c r="I14005" s="225"/>
      <c r="K14005" s="9"/>
      <c r="L14005" s="9"/>
    </row>
    <row r="14006" s="105" customFormat="1" spans="9:12">
      <c r="I14006" s="225"/>
      <c r="K14006" s="9"/>
      <c r="L14006" s="9"/>
    </row>
    <row r="14007" s="105" customFormat="1" spans="9:12">
      <c r="I14007" s="225"/>
      <c r="K14007" s="9"/>
      <c r="L14007" s="9"/>
    </row>
    <row r="14008" s="105" customFormat="1" spans="9:12">
      <c r="I14008" s="225"/>
      <c r="K14008" s="9"/>
      <c r="L14008" s="9"/>
    </row>
    <row r="14009" s="105" customFormat="1" spans="9:12">
      <c r="I14009" s="225"/>
      <c r="K14009" s="9"/>
      <c r="L14009" s="9"/>
    </row>
    <row r="14010" s="105" customFormat="1" spans="9:12">
      <c r="I14010" s="225"/>
      <c r="K14010" s="9"/>
      <c r="L14010" s="9"/>
    </row>
    <row r="14011" s="105" customFormat="1" spans="9:12">
      <c r="I14011" s="225"/>
      <c r="K14011" s="9"/>
      <c r="L14011" s="9"/>
    </row>
    <row r="14012" s="105" customFormat="1" spans="9:12">
      <c r="I14012" s="225"/>
      <c r="K14012" s="9"/>
      <c r="L14012" s="9"/>
    </row>
    <row r="14013" s="105" customFormat="1" spans="9:12">
      <c r="I14013" s="225"/>
      <c r="K14013" s="9"/>
      <c r="L14013" s="9"/>
    </row>
    <row r="14014" s="105" customFormat="1" spans="9:12">
      <c r="I14014" s="225"/>
      <c r="K14014" s="9"/>
      <c r="L14014" s="9"/>
    </row>
    <row r="14015" s="105" customFormat="1" spans="9:12">
      <c r="I14015" s="225"/>
      <c r="K14015" s="9"/>
      <c r="L14015" s="9"/>
    </row>
    <row r="14016" s="105" customFormat="1" spans="9:12">
      <c r="I14016" s="225"/>
      <c r="K14016" s="9"/>
      <c r="L14016" s="9"/>
    </row>
    <row r="14017" s="105" customFormat="1" spans="9:12">
      <c r="I14017" s="225"/>
      <c r="K14017" s="9"/>
      <c r="L14017" s="9"/>
    </row>
    <row r="14018" s="105" customFormat="1" spans="9:12">
      <c r="I14018" s="225"/>
      <c r="K14018" s="9"/>
      <c r="L14018" s="9"/>
    </row>
    <row r="14019" s="105" customFormat="1" spans="9:12">
      <c r="I14019" s="225"/>
      <c r="K14019" s="9"/>
      <c r="L14019" s="9"/>
    </row>
    <row r="14020" s="105" customFormat="1" spans="9:12">
      <c r="I14020" s="225"/>
      <c r="K14020" s="9"/>
      <c r="L14020" s="9"/>
    </row>
    <row r="14021" s="105" customFormat="1" spans="9:12">
      <c r="I14021" s="225"/>
      <c r="K14021" s="9"/>
      <c r="L14021" s="9"/>
    </row>
    <row r="14022" s="105" customFormat="1" spans="9:12">
      <c r="I14022" s="225"/>
      <c r="K14022" s="9"/>
      <c r="L14022" s="9"/>
    </row>
    <row r="14023" s="105" customFormat="1" spans="9:12">
      <c r="I14023" s="225"/>
      <c r="K14023" s="9"/>
      <c r="L14023" s="9"/>
    </row>
    <row r="14024" s="105" customFormat="1" spans="9:12">
      <c r="I14024" s="225"/>
      <c r="K14024" s="9"/>
      <c r="L14024" s="9"/>
    </row>
    <row r="14025" s="105" customFormat="1" spans="9:12">
      <c r="I14025" s="225"/>
      <c r="K14025" s="9"/>
      <c r="L14025" s="9"/>
    </row>
    <row r="14026" s="105" customFormat="1" spans="9:12">
      <c r="I14026" s="225"/>
      <c r="K14026" s="9"/>
      <c r="L14026" s="9"/>
    </row>
    <row r="14027" s="105" customFormat="1" spans="9:12">
      <c r="I14027" s="225"/>
      <c r="K14027" s="9"/>
      <c r="L14027" s="9"/>
    </row>
    <row r="14028" s="105" customFormat="1" spans="9:12">
      <c r="I14028" s="225"/>
      <c r="K14028" s="9"/>
      <c r="L14028" s="9"/>
    </row>
    <row r="14029" s="105" customFormat="1" spans="9:12">
      <c r="I14029" s="225"/>
      <c r="K14029" s="9"/>
      <c r="L14029" s="9"/>
    </row>
    <row r="14030" s="105" customFormat="1" spans="9:12">
      <c r="I14030" s="225"/>
      <c r="K14030" s="9"/>
      <c r="L14030" s="9"/>
    </row>
    <row r="14031" s="105" customFormat="1" spans="9:12">
      <c r="I14031" s="225"/>
      <c r="K14031" s="9"/>
      <c r="L14031" s="9"/>
    </row>
    <row r="14032" s="105" customFormat="1" spans="9:12">
      <c r="I14032" s="225"/>
      <c r="K14032" s="9"/>
      <c r="L14032" s="9"/>
    </row>
    <row r="14033" s="105" customFormat="1" spans="9:12">
      <c r="I14033" s="225"/>
      <c r="K14033" s="9"/>
      <c r="L14033" s="9"/>
    </row>
    <row r="14034" s="105" customFormat="1" spans="9:12">
      <c r="I14034" s="225"/>
      <c r="K14034" s="9"/>
      <c r="L14034" s="9"/>
    </row>
    <row r="14035" s="105" customFormat="1" spans="9:12">
      <c r="I14035" s="225"/>
      <c r="K14035" s="9"/>
      <c r="L14035" s="9"/>
    </row>
    <row r="14036" s="105" customFormat="1" spans="9:12">
      <c r="I14036" s="225"/>
      <c r="K14036" s="9"/>
      <c r="L14036" s="9"/>
    </row>
    <row r="14037" s="105" customFormat="1" spans="9:12">
      <c r="I14037" s="225"/>
      <c r="K14037" s="9"/>
      <c r="L14037" s="9"/>
    </row>
    <row r="14038" s="105" customFormat="1" spans="9:12">
      <c r="I14038" s="225"/>
      <c r="K14038" s="9"/>
      <c r="L14038" s="9"/>
    </row>
    <row r="14039" s="105" customFormat="1" spans="9:12">
      <c r="I14039" s="225"/>
      <c r="K14039" s="9"/>
      <c r="L14039" s="9"/>
    </row>
    <row r="14040" s="105" customFormat="1" spans="9:12">
      <c r="I14040" s="225"/>
      <c r="K14040" s="9"/>
      <c r="L14040" s="9"/>
    </row>
    <row r="14041" s="105" customFormat="1" spans="9:12">
      <c r="I14041" s="225"/>
      <c r="K14041" s="9"/>
      <c r="L14041" s="9"/>
    </row>
    <row r="14042" s="105" customFormat="1" spans="9:12">
      <c r="I14042" s="225"/>
      <c r="K14042" s="9"/>
      <c r="L14042" s="9"/>
    </row>
    <row r="14043" s="105" customFormat="1" spans="9:12">
      <c r="I14043" s="225"/>
      <c r="K14043" s="9"/>
      <c r="L14043" s="9"/>
    </row>
    <row r="14044" s="105" customFormat="1" spans="9:12">
      <c r="I14044" s="225"/>
      <c r="K14044" s="9"/>
      <c r="L14044" s="9"/>
    </row>
    <row r="14045" s="105" customFormat="1" spans="9:12">
      <c r="I14045" s="225"/>
      <c r="K14045" s="9"/>
      <c r="L14045" s="9"/>
    </row>
    <row r="14046" s="105" customFormat="1" spans="9:12">
      <c r="I14046" s="225"/>
      <c r="K14046" s="9"/>
      <c r="L14046" s="9"/>
    </row>
    <row r="14047" s="105" customFormat="1" spans="9:12">
      <c r="I14047" s="225"/>
      <c r="K14047" s="9"/>
      <c r="L14047" s="9"/>
    </row>
    <row r="14048" s="105" customFormat="1" spans="9:12">
      <c r="I14048" s="225"/>
      <c r="K14048" s="9"/>
      <c r="L14048" s="9"/>
    </row>
    <row r="14049" s="105" customFormat="1" spans="9:12">
      <c r="I14049" s="225"/>
      <c r="K14049" s="9"/>
      <c r="L14049" s="9"/>
    </row>
    <row r="14050" s="105" customFormat="1" spans="9:12">
      <c r="I14050" s="225"/>
      <c r="K14050" s="9"/>
      <c r="L14050" s="9"/>
    </row>
    <row r="14051" s="105" customFormat="1" spans="9:12">
      <c r="I14051" s="225"/>
      <c r="K14051" s="9"/>
      <c r="L14051" s="9"/>
    </row>
    <row r="14052" s="105" customFormat="1" spans="9:12">
      <c r="I14052" s="225"/>
      <c r="K14052" s="9"/>
      <c r="L14052" s="9"/>
    </row>
    <row r="14053" s="105" customFormat="1" spans="9:12">
      <c r="I14053" s="225"/>
      <c r="K14053" s="9"/>
      <c r="L14053" s="9"/>
    </row>
    <row r="14054" s="105" customFormat="1" spans="9:12">
      <c r="I14054" s="225"/>
      <c r="K14054" s="9"/>
      <c r="L14054" s="9"/>
    </row>
    <row r="14055" s="105" customFormat="1" spans="9:12">
      <c r="I14055" s="225"/>
      <c r="K14055" s="9"/>
      <c r="L14055" s="9"/>
    </row>
    <row r="14056" s="105" customFormat="1" spans="9:12">
      <c r="I14056" s="225"/>
      <c r="K14056" s="9"/>
      <c r="L14056" s="9"/>
    </row>
    <row r="14057" s="105" customFormat="1" spans="9:12">
      <c r="I14057" s="225"/>
      <c r="K14057" s="9"/>
      <c r="L14057" s="9"/>
    </row>
    <row r="14058" s="105" customFormat="1" spans="9:12">
      <c r="I14058" s="225"/>
      <c r="K14058" s="9"/>
      <c r="L14058" s="9"/>
    </row>
    <row r="14059" s="105" customFormat="1" spans="9:12">
      <c r="I14059" s="225"/>
      <c r="K14059" s="9"/>
      <c r="L14059" s="9"/>
    </row>
    <row r="14060" s="105" customFormat="1" spans="9:12">
      <c r="I14060" s="225"/>
      <c r="K14060" s="9"/>
      <c r="L14060" s="9"/>
    </row>
    <row r="14061" s="105" customFormat="1" spans="9:12">
      <c r="I14061" s="225"/>
      <c r="K14061" s="9"/>
      <c r="L14061" s="9"/>
    </row>
    <row r="14062" s="105" customFormat="1" spans="9:12">
      <c r="I14062" s="225"/>
      <c r="K14062" s="9"/>
      <c r="L14062" s="9"/>
    </row>
    <row r="14063" s="105" customFormat="1" spans="9:12">
      <c r="I14063" s="225"/>
      <c r="K14063" s="9"/>
      <c r="L14063" s="9"/>
    </row>
    <row r="14064" s="105" customFormat="1" spans="9:12">
      <c r="I14064" s="225"/>
      <c r="K14064" s="9"/>
      <c r="L14064" s="9"/>
    </row>
    <row r="14065" s="105" customFormat="1" spans="9:12">
      <c r="I14065" s="225"/>
      <c r="K14065" s="9"/>
      <c r="L14065" s="9"/>
    </row>
    <row r="14066" s="105" customFormat="1" spans="9:12">
      <c r="I14066" s="225"/>
      <c r="K14066" s="9"/>
      <c r="L14066" s="9"/>
    </row>
    <row r="14067" s="105" customFormat="1" spans="9:12">
      <c r="I14067" s="225"/>
      <c r="K14067" s="9"/>
      <c r="L14067" s="9"/>
    </row>
    <row r="14068" s="105" customFormat="1" spans="9:12">
      <c r="I14068" s="225"/>
      <c r="K14068" s="9"/>
      <c r="L14068" s="9"/>
    </row>
    <row r="14069" s="105" customFormat="1" spans="9:12">
      <c r="I14069" s="225"/>
      <c r="K14069" s="9"/>
      <c r="L14069" s="9"/>
    </row>
    <row r="14070" s="105" customFormat="1" spans="9:12">
      <c r="I14070" s="225"/>
      <c r="K14070" s="9"/>
      <c r="L14070" s="9"/>
    </row>
    <row r="14071" s="105" customFormat="1" spans="9:12">
      <c r="I14071" s="225"/>
      <c r="K14071" s="9"/>
      <c r="L14071" s="9"/>
    </row>
    <row r="14072" s="105" customFormat="1" spans="9:12">
      <c r="I14072" s="225"/>
      <c r="K14072" s="9"/>
      <c r="L14072" s="9"/>
    </row>
    <row r="14073" s="105" customFormat="1" spans="9:12">
      <c r="I14073" s="225"/>
      <c r="K14073" s="9"/>
      <c r="L14073" s="9"/>
    </row>
    <row r="14074" s="105" customFormat="1" spans="9:12">
      <c r="I14074" s="225"/>
      <c r="K14074" s="9"/>
      <c r="L14074" s="9"/>
    </row>
    <row r="14075" s="105" customFormat="1" spans="9:12">
      <c r="I14075" s="225"/>
      <c r="K14075" s="9"/>
      <c r="L14075" s="9"/>
    </row>
    <row r="14076" s="105" customFormat="1" spans="9:12">
      <c r="I14076" s="225"/>
      <c r="K14076" s="9"/>
      <c r="L14076" s="9"/>
    </row>
    <row r="14077" s="105" customFormat="1" spans="9:12">
      <c r="I14077" s="225"/>
      <c r="K14077" s="9"/>
      <c r="L14077" s="9"/>
    </row>
    <row r="14078" s="105" customFormat="1" spans="9:12">
      <c r="I14078" s="225"/>
      <c r="K14078" s="9"/>
      <c r="L14078" s="9"/>
    </row>
    <row r="14079" s="105" customFormat="1" spans="9:12">
      <c r="I14079" s="225"/>
      <c r="K14079" s="9"/>
      <c r="L14079" s="9"/>
    </row>
    <row r="14080" s="105" customFormat="1" spans="9:12">
      <c r="I14080" s="225"/>
      <c r="K14080" s="9"/>
      <c r="L14080" s="9"/>
    </row>
    <row r="14081" s="105" customFormat="1" spans="9:12">
      <c r="I14081" s="225"/>
      <c r="K14081" s="9"/>
      <c r="L14081" s="9"/>
    </row>
    <row r="14082" s="105" customFormat="1" spans="9:12">
      <c r="I14082" s="225"/>
      <c r="K14082" s="9"/>
      <c r="L14082" s="9"/>
    </row>
    <row r="14083" s="105" customFormat="1" spans="9:12">
      <c r="I14083" s="225"/>
      <c r="K14083" s="9"/>
      <c r="L14083" s="9"/>
    </row>
    <row r="14084" s="105" customFormat="1" spans="9:12">
      <c r="I14084" s="225"/>
      <c r="K14084" s="9"/>
      <c r="L14084" s="9"/>
    </row>
    <row r="14085" s="105" customFormat="1" spans="9:12">
      <c r="I14085" s="225"/>
      <c r="K14085" s="9"/>
      <c r="L14085" s="9"/>
    </row>
    <row r="14086" s="105" customFormat="1" spans="9:12">
      <c r="I14086" s="225"/>
      <c r="K14086" s="9"/>
      <c r="L14086" s="9"/>
    </row>
    <row r="14087" s="105" customFormat="1" spans="9:12">
      <c r="I14087" s="225"/>
      <c r="K14087" s="9"/>
      <c r="L14087" s="9"/>
    </row>
    <row r="14088" s="105" customFormat="1" spans="9:12">
      <c r="I14088" s="225"/>
      <c r="K14088" s="9"/>
      <c r="L14088" s="9"/>
    </row>
    <row r="14089" s="105" customFormat="1" spans="9:12">
      <c r="I14089" s="225"/>
      <c r="K14089" s="9"/>
      <c r="L14089" s="9"/>
    </row>
    <row r="14090" s="105" customFormat="1" spans="9:12">
      <c r="I14090" s="225"/>
      <c r="K14090" s="9"/>
      <c r="L14090" s="9"/>
    </row>
    <row r="14091" s="105" customFormat="1" spans="9:12">
      <c r="I14091" s="225"/>
      <c r="K14091" s="9"/>
      <c r="L14091" s="9"/>
    </row>
    <row r="14092" s="105" customFormat="1" spans="9:12">
      <c r="I14092" s="225"/>
      <c r="K14092" s="9"/>
      <c r="L14092" s="9"/>
    </row>
    <row r="14093" s="105" customFormat="1" spans="9:12">
      <c r="I14093" s="225"/>
      <c r="K14093" s="9"/>
      <c r="L14093" s="9"/>
    </row>
    <row r="14094" s="105" customFormat="1" spans="9:12">
      <c r="I14094" s="225"/>
      <c r="K14094" s="9"/>
      <c r="L14094" s="9"/>
    </row>
    <row r="14095" s="105" customFormat="1" spans="9:12">
      <c r="I14095" s="225"/>
      <c r="K14095" s="9"/>
      <c r="L14095" s="9"/>
    </row>
    <row r="14096" s="105" customFormat="1" spans="9:12">
      <c r="I14096" s="225"/>
      <c r="K14096" s="9"/>
      <c r="L14096" s="9"/>
    </row>
    <row r="14097" s="105" customFormat="1" spans="9:12">
      <c r="I14097" s="225"/>
      <c r="K14097" s="9"/>
      <c r="L14097" s="9"/>
    </row>
    <row r="14098" s="105" customFormat="1" spans="9:12">
      <c r="I14098" s="225"/>
      <c r="K14098" s="9"/>
      <c r="L14098" s="9"/>
    </row>
    <row r="14099" s="105" customFormat="1" spans="9:12">
      <c r="I14099" s="225"/>
      <c r="K14099" s="9"/>
      <c r="L14099" s="9"/>
    </row>
    <row r="14100" s="105" customFormat="1" spans="9:12">
      <c r="I14100" s="225"/>
      <c r="K14100" s="9"/>
      <c r="L14100" s="9"/>
    </row>
    <row r="14101" s="105" customFormat="1" spans="9:12">
      <c r="I14101" s="225"/>
      <c r="K14101" s="9"/>
      <c r="L14101" s="9"/>
    </row>
    <row r="14102" s="105" customFormat="1" spans="9:12">
      <c r="I14102" s="225"/>
      <c r="K14102" s="9"/>
      <c r="L14102" s="9"/>
    </row>
    <row r="14103" s="105" customFormat="1" spans="9:12">
      <c r="I14103" s="225"/>
      <c r="K14103" s="9"/>
      <c r="L14103" s="9"/>
    </row>
    <row r="14104" s="105" customFormat="1" spans="9:12">
      <c r="I14104" s="225"/>
      <c r="K14104" s="9"/>
      <c r="L14104" s="9"/>
    </row>
    <row r="14105" s="105" customFormat="1" spans="9:12">
      <c r="I14105" s="225"/>
      <c r="K14105" s="9"/>
      <c r="L14105" s="9"/>
    </row>
    <row r="14106" s="105" customFormat="1" spans="9:12">
      <c r="I14106" s="225"/>
      <c r="K14106" s="9"/>
      <c r="L14106" s="9"/>
    </row>
    <row r="14107" s="105" customFormat="1" spans="9:12">
      <c r="I14107" s="225"/>
      <c r="K14107" s="9"/>
      <c r="L14107" s="9"/>
    </row>
    <row r="14108" s="105" customFormat="1" spans="9:12">
      <c r="I14108" s="225"/>
      <c r="K14108" s="9"/>
      <c r="L14108" s="9"/>
    </row>
    <row r="14109" s="105" customFormat="1" spans="9:12">
      <c r="I14109" s="225"/>
      <c r="K14109" s="9"/>
      <c r="L14109" s="9"/>
    </row>
    <row r="14110" s="105" customFormat="1" spans="9:12">
      <c r="I14110" s="225"/>
      <c r="K14110" s="9"/>
      <c r="L14110" s="9"/>
    </row>
    <row r="14111" s="105" customFormat="1" spans="9:12">
      <c r="I14111" s="225"/>
      <c r="K14111" s="9"/>
      <c r="L14111" s="9"/>
    </row>
    <row r="14112" s="105" customFormat="1" spans="9:12">
      <c r="I14112" s="225"/>
      <c r="K14112" s="9"/>
      <c r="L14112" s="9"/>
    </row>
    <row r="14113" s="105" customFormat="1" spans="9:12">
      <c r="I14113" s="225"/>
      <c r="K14113" s="9"/>
      <c r="L14113" s="9"/>
    </row>
    <row r="14114" s="105" customFormat="1" spans="9:12">
      <c r="I14114" s="225"/>
      <c r="K14114" s="9"/>
      <c r="L14114" s="9"/>
    </row>
    <row r="14115" s="105" customFormat="1" spans="9:12">
      <c r="I14115" s="225"/>
      <c r="K14115" s="9"/>
      <c r="L14115" s="9"/>
    </row>
    <row r="14116" s="105" customFormat="1" spans="9:12">
      <c r="I14116" s="225"/>
      <c r="K14116" s="9"/>
      <c r="L14116" s="9"/>
    </row>
    <row r="14117" s="105" customFormat="1" spans="9:12">
      <c r="I14117" s="225"/>
      <c r="K14117" s="9"/>
      <c r="L14117" s="9"/>
    </row>
    <row r="14118" s="105" customFormat="1" spans="9:12">
      <c r="I14118" s="225"/>
      <c r="K14118" s="9"/>
      <c r="L14118" s="9"/>
    </row>
    <row r="14119" s="105" customFormat="1" spans="9:12">
      <c r="I14119" s="225"/>
      <c r="K14119" s="9"/>
      <c r="L14119" s="9"/>
    </row>
    <row r="14120" s="105" customFormat="1" spans="9:12">
      <c r="I14120" s="225"/>
      <c r="K14120" s="9"/>
      <c r="L14120" s="9"/>
    </row>
    <row r="14121" s="105" customFormat="1" spans="9:12">
      <c r="I14121" s="225"/>
      <c r="K14121" s="9"/>
      <c r="L14121" s="9"/>
    </row>
    <row r="14122" s="105" customFormat="1" spans="9:12">
      <c r="I14122" s="225"/>
      <c r="K14122" s="9"/>
      <c r="L14122" s="9"/>
    </row>
    <row r="14123" s="105" customFormat="1" spans="9:12">
      <c r="I14123" s="225"/>
      <c r="K14123" s="9"/>
      <c r="L14123" s="9"/>
    </row>
    <row r="14124" s="105" customFormat="1" spans="9:12">
      <c r="I14124" s="225"/>
      <c r="K14124" s="9"/>
      <c r="L14124" s="9"/>
    </row>
    <row r="14125" s="105" customFormat="1" spans="9:12">
      <c r="I14125" s="225"/>
      <c r="K14125" s="9"/>
      <c r="L14125" s="9"/>
    </row>
    <row r="14126" s="105" customFormat="1" spans="9:12">
      <c r="I14126" s="225"/>
      <c r="K14126" s="9"/>
      <c r="L14126" s="9"/>
    </row>
    <row r="14127" s="105" customFormat="1" spans="9:12">
      <c r="I14127" s="225"/>
      <c r="K14127" s="9"/>
      <c r="L14127" s="9"/>
    </row>
    <row r="14128" s="105" customFormat="1" spans="9:12">
      <c r="I14128" s="225"/>
      <c r="K14128" s="9"/>
      <c r="L14128" s="9"/>
    </row>
    <row r="14129" s="105" customFormat="1" spans="9:12">
      <c r="I14129" s="225"/>
      <c r="K14129" s="9"/>
      <c r="L14129" s="9"/>
    </row>
    <row r="14130" s="105" customFormat="1" spans="9:12">
      <c r="I14130" s="225"/>
      <c r="K14130" s="9"/>
      <c r="L14130" s="9"/>
    </row>
    <row r="14131" s="105" customFormat="1" spans="9:12">
      <c r="I14131" s="225"/>
      <c r="K14131" s="9"/>
      <c r="L14131" s="9"/>
    </row>
    <row r="14132" s="105" customFormat="1" spans="9:12">
      <c r="I14132" s="225"/>
      <c r="K14132" s="9"/>
      <c r="L14132" s="9"/>
    </row>
    <row r="14133" s="105" customFormat="1" spans="9:12">
      <c r="I14133" s="225"/>
      <c r="K14133" s="9"/>
      <c r="L14133" s="9"/>
    </row>
    <row r="14134" s="105" customFormat="1" spans="9:12">
      <c r="I14134" s="225"/>
      <c r="K14134" s="9"/>
      <c r="L14134" s="9"/>
    </row>
    <row r="14135" s="105" customFormat="1" spans="9:12">
      <c r="I14135" s="225"/>
      <c r="K14135" s="9"/>
      <c r="L14135" s="9"/>
    </row>
    <row r="14136" s="105" customFormat="1" spans="9:12">
      <c r="I14136" s="225"/>
      <c r="K14136" s="9"/>
      <c r="L14136" s="9"/>
    </row>
    <row r="14137" s="105" customFormat="1" spans="9:12">
      <c r="I14137" s="225"/>
      <c r="K14137" s="9"/>
      <c r="L14137" s="9"/>
    </row>
    <row r="14138" s="105" customFormat="1" spans="9:12">
      <c r="I14138" s="225"/>
      <c r="K14138" s="9"/>
      <c r="L14138" s="9"/>
    </row>
    <row r="14139" s="105" customFormat="1" spans="9:12">
      <c r="I14139" s="225"/>
      <c r="K14139" s="9"/>
      <c r="L14139" s="9"/>
    </row>
    <row r="14140" s="105" customFormat="1" spans="9:12">
      <c r="I14140" s="225"/>
      <c r="K14140" s="9"/>
      <c r="L14140" s="9"/>
    </row>
    <row r="14141" s="105" customFormat="1" spans="9:12">
      <c r="I14141" s="225"/>
      <c r="K14141" s="9"/>
      <c r="L14141" s="9"/>
    </row>
    <row r="14142" s="105" customFormat="1" spans="9:12">
      <c r="I14142" s="225"/>
      <c r="K14142" s="9"/>
      <c r="L14142" s="9"/>
    </row>
    <row r="14143" s="105" customFormat="1" spans="9:12">
      <c r="I14143" s="225"/>
      <c r="K14143" s="9"/>
      <c r="L14143" s="9"/>
    </row>
    <row r="14144" s="105" customFormat="1" spans="9:12">
      <c r="I14144" s="225"/>
      <c r="K14144" s="9"/>
      <c r="L14144" s="9"/>
    </row>
    <row r="14145" s="105" customFormat="1" spans="9:12">
      <c r="I14145" s="225"/>
      <c r="K14145" s="9"/>
      <c r="L14145" s="9"/>
    </row>
    <row r="14146" s="105" customFormat="1" spans="9:12">
      <c r="I14146" s="225"/>
      <c r="K14146" s="9"/>
      <c r="L14146" s="9"/>
    </row>
    <row r="14147" s="105" customFormat="1" spans="9:12">
      <c r="I14147" s="225"/>
      <c r="K14147" s="9"/>
      <c r="L14147" s="9"/>
    </row>
    <row r="14148" s="105" customFormat="1" spans="9:12">
      <c r="I14148" s="225"/>
      <c r="K14148" s="9"/>
      <c r="L14148" s="9"/>
    </row>
    <row r="14149" s="105" customFormat="1" spans="9:12">
      <c r="I14149" s="225"/>
      <c r="K14149" s="9"/>
      <c r="L14149" s="9"/>
    </row>
    <row r="14150" s="105" customFormat="1" spans="9:12">
      <c r="I14150" s="225"/>
      <c r="K14150" s="9"/>
      <c r="L14150" s="9"/>
    </row>
    <row r="14151" s="105" customFormat="1" spans="9:12">
      <c r="I14151" s="225"/>
      <c r="K14151" s="9"/>
      <c r="L14151" s="9"/>
    </row>
    <row r="14152" s="105" customFormat="1" spans="9:12">
      <c r="I14152" s="225"/>
      <c r="K14152" s="9"/>
      <c r="L14152" s="9"/>
    </row>
    <row r="14153" s="105" customFormat="1" spans="9:12">
      <c r="I14153" s="225"/>
      <c r="K14153" s="9"/>
      <c r="L14153" s="9"/>
    </row>
    <row r="14154" s="105" customFormat="1" spans="9:12">
      <c r="I14154" s="225"/>
      <c r="K14154" s="9"/>
      <c r="L14154" s="9"/>
    </row>
    <row r="14155" s="105" customFormat="1" spans="9:12">
      <c r="I14155" s="225"/>
      <c r="K14155" s="9"/>
      <c r="L14155" s="9"/>
    </row>
    <row r="14156" s="105" customFormat="1" spans="9:12">
      <c r="I14156" s="225"/>
      <c r="K14156" s="9"/>
      <c r="L14156" s="9"/>
    </row>
    <row r="14157" s="105" customFormat="1" spans="9:12">
      <c r="I14157" s="225"/>
      <c r="K14157" s="9"/>
      <c r="L14157" s="9"/>
    </row>
    <row r="14158" s="105" customFormat="1" spans="9:12">
      <c r="I14158" s="225"/>
      <c r="K14158" s="9"/>
      <c r="L14158" s="9"/>
    </row>
    <row r="14159" s="105" customFormat="1" spans="9:12">
      <c r="I14159" s="225"/>
      <c r="K14159" s="9"/>
      <c r="L14159" s="9"/>
    </row>
    <row r="14160" s="105" customFormat="1" spans="9:12">
      <c r="I14160" s="225"/>
      <c r="K14160" s="9"/>
      <c r="L14160" s="9"/>
    </row>
    <row r="14161" s="105" customFormat="1" spans="9:12">
      <c r="I14161" s="225"/>
      <c r="K14161" s="9"/>
      <c r="L14161" s="9"/>
    </row>
    <row r="14162" s="105" customFormat="1" spans="9:12">
      <c r="I14162" s="225"/>
      <c r="K14162" s="9"/>
      <c r="L14162" s="9"/>
    </row>
    <row r="14163" s="105" customFormat="1" spans="9:12">
      <c r="I14163" s="225"/>
      <c r="K14163" s="9"/>
      <c r="L14163" s="9"/>
    </row>
    <row r="14164" s="105" customFormat="1" spans="9:12">
      <c r="I14164" s="225"/>
      <c r="K14164" s="9"/>
      <c r="L14164" s="9"/>
    </row>
    <row r="14165" s="105" customFormat="1" spans="9:12">
      <c r="I14165" s="225"/>
      <c r="K14165" s="9"/>
      <c r="L14165" s="9"/>
    </row>
    <row r="14166" s="105" customFormat="1" spans="9:12">
      <c r="I14166" s="225"/>
      <c r="K14166" s="9"/>
      <c r="L14166" s="9"/>
    </row>
    <row r="14167" s="105" customFormat="1" spans="9:12">
      <c r="I14167" s="225"/>
      <c r="K14167" s="9"/>
      <c r="L14167" s="9"/>
    </row>
    <row r="14168" s="105" customFormat="1" spans="9:12">
      <c r="I14168" s="225"/>
      <c r="K14168" s="9"/>
      <c r="L14168" s="9"/>
    </row>
    <row r="14169" s="105" customFormat="1" spans="9:12">
      <c r="I14169" s="225"/>
      <c r="K14169" s="9"/>
      <c r="L14169" s="9"/>
    </row>
    <row r="14170" s="105" customFormat="1" spans="9:12">
      <c r="I14170" s="225"/>
      <c r="K14170" s="9"/>
      <c r="L14170" s="9"/>
    </row>
    <row r="14171" s="105" customFormat="1" spans="9:12">
      <c r="I14171" s="225"/>
      <c r="K14171" s="9"/>
      <c r="L14171" s="9"/>
    </row>
    <row r="14172" s="105" customFormat="1" spans="9:12">
      <c r="I14172" s="225"/>
      <c r="K14172" s="9"/>
      <c r="L14172" s="9"/>
    </row>
    <row r="14173" s="105" customFormat="1" spans="9:12">
      <c r="I14173" s="225"/>
      <c r="K14173" s="9"/>
      <c r="L14173" s="9"/>
    </row>
    <row r="14174" s="105" customFormat="1" spans="9:12">
      <c r="I14174" s="225"/>
      <c r="K14174" s="9"/>
      <c r="L14174" s="9"/>
    </row>
    <row r="14175" s="105" customFormat="1" spans="9:12">
      <c r="I14175" s="225"/>
      <c r="K14175" s="9"/>
      <c r="L14175" s="9"/>
    </row>
    <row r="14176" s="105" customFormat="1" spans="9:12">
      <c r="I14176" s="225"/>
      <c r="K14176" s="9"/>
      <c r="L14176" s="9"/>
    </row>
    <row r="14177" s="105" customFormat="1" spans="9:12">
      <c r="I14177" s="225"/>
      <c r="K14177" s="9"/>
      <c r="L14177" s="9"/>
    </row>
    <row r="14178" s="105" customFormat="1" spans="9:12">
      <c r="I14178" s="225"/>
      <c r="K14178" s="9"/>
      <c r="L14178" s="9"/>
    </row>
    <row r="14179" s="105" customFormat="1" spans="9:12">
      <c r="I14179" s="225"/>
      <c r="K14179" s="9"/>
      <c r="L14179" s="9"/>
    </row>
    <row r="14180" s="105" customFormat="1" spans="9:12">
      <c r="I14180" s="225"/>
      <c r="K14180" s="9"/>
      <c r="L14180" s="9"/>
    </row>
    <row r="14181" s="105" customFormat="1" spans="9:12">
      <c r="I14181" s="225"/>
      <c r="K14181" s="9"/>
      <c r="L14181" s="9"/>
    </row>
    <row r="14182" s="105" customFormat="1" spans="9:12">
      <c r="I14182" s="225"/>
      <c r="K14182" s="9"/>
      <c r="L14182" s="9"/>
    </row>
    <row r="14183" s="105" customFormat="1" spans="9:12">
      <c r="I14183" s="225"/>
      <c r="K14183" s="9"/>
      <c r="L14183" s="9"/>
    </row>
    <row r="14184" s="105" customFormat="1" spans="9:12">
      <c r="I14184" s="225"/>
      <c r="K14184" s="9"/>
      <c r="L14184" s="9"/>
    </row>
    <row r="14185" s="105" customFormat="1" spans="9:12">
      <c r="I14185" s="225"/>
      <c r="K14185" s="9"/>
      <c r="L14185" s="9"/>
    </row>
    <row r="14186" s="105" customFormat="1" spans="9:12">
      <c r="I14186" s="225"/>
      <c r="K14186" s="9"/>
      <c r="L14186" s="9"/>
    </row>
    <row r="14187" s="105" customFormat="1" spans="9:12">
      <c r="I14187" s="225"/>
      <c r="K14187" s="9"/>
      <c r="L14187" s="9"/>
    </row>
    <row r="14188" s="105" customFormat="1" spans="9:12">
      <c r="I14188" s="225"/>
      <c r="K14188" s="9"/>
      <c r="L14188" s="9"/>
    </row>
    <row r="14189" s="105" customFormat="1" spans="9:12">
      <c r="I14189" s="225"/>
      <c r="K14189" s="9"/>
      <c r="L14189" s="9"/>
    </row>
    <row r="14190" s="105" customFormat="1" spans="9:12">
      <c r="I14190" s="225"/>
      <c r="K14190" s="9"/>
      <c r="L14190" s="9"/>
    </row>
    <row r="14191" s="105" customFormat="1" spans="9:12">
      <c r="I14191" s="225"/>
      <c r="K14191" s="9"/>
      <c r="L14191" s="9"/>
    </row>
    <row r="14192" s="105" customFormat="1" spans="9:12">
      <c r="I14192" s="225"/>
      <c r="K14192" s="9"/>
      <c r="L14192" s="9"/>
    </row>
    <row r="14193" s="105" customFormat="1" spans="9:12">
      <c r="I14193" s="225"/>
      <c r="K14193" s="9"/>
      <c r="L14193" s="9"/>
    </row>
    <row r="14194" s="105" customFormat="1" spans="9:12">
      <c r="I14194" s="225"/>
      <c r="K14194" s="9"/>
      <c r="L14194" s="9"/>
    </row>
    <row r="14195" s="105" customFormat="1" spans="9:12">
      <c r="I14195" s="225"/>
      <c r="K14195" s="9"/>
      <c r="L14195" s="9"/>
    </row>
    <row r="14196" s="105" customFormat="1" spans="9:12">
      <c r="I14196" s="225"/>
      <c r="K14196" s="9"/>
      <c r="L14196" s="9"/>
    </row>
    <row r="14197" s="105" customFormat="1" spans="9:12">
      <c r="I14197" s="225"/>
      <c r="K14197" s="9"/>
      <c r="L14197" s="9"/>
    </row>
    <row r="14198" s="105" customFormat="1" spans="9:12">
      <c r="I14198" s="225"/>
      <c r="K14198" s="9"/>
      <c r="L14198" s="9"/>
    </row>
    <row r="14199" s="105" customFormat="1" spans="9:12">
      <c r="I14199" s="225"/>
      <c r="K14199" s="9"/>
      <c r="L14199" s="9"/>
    </row>
    <row r="14200" s="105" customFormat="1" spans="9:12">
      <c r="I14200" s="225"/>
      <c r="K14200" s="9"/>
      <c r="L14200" s="9"/>
    </row>
    <row r="14201" s="105" customFormat="1" spans="9:12">
      <c r="I14201" s="225"/>
      <c r="K14201" s="9"/>
      <c r="L14201" s="9"/>
    </row>
    <row r="14202" s="105" customFormat="1" spans="9:12">
      <c r="I14202" s="225"/>
      <c r="K14202" s="9"/>
      <c r="L14202" s="9"/>
    </row>
    <row r="14203" s="105" customFormat="1" spans="9:12">
      <c r="I14203" s="225"/>
      <c r="K14203" s="9"/>
      <c r="L14203" s="9"/>
    </row>
    <row r="14204" s="105" customFormat="1" spans="9:12">
      <c r="I14204" s="225"/>
      <c r="K14204" s="9"/>
      <c r="L14204" s="9"/>
    </row>
    <row r="14205" s="105" customFormat="1" spans="9:12">
      <c r="I14205" s="225"/>
      <c r="K14205" s="9"/>
      <c r="L14205" s="9"/>
    </row>
    <row r="14206" s="105" customFormat="1" spans="9:12">
      <c r="I14206" s="225"/>
      <c r="K14206" s="9"/>
      <c r="L14206" s="9"/>
    </row>
    <row r="14207" s="105" customFormat="1" spans="9:12">
      <c r="I14207" s="225"/>
      <c r="K14207" s="9"/>
      <c r="L14207" s="9"/>
    </row>
    <row r="14208" s="105" customFormat="1" spans="9:12">
      <c r="I14208" s="225"/>
      <c r="K14208" s="9"/>
      <c r="L14208" s="9"/>
    </row>
    <row r="14209" s="105" customFormat="1" spans="9:12">
      <c r="I14209" s="225"/>
      <c r="K14209" s="9"/>
      <c r="L14209" s="9"/>
    </row>
    <row r="14210" s="105" customFormat="1" spans="9:12">
      <c r="I14210" s="225"/>
      <c r="K14210" s="9"/>
      <c r="L14210" s="9"/>
    </row>
    <row r="14211" s="105" customFormat="1" spans="9:12">
      <c r="I14211" s="225"/>
      <c r="K14211" s="9"/>
      <c r="L14211" s="9"/>
    </row>
    <row r="14212" s="105" customFormat="1" spans="9:12">
      <c r="I14212" s="225"/>
      <c r="K14212" s="9"/>
      <c r="L14212" s="9"/>
    </row>
    <row r="14213" s="105" customFormat="1" spans="9:12">
      <c r="I14213" s="225"/>
      <c r="K14213" s="9"/>
      <c r="L14213" s="9"/>
    </row>
    <row r="14214" s="105" customFormat="1" spans="9:12">
      <c r="I14214" s="225"/>
      <c r="K14214" s="9"/>
      <c r="L14214" s="9"/>
    </row>
    <row r="14215" s="105" customFormat="1" spans="9:12">
      <c r="I14215" s="225"/>
      <c r="K14215" s="9"/>
      <c r="L14215" s="9"/>
    </row>
    <row r="14216" s="105" customFormat="1" spans="9:12">
      <c r="I14216" s="225"/>
      <c r="K14216" s="9"/>
      <c r="L14216" s="9"/>
    </row>
    <row r="14217" s="105" customFormat="1" spans="9:12">
      <c r="I14217" s="225"/>
      <c r="K14217" s="9"/>
      <c r="L14217" s="9"/>
    </row>
    <row r="14218" s="105" customFormat="1" spans="9:12">
      <c r="I14218" s="225"/>
      <c r="K14218" s="9"/>
      <c r="L14218" s="9"/>
    </row>
    <row r="14219" s="105" customFormat="1" spans="9:12">
      <c r="I14219" s="225"/>
      <c r="K14219" s="9"/>
      <c r="L14219" s="9"/>
    </row>
    <row r="14220" s="105" customFormat="1" spans="9:12">
      <c r="I14220" s="225"/>
      <c r="K14220" s="9"/>
      <c r="L14220" s="9"/>
    </row>
    <row r="14221" s="105" customFormat="1" spans="9:12">
      <c r="I14221" s="225"/>
      <c r="K14221" s="9"/>
      <c r="L14221" s="9"/>
    </row>
    <row r="14222" s="105" customFormat="1" spans="9:12">
      <c r="I14222" s="225"/>
      <c r="K14222" s="9"/>
      <c r="L14222" s="9"/>
    </row>
    <row r="14223" s="105" customFormat="1" spans="9:12">
      <c r="I14223" s="225"/>
      <c r="K14223" s="9"/>
      <c r="L14223" s="9"/>
    </row>
    <row r="14224" s="105" customFormat="1" spans="9:12">
      <c r="I14224" s="225"/>
      <c r="K14224" s="9"/>
      <c r="L14224" s="9"/>
    </row>
    <row r="14225" s="105" customFormat="1" spans="9:12">
      <c r="I14225" s="225"/>
      <c r="K14225" s="9"/>
      <c r="L14225" s="9"/>
    </row>
    <row r="14226" s="105" customFormat="1" spans="9:12">
      <c r="I14226" s="225"/>
      <c r="K14226" s="9"/>
      <c r="L14226" s="9"/>
    </row>
    <row r="14227" s="105" customFormat="1" spans="9:12">
      <c r="I14227" s="225"/>
      <c r="K14227" s="9"/>
      <c r="L14227" s="9"/>
    </row>
    <row r="14228" s="105" customFormat="1" spans="9:12">
      <c r="I14228" s="225"/>
      <c r="K14228" s="9"/>
      <c r="L14228" s="9"/>
    </row>
    <row r="14229" s="105" customFormat="1" spans="9:12">
      <c r="I14229" s="225"/>
      <c r="K14229" s="9"/>
      <c r="L14229" s="9"/>
    </row>
    <row r="14230" s="105" customFormat="1" spans="9:12">
      <c r="I14230" s="225"/>
      <c r="K14230" s="9"/>
      <c r="L14230" s="9"/>
    </row>
    <row r="14231" s="105" customFormat="1" spans="9:12">
      <c r="I14231" s="225"/>
      <c r="K14231" s="9"/>
      <c r="L14231" s="9"/>
    </row>
    <row r="14232" s="105" customFormat="1" spans="9:12">
      <c r="I14232" s="225"/>
      <c r="K14232" s="9"/>
      <c r="L14232" s="9"/>
    </row>
    <row r="14233" s="105" customFormat="1" spans="9:12">
      <c r="I14233" s="225"/>
      <c r="K14233" s="9"/>
      <c r="L14233" s="9"/>
    </row>
    <row r="14234" s="105" customFormat="1" spans="9:12">
      <c r="I14234" s="225"/>
      <c r="K14234" s="9"/>
      <c r="L14234" s="9"/>
    </row>
    <row r="14235" s="105" customFormat="1" spans="9:12">
      <c r="I14235" s="225"/>
      <c r="K14235" s="9"/>
      <c r="L14235" s="9"/>
    </row>
    <row r="14236" s="105" customFormat="1" spans="9:12">
      <c r="I14236" s="225"/>
      <c r="K14236" s="9"/>
      <c r="L14236" s="9"/>
    </row>
    <row r="14237" s="105" customFormat="1" spans="9:12">
      <c r="I14237" s="225"/>
      <c r="K14237" s="9"/>
      <c r="L14237" s="9"/>
    </row>
    <row r="14238" s="105" customFormat="1" spans="9:12">
      <c r="I14238" s="225"/>
      <c r="K14238" s="9"/>
      <c r="L14238" s="9"/>
    </row>
    <row r="14239" s="105" customFormat="1" spans="9:12">
      <c r="I14239" s="225"/>
      <c r="K14239" s="9"/>
      <c r="L14239" s="9"/>
    </row>
    <row r="14240" s="105" customFormat="1" spans="9:12">
      <c r="I14240" s="225"/>
      <c r="K14240" s="9"/>
      <c r="L14240" s="9"/>
    </row>
    <row r="14241" s="105" customFormat="1" spans="9:12">
      <c r="I14241" s="225"/>
      <c r="K14241" s="9"/>
      <c r="L14241" s="9"/>
    </row>
    <row r="14242" s="105" customFormat="1" spans="9:12">
      <c r="I14242" s="225"/>
      <c r="K14242" s="9"/>
      <c r="L14242" s="9"/>
    </row>
    <row r="14243" s="105" customFormat="1" spans="9:12">
      <c r="I14243" s="225"/>
      <c r="K14243" s="9"/>
      <c r="L14243" s="9"/>
    </row>
    <row r="14244" s="105" customFormat="1" spans="9:12">
      <c r="I14244" s="225"/>
      <c r="K14244" s="9"/>
      <c r="L14244" s="9"/>
    </row>
    <row r="14245" s="105" customFormat="1" spans="9:12">
      <c r="I14245" s="225"/>
      <c r="K14245" s="9"/>
      <c r="L14245" s="9"/>
    </row>
    <row r="14246" s="105" customFormat="1" spans="9:12">
      <c r="I14246" s="225"/>
      <c r="K14246" s="9"/>
      <c r="L14246" s="9"/>
    </row>
    <row r="14247" s="105" customFormat="1" spans="9:12">
      <c r="I14247" s="225"/>
      <c r="K14247" s="9"/>
      <c r="L14247" s="9"/>
    </row>
    <row r="14248" s="105" customFormat="1" spans="9:12">
      <c r="I14248" s="225"/>
      <c r="K14248" s="9"/>
      <c r="L14248" s="9"/>
    </row>
    <row r="14249" s="105" customFormat="1" spans="9:12">
      <c r="I14249" s="225"/>
      <c r="K14249" s="9"/>
      <c r="L14249" s="9"/>
    </row>
    <row r="14250" s="105" customFormat="1" spans="9:12">
      <c r="I14250" s="225"/>
      <c r="K14250" s="9"/>
      <c r="L14250" s="9"/>
    </row>
    <row r="14251" s="105" customFormat="1" spans="9:12">
      <c r="I14251" s="225"/>
      <c r="K14251" s="9"/>
      <c r="L14251" s="9"/>
    </row>
    <row r="14252" s="105" customFormat="1" spans="9:12">
      <c r="I14252" s="225"/>
      <c r="K14252" s="9"/>
      <c r="L14252" s="9"/>
    </row>
    <row r="14253" s="105" customFormat="1" spans="9:12">
      <c r="I14253" s="225"/>
      <c r="K14253" s="9"/>
      <c r="L14253" s="9"/>
    </row>
    <row r="14254" s="105" customFormat="1" spans="9:12">
      <c r="I14254" s="225"/>
      <c r="K14254" s="9"/>
      <c r="L14254" s="9"/>
    </row>
    <row r="14255" s="105" customFormat="1" spans="9:12">
      <c r="I14255" s="225"/>
      <c r="K14255" s="9"/>
      <c r="L14255" s="9"/>
    </row>
    <row r="14256" s="105" customFormat="1" spans="9:12">
      <c r="I14256" s="225"/>
      <c r="K14256" s="9"/>
      <c r="L14256" s="9"/>
    </row>
    <row r="14257" s="105" customFormat="1" spans="9:12">
      <c r="I14257" s="225"/>
      <c r="K14257" s="9"/>
      <c r="L14257" s="9"/>
    </row>
    <row r="14258" s="105" customFormat="1" spans="9:12">
      <c r="I14258" s="225"/>
      <c r="K14258" s="9"/>
      <c r="L14258" s="9"/>
    </row>
    <row r="14259" s="105" customFormat="1" spans="9:12">
      <c r="I14259" s="225"/>
      <c r="K14259" s="9"/>
      <c r="L14259" s="9"/>
    </row>
    <row r="14260" s="105" customFormat="1" spans="9:12">
      <c r="I14260" s="225"/>
      <c r="K14260" s="9"/>
      <c r="L14260" s="9"/>
    </row>
    <row r="14261" s="105" customFormat="1" spans="9:12">
      <c r="I14261" s="225"/>
      <c r="K14261" s="9"/>
      <c r="L14261" s="9"/>
    </row>
    <row r="14262" s="105" customFormat="1" spans="9:12">
      <c r="I14262" s="225"/>
      <c r="K14262" s="9"/>
      <c r="L14262" s="9"/>
    </row>
    <row r="14263" s="105" customFormat="1" spans="9:12">
      <c r="I14263" s="225"/>
      <c r="K14263" s="9"/>
      <c r="L14263" s="9"/>
    </row>
    <row r="14264" s="105" customFormat="1" spans="9:12">
      <c r="I14264" s="225"/>
      <c r="K14264" s="9"/>
      <c r="L14264" s="9"/>
    </row>
    <row r="14265" s="105" customFormat="1" spans="9:12">
      <c r="I14265" s="225"/>
      <c r="K14265" s="9"/>
      <c r="L14265" s="9"/>
    </row>
    <row r="14266" s="105" customFormat="1" spans="9:12">
      <c r="I14266" s="225"/>
      <c r="K14266" s="9"/>
      <c r="L14266" s="9"/>
    </row>
    <row r="14267" s="105" customFormat="1" spans="9:12">
      <c r="I14267" s="225"/>
      <c r="K14267" s="9"/>
      <c r="L14267" s="9"/>
    </row>
    <row r="14268" s="105" customFormat="1" spans="9:12">
      <c r="I14268" s="225"/>
      <c r="K14268" s="9"/>
      <c r="L14268" s="9"/>
    </row>
    <row r="14269" s="105" customFormat="1" spans="9:12">
      <c r="I14269" s="225"/>
      <c r="K14269" s="9"/>
      <c r="L14269" s="9"/>
    </row>
    <row r="14270" s="105" customFormat="1" spans="9:12">
      <c r="I14270" s="225"/>
      <c r="K14270" s="9"/>
      <c r="L14270" s="9"/>
    </row>
    <row r="14271" s="105" customFormat="1" spans="9:12">
      <c r="I14271" s="225"/>
      <c r="K14271" s="9"/>
      <c r="L14271" s="9"/>
    </row>
    <row r="14272" s="105" customFormat="1" spans="9:12">
      <c r="I14272" s="225"/>
      <c r="K14272" s="9"/>
      <c r="L14272" s="9"/>
    </row>
    <row r="14273" s="105" customFormat="1" spans="9:12">
      <c r="I14273" s="225"/>
      <c r="K14273" s="9"/>
      <c r="L14273" s="9"/>
    </row>
    <row r="14274" s="105" customFormat="1" spans="9:12">
      <c r="I14274" s="225"/>
      <c r="K14274" s="9"/>
      <c r="L14274" s="9"/>
    </row>
    <row r="14275" s="105" customFormat="1" spans="9:12">
      <c r="I14275" s="225"/>
      <c r="K14275" s="9"/>
      <c r="L14275" s="9"/>
    </row>
    <row r="14276" s="105" customFormat="1" spans="9:12">
      <c r="I14276" s="225"/>
      <c r="K14276" s="9"/>
      <c r="L14276" s="9"/>
    </row>
    <row r="14277" s="105" customFormat="1" spans="9:12">
      <c r="I14277" s="225"/>
      <c r="K14277" s="9"/>
      <c r="L14277" s="9"/>
    </row>
    <row r="14278" s="105" customFormat="1" spans="9:12">
      <c r="I14278" s="225"/>
      <c r="K14278" s="9"/>
      <c r="L14278" s="9"/>
    </row>
    <row r="14279" s="105" customFormat="1" spans="9:12">
      <c r="I14279" s="225"/>
      <c r="K14279" s="9"/>
      <c r="L14279" s="9"/>
    </row>
    <row r="14280" s="105" customFormat="1" spans="9:12">
      <c r="I14280" s="225"/>
      <c r="K14280" s="9"/>
      <c r="L14280" s="9"/>
    </row>
    <row r="14281" s="105" customFormat="1" spans="9:12">
      <c r="I14281" s="225"/>
      <c r="K14281" s="9"/>
      <c r="L14281" s="9"/>
    </row>
    <row r="14282" s="105" customFormat="1" spans="9:12">
      <c r="I14282" s="225"/>
      <c r="K14282" s="9"/>
      <c r="L14282" s="9"/>
    </row>
    <row r="14283" s="105" customFormat="1" spans="9:12">
      <c r="I14283" s="225"/>
      <c r="K14283" s="9"/>
      <c r="L14283" s="9"/>
    </row>
    <row r="14284" s="105" customFormat="1" spans="9:12">
      <c r="I14284" s="225"/>
      <c r="K14284" s="9"/>
      <c r="L14284" s="9"/>
    </row>
    <row r="14285" s="105" customFormat="1" spans="9:12">
      <c r="I14285" s="225"/>
      <c r="K14285" s="9"/>
      <c r="L14285" s="9"/>
    </row>
    <row r="14286" s="105" customFormat="1" spans="9:12">
      <c r="I14286" s="225"/>
      <c r="K14286" s="9"/>
      <c r="L14286" s="9"/>
    </row>
    <row r="14287" s="105" customFormat="1" spans="9:12">
      <c r="I14287" s="225"/>
      <c r="K14287" s="9"/>
      <c r="L14287" s="9"/>
    </row>
    <row r="14288" s="105" customFormat="1" spans="9:12">
      <c r="I14288" s="225"/>
      <c r="K14288" s="9"/>
      <c r="L14288" s="9"/>
    </row>
    <row r="14289" s="105" customFormat="1" spans="9:12">
      <c r="I14289" s="225"/>
      <c r="K14289" s="9"/>
      <c r="L14289" s="9"/>
    </row>
    <row r="14290" s="105" customFormat="1" spans="9:12">
      <c r="I14290" s="225"/>
      <c r="K14290" s="9"/>
      <c r="L14290" s="9"/>
    </row>
    <row r="14291" s="105" customFormat="1" spans="9:12">
      <c r="I14291" s="225"/>
      <c r="K14291" s="9"/>
      <c r="L14291" s="9"/>
    </row>
    <row r="14292" s="105" customFormat="1" spans="9:12">
      <c r="I14292" s="225"/>
      <c r="K14292" s="9"/>
      <c r="L14292" s="9"/>
    </row>
    <row r="14293" s="105" customFormat="1" spans="9:12">
      <c r="I14293" s="225"/>
      <c r="K14293" s="9"/>
      <c r="L14293" s="9"/>
    </row>
    <row r="14294" s="105" customFormat="1" spans="9:12">
      <c r="I14294" s="225"/>
      <c r="K14294" s="9"/>
      <c r="L14294" s="9"/>
    </row>
    <row r="14295" s="105" customFormat="1" spans="9:12">
      <c r="I14295" s="225"/>
      <c r="K14295" s="9"/>
      <c r="L14295" s="9"/>
    </row>
    <row r="14296" s="105" customFormat="1" spans="9:12">
      <c r="I14296" s="225"/>
      <c r="K14296" s="9"/>
      <c r="L14296" s="9"/>
    </row>
    <row r="14297" s="105" customFormat="1" spans="9:12">
      <c r="I14297" s="225"/>
      <c r="K14297" s="9"/>
      <c r="L14297" s="9"/>
    </row>
    <row r="14298" s="105" customFormat="1" spans="9:12">
      <c r="I14298" s="225"/>
      <c r="K14298" s="9"/>
      <c r="L14298" s="9"/>
    </row>
    <row r="14299" s="105" customFormat="1" spans="9:12">
      <c r="I14299" s="225"/>
      <c r="K14299" s="9"/>
      <c r="L14299" s="9"/>
    </row>
    <row r="14300" s="105" customFormat="1" spans="9:12">
      <c r="I14300" s="225"/>
      <c r="K14300" s="9"/>
      <c r="L14300" s="9"/>
    </row>
    <row r="14301" s="105" customFormat="1" spans="9:12">
      <c r="I14301" s="225"/>
      <c r="K14301" s="9"/>
      <c r="L14301" s="9"/>
    </row>
    <row r="14302" s="105" customFormat="1" spans="9:12">
      <c r="I14302" s="225"/>
      <c r="K14302" s="9"/>
      <c r="L14302" s="9"/>
    </row>
    <row r="14303" s="105" customFormat="1" spans="9:12">
      <c r="I14303" s="225"/>
      <c r="K14303" s="9"/>
      <c r="L14303" s="9"/>
    </row>
    <row r="14304" s="105" customFormat="1" spans="9:12">
      <c r="I14304" s="225"/>
      <c r="K14304" s="9"/>
      <c r="L14304" s="9"/>
    </row>
    <row r="14305" s="105" customFormat="1" spans="9:12">
      <c r="I14305" s="225"/>
      <c r="K14305" s="9"/>
      <c r="L14305" s="9"/>
    </row>
    <row r="14306" s="105" customFormat="1" spans="9:12">
      <c r="I14306" s="225"/>
      <c r="K14306" s="9"/>
      <c r="L14306" s="9"/>
    </row>
    <row r="14307" s="105" customFormat="1" spans="9:12">
      <c r="I14307" s="225"/>
      <c r="K14307" s="9"/>
      <c r="L14307" s="9"/>
    </row>
    <row r="14308" s="105" customFormat="1" spans="9:12">
      <c r="I14308" s="225"/>
      <c r="K14308" s="9"/>
      <c r="L14308" s="9"/>
    </row>
    <row r="14309" s="105" customFormat="1" spans="9:12">
      <c r="I14309" s="225"/>
      <c r="K14309" s="9"/>
      <c r="L14309" s="9"/>
    </row>
    <row r="14310" s="105" customFormat="1" spans="9:12">
      <c r="I14310" s="225"/>
      <c r="K14310" s="9"/>
      <c r="L14310" s="9"/>
    </row>
    <row r="14311" s="105" customFormat="1" spans="9:12">
      <c r="I14311" s="225"/>
      <c r="K14311" s="9"/>
      <c r="L14311" s="9"/>
    </row>
    <row r="14312" s="105" customFormat="1" spans="9:12">
      <c r="I14312" s="225"/>
      <c r="K14312" s="9"/>
      <c r="L14312" s="9"/>
    </row>
    <row r="14313" s="105" customFormat="1" spans="9:12">
      <c r="I14313" s="225"/>
      <c r="K14313" s="9"/>
      <c r="L14313" s="9"/>
    </row>
    <row r="14314" s="105" customFormat="1" spans="9:12">
      <c r="I14314" s="225"/>
      <c r="K14314" s="9"/>
      <c r="L14314" s="9"/>
    </row>
    <row r="14315" s="105" customFormat="1" spans="9:12">
      <c r="I14315" s="225"/>
      <c r="K14315" s="9"/>
      <c r="L14315" s="9"/>
    </row>
    <row r="14316" s="105" customFormat="1" spans="9:12">
      <c r="I14316" s="225"/>
      <c r="K14316" s="9"/>
      <c r="L14316" s="9"/>
    </row>
    <row r="14317" s="105" customFormat="1" spans="9:12">
      <c r="I14317" s="225"/>
      <c r="K14317" s="9"/>
      <c r="L14317" s="9"/>
    </row>
    <row r="14318" s="105" customFormat="1" spans="9:12">
      <c r="I14318" s="225"/>
      <c r="K14318" s="9"/>
      <c r="L14318" s="9"/>
    </row>
    <row r="14319" s="105" customFormat="1" spans="9:12">
      <c r="I14319" s="225"/>
      <c r="K14319" s="9"/>
      <c r="L14319" s="9"/>
    </row>
    <row r="14320" s="105" customFormat="1" spans="9:12">
      <c r="I14320" s="225"/>
      <c r="K14320" s="9"/>
      <c r="L14320" s="9"/>
    </row>
    <row r="14321" s="105" customFormat="1" spans="9:12">
      <c r="I14321" s="225"/>
      <c r="K14321" s="9"/>
      <c r="L14321" s="9"/>
    </row>
    <row r="14322" s="105" customFormat="1" spans="9:12">
      <c r="I14322" s="225"/>
      <c r="K14322" s="9"/>
      <c r="L14322" s="9"/>
    </row>
    <row r="14323" s="105" customFormat="1" spans="9:12">
      <c r="I14323" s="225"/>
      <c r="K14323" s="9"/>
      <c r="L14323" s="9"/>
    </row>
    <row r="14324" s="105" customFormat="1" spans="9:12">
      <c r="I14324" s="225"/>
      <c r="K14324" s="9"/>
      <c r="L14324" s="9"/>
    </row>
    <row r="14325" s="105" customFormat="1" spans="9:12">
      <c r="I14325" s="225"/>
      <c r="K14325" s="9"/>
      <c r="L14325" s="9"/>
    </row>
    <row r="14326" s="105" customFormat="1" spans="9:12">
      <c r="I14326" s="225"/>
      <c r="K14326" s="9"/>
      <c r="L14326" s="9"/>
    </row>
    <row r="14327" s="105" customFormat="1" spans="9:12">
      <c r="I14327" s="225"/>
      <c r="K14327" s="9"/>
      <c r="L14327" s="9"/>
    </row>
    <row r="14328" s="105" customFormat="1" spans="9:12">
      <c r="I14328" s="225"/>
      <c r="K14328" s="9"/>
      <c r="L14328" s="9"/>
    </row>
    <row r="14329" s="105" customFormat="1" spans="9:12">
      <c r="I14329" s="225"/>
      <c r="K14329" s="9"/>
      <c r="L14329" s="9"/>
    </row>
    <row r="14330" s="105" customFormat="1" spans="9:12">
      <c r="I14330" s="225"/>
      <c r="K14330" s="9"/>
      <c r="L14330" s="9"/>
    </row>
    <row r="14331" s="105" customFormat="1" spans="9:12">
      <c r="I14331" s="225"/>
      <c r="K14331" s="9"/>
      <c r="L14331" s="9"/>
    </row>
    <row r="14332" s="105" customFormat="1" spans="9:12">
      <c r="I14332" s="225"/>
      <c r="K14332" s="9"/>
      <c r="L14332" s="9"/>
    </row>
    <row r="14333" s="105" customFormat="1" spans="9:12">
      <c r="I14333" s="225"/>
      <c r="K14333" s="9"/>
      <c r="L14333" s="9"/>
    </row>
    <row r="14334" s="105" customFormat="1" spans="9:12">
      <c r="I14334" s="225"/>
      <c r="K14334" s="9"/>
      <c r="L14334" s="9"/>
    </row>
    <row r="14335" s="105" customFormat="1" spans="9:12">
      <c r="I14335" s="225"/>
      <c r="K14335" s="9"/>
      <c r="L14335" s="9"/>
    </row>
    <row r="14336" s="105" customFormat="1" spans="9:12">
      <c r="I14336" s="225"/>
      <c r="K14336" s="9"/>
      <c r="L14336" s="9"/>
    </row>
    <row r="14337" s="105" customFormat="1" spans="9:12">
      <c r="I14337" s="225"/>
      <c r="K14337" s="9"/>
      <c r="L14337" s="9"/>
    </row>
    <row r="14338" s="105" customFormat="1" spans="9:12">
      <c r="I14338" s="225"/>
      <c r="K14338" s="9"/>
      <c r="L14338" s="9"/>
    </row>
    <row r="14339" s="105" customFormat="1" spans="9:12">
      <c r="I14339" s="225"/>
      <c r="K14339" s="9"/>
      <c r="L14339" s="9"/>
    </row>
    <row r="14340" s="105" customFormat="1" spans="9:12">
      <c r="I14340" s="225"/>
      <c r="K14340" s="9"/>
      <c r="L14340" s="9"/>
    </row>
    <row r="14341" s="105" customFormat="1" spans="9:12">
      <c r="I14341" s="225"/>
      <c r="K14341" s="9"/>
      <c r="L14341" s="9"/>
    </row>
    <row r="14342" s="105" customFormat="1" spans="9:12">
      <c r="I14342" s="225"/>
      <c r="K14342" s="9"/>
      <c r="L14342" s="9"/>
    </row>
    <row r="14343" s="105" customFormat="1" spans="9:12">
      <c r="I14343" s="225"/>
      <c r="K14343" s="9"/>
      <c r="L14343" s="9"/>
    </row>
    <row r="14344" s="105" customFormat="1" spans="9:12">
      <c r="I14344" s="225"/>
      <c r="K14344" s="9"/>
      <c r="L14344" s="9"/>
    </row>
    <row r="14345" s="105" customFormat="1" spans="9:12">
      <c r="I14345" s="225"/>
      <c r="K14345" s="9"/>
      <c r="L14345" s="9"/>
    </row>
    <row r="14346" s="105" customFormat="1" spans="9:12">
      <c r="I14346" s="225"/>
      <c r="K14346" s="9"/>
      <c r="L14346" s="9"/>
    </row>
    <row r="14347" s="105" customFormat="1" spans="9:12">
      <c r="I14347" s="225"/>
      <c r="K14347" s="9"/>
      <c r="L14347" s="9"/>
    </row>
    <row r="14348" s="105" customFormat="1" spans="9:12">
      <c r="I14348" s="225"/>
      <c r="K14348" s="9"/>
      <c r="L14348" s="9"/>
    </row>
    <row r="14349" s="105" customFormat="1" spans="9:12">
      <c r="I14349" s="225"/>
      <c r="K14349" s="9"/>
      <c r="L14349" s="9"/>
    </row>
    <row r="14350" s="105" customFormat="1" spans="9:12">
      <c r="I14350" s="225"/>
      <c r="K14350" s="9"/>
      <c r="L14350" s="9"/>
    </row>
    <row r="14351" s="105" customFormat="1" spans="9:12">
      <c r="I14351" s="225"/>
      <c r="K14351" s="9"/>
      <c r="L14351" s="9"/>
    </row>
    <row r="14352" s="105" customFormat="1" spans="9:12">
      <c r="I14352" s="225"/>
      <c r="K14352" s="9"/>
      <c r="L14352" s="9"/>
    </row>
    <row r="14353" s="105" customFormat="1" spans="9:12">
      <c r="I14353" s="225"/>
      <c r="K14353" s="9"/>
      <c r="L14353" s="9"/>
    </row>
    <row r="14354" s="105" customFormat="1" spans="9:12">
      <c r="I14354" s="225"/>
      <c r="K14354" s="9"/>
      <c r="L14354" s="9"/>
    </row>
    <row r="14355" s="105" customFormat="1" spans="9:12">
      <c r="I14355" s="225"/>
      <c r="K14355" s="9"/>
      <c r="L14355" s="9"/>
    </row>
    <row r="14356" s="105" customFormat="1" spans="9:12">
      <c r="I14356" s="225"/>
      <c r="K14356" s="9"/>
      <c r="L14356" s="9"/>
    </row>
    <row r="14357" s="105" customFormat="1" spans="9:12">
      <c r="I14357" s="225"/>
      <c r="K14357" s="9"/>
      <c r="L14357" s="9"/>
    </row>
    <row r="14358" s="105" customFormat="1" spans="9:12">
      <c r="I14358" s="225"/>
      <c r="K14358" s="9"/>
      <c r="L14358" s="9"/>
    </row>
    <row r="14359" s="105" customFormat="1" spans="9:12">
      <c r="I14359" s="225"/>
      <c r="K14359" s="9"/>
      <c r="L14359" s="9"/>
    </row>
    <row r="14360" s="105" customFormat="1" spans="9:12">
      <c r="I14360" s="225"/>
      <c r="K14360" s="9"/>
      <c r="L14360" s="9"/>
    </row>
    <row r="14361" s="105" customFormat="1" spans="9:12">
      <c r="I14361" s="225"/>
      <c r="K14361" s="9"/>
      <c r="L14361" s="9"/>
    </row>
    <row r="14362" s="105" customFormat="1" spans="9:12">
      <c r="I14362" s="225"/>
      <c r="K14362" s="9"/>
      <c r="L14362" s="9"/>
    </row>
    <row r="14363" s="105" customFormat="1" spans="9:12">
      <c r="I14363" s="225"/>
      <c r="K14363" s="9"/>
      <c r="L14363" s="9"/>
    </row>
    <row r="14364" s="105" customFormat="1" spans="9:12">
      <c r="I14364" s="225"/>
      <c r="K14364" s="9"/>
      <c r="L14364" s="9"/>
    </row>
    <row r="14365" s="105" customFormat="1" spans="9:12">
      <c r="I14365" s="225"/>
      <c r="K14365" s="9"/>
      <c r="L14365" s="9"/>
    </row>
    <row r="14366" s="105" customFormat="1" spans="9:12">
      <c r="I14366" s="225"/>
      <c r="K14366" s="9"/>
      <c r="L14366" s="9"/>
    </row>
    <row r="14367" s="105" customFormat="1" spans="9:12">
      <c r="I14367" s="225"/>
      <c r="K14367" s="9"/>
      <c r="L14367" s="9"/>
    </row>
    <row r="14368" s="105" customFormat="1" spans="9:12">
      <c r="I14368" s="225"/>
      <c r="K14368" s="9"/>
      <c r="L14368" s="9"/>
    </row>
    <row r="14369" s="105" customFormat="1" spans="9:12">
      <c r="I14369" s="225"/>
      <c r="K14369" s="9"/>
      <c r="L14369" s="9"/>
    </row>
    <row r="14370" s="105" customFormat="1" spans="9:12">
      <c r="I14370" s="225"/>
      <c r="K14370" s="9"/>
      <c r="L14370" s="9"/>
    </row>
    <row r="14371" s="105" customFormat="1" spans="9:12">
      <c r="I14371" s="225"/>
      <c r="K14371" s="9"/>
      <c r="L14371" s="9"/>
    </row>
    <row r="14372" s="105" customFormat="1" spans="9:12">
      <c r="I14372" s="225"/>
      <c r="K14372" s="9"/>
      <c r="L14372" s="9"/>
    </row>
    <row r="14373" s="105" customFormat="1" spans="9:12">
      <c r="I14373" s="225"/>
      <c r="K14373" s="9"/>
      <c r="L14373" s="9"/>
    </row>
    <row r="14374" s="105" customFormat="1" spans="9:12">
      <c r="I14374" s="225"/>
      <c r="K14374" s="9"/>
      <c r="L14374" s="9"/>
    </row>
    <row r="14375" s="105" customFormat="1" spans="9:12">
      <c r="I14375" s="225"/>
      <c r="K14375" s="9"/>
      <c r="L14375" s="9"/>
    </row>
    <row r="14376" s="105" customFormat="1" spans="9:12">
      <c r="I14376" s="225"/>
      <c r="K14376" s="9"/>
      <c r="L14376" s="9"/>
    </row>
    <row r="14377" s="105" customFormat="1" spans="9:12">
      <c r="I14377" s="225"/>
      <c r="K14377" s="9"/>
      <c r="L14377" s="9"/>
    </row>
    <row r="14378" s="105" customFormat="1" spans="9:12">
      <c r="I14378" s="225"/>
      <c r="K14378" s="9"/>
      <c r="L14378" s="9"/>
    </row>
    <row r="14379" s="105" customFormat="1" spans="9:12">
      <c r="I14379" s="225"/>
      <c r="K14379" s="9"/>
      <c r="L14379" s="9"/>
    </row>
    <row r="14380" s="105" customFormat="1" spans="9:12">
      <c r="I14380" s="225"/>
      <c r="K14380" s="9"/>
      <c r="L14380" s="9"/>
    </row>
    <row r="14381" s="105" customFormat="1" spans="9:12">
      <c r="I14381" s="225"/>
      <c r="K14381" s="9"/>
      <c r="L14381" s="9"/>
    </row>
    <row r="14382" s="105" customFormat="1" spans="9:12">
      <c r="I14382" s="225"/>
      <c r="K14382" s="9"/>
      <c r="L14382" s="9"/>
    </row>
    <row r="14383" s="105" customFormat="1" spans="9:12">
      <c r="I14383" s="225"/>
      <c r="K14383" s="9"/>
      <c r="L14383" s="9"/>
    </row>
    <row r="14384" s="105" customFormat="1" spans="9:12">
      <c r="I14384" s="225"/>
      <c r="K14384" s="9"/>
      <c r="L14384" s="9"/>
    </row>
    <row r="14385" s="105" customFormat="1" spans="9:12">
      <c r="I14385" s="225"/>
      <c r="K14385" s="9"/>
      <c r="L14385" s="9"/>
    </row>
    <row r="14386" s="105" customFormat="1" spans="9:12">
      <c r="I14386" s="225"/>
      <c r="K14386" s="9"/>
      <c r="L14386" s="9"/>
    </row>
    <row r="14387" s="105" customFormat="1" spans="9:12">
      <c r="I14387" s="225"/>
      <c r="K14387" s="9"/>
      <c r="L14387" s="9"/>
    </row>
    <row r="14388" s="105" customFormat="1" spans="9:12">
      <c r="I14388" s="225"/>
      <c r="K14388" s="9"/>
      <c r="L14388" s="9"/>
    </row>
    <row r="14389" s="105" customFormat="1" spans="9:12">
      <c r="I14389" s="225"/>
      <c r="K14389" s="9"/>
      <c r="L14389" s="9"/>
    </row>
    <row r="14390" s="105" customFormat="1" spans="9:12">
      <c r="I14390" s="225"/>
      <c r="K14390" s="9"/>
      <c r="L14390" s="9"/>
    </row>
    <row r="14391" s="105" customFormat="1" spans="9:12">
      <c r="I14391" s="225"/>
      <c r="K14391" s="9"/>
      <c r="L14391" s="9"/>
    </row>
    <row r="14392" s="105" customFormat="1" spans="9:12">
      <c r="I14392" s="225"/>
      <c r="K14392" s="9"/>
      <c r="L14392" s="9"/>
    </row>
    <row r="14393" s="105" customFormat="1" spans="9:12">
      <c r="I14393" s="225"/>
      <c r="K14393" s="9"/>
      <c r="L14393" s="9"/>
    </row>
    <row r="14394" s="105" customFormat="1" spans="9:12">
      <c r="I14394" s="225"/>
      <c r="K14394" s="9"/>
      <c r="L14394" s="9"/>
    </row>
    <row r="14395" s="105" customFormat="1" spans="9:12">
      <c r="I14395" s="225"/>
      <c r="K14395" s="9"/>
      <c r="L14395" s="9"/>
    </row>
    <row r="14396" s="105" customFormat="1" spans="9:12">
      <c r="I14396" s="225"/>
      <c r="K14396" s="9"/>
      <c r="L14396" s="9"/>
    </row>
    <row r="14397" s="105" customFormat="1" spans="9:12">
      <c r="I14397" s="225"/>
      <c r="K14397" s="9"/>
      <c r="L14397" s="9"/>
    </row>
    <row r="14398" s="105" customFormat="1" spans="9:12">
      <c r="I14398" s="225"/>
      <c r="K14398" s="9"/>
      <c r="L14398" s="9"/>
    </row>
    <row r="14399" s="105" customFormat="1" spans="9:12">
      <c r="I14399" s="225"/>
      <c r="K14399" s="9"/>
      <c r="L14399" s="9"/>
    </row>
    <row r="14400" s="105" customFormat="1" spans="9:12">
      <c r="I14400" s="225"/>
      <c r="K14400" s="9"/>
      <c r="L14400" s="9"/>
    </row>
    <row r="14401" s="105" customFormat="1" spans="9:12">
      <c r="I14401" s="225"/>
      <c r="K14401" s="9"/>
      <c r="L14401" s="9"/>
    </row>
    <row r="14402" s="105" customFormat="1" spans="9:12">
      <c r="I14402" s="225"/>
      <c r="K14402" s="9"/>
      <c r="L14402" s="9"/>
    </row>
    <row r="14403" s="105" customFormat="1" spans="9:12">
      <c r="I14403" s="225"/>
      <c r="K14403" s="9"/>
      <c r="L14403" s="9"/>
    </row>
    <row r="14404" s="105" customFormat="1" spans="9:12">
      <c r="I14404" s="225"/>
      <c r="K14404" s="9"/>
      <c r="L14404" s="9"/>
    </row>
    <row r="14405" s="105" customFormat="1" spans="9:12">
      <c r="I14405" s="225"/>
      <c r="K14405" s="9"/>
      <c r="L14405" s="9"/>
    </row>
    <row r="14406" s="105" customFormat="1" spans="9:12">
      <c r="I14406" s="225"/>
      <c r="K14406" s="9"/>
      <c r="L14406" s="9"/>
    </row>
    <row r="14407" s="105" customFormat="1" spans="9:12">
      <c r="I14407" s="225"/>
      <c r="K14407" s="9"/>
      <c r="L14407" s="9"/>
    </row>
    <row r="14408" s="105" customFormat="1" spans="9:12">
      <c r="I14408" s="225"/>
      <c r="K14408" s="9"/>
      <c r="L14408" s="9"/>
    </row>
    <row r="14409" s="105" customFormat="1" spans="9:12">
      <c r="I14409" s="225"/>
      <c r="K14409" s="9"/>
      <c r="L14409" s="9"/>
    </row>
    <row r="14410" s="105" customFormat="1" spans="9:12">
      <c r="I14410" s="225"/>
      <c r="K14410" s="9"/>
      <c r="L14410" s="9"/>
    </row>
    <row r="14411" s="105" customFormat="1" spans="9:12">
      <c r="I14411" s="225"/>
      <c r="K14411" s="9"/>
      <c r="L14411" s="9"/>
    </row>
    <row r="14412" s="105" customFormat="1" spans="9:12">
      <c r="I14412" s="225"/>
      <c r="K14412" s="9"/>
      <c r="L14412" s="9"/>
    </row>
    <row r="14413" s="105" customFormat="1" spans="9:12">
      <c r="I14413" s="225"/>
      <c r="K14413" s="9"/>
      <c r="L14413" s="9"/>
    </row>
    <row r="14414" s="105" customFormat="1" spans="9:12">
      <c r="I14414" s="225"/>
      <c r="K14414" s="9"/>
      <c r="L14414" s="9"/>
    </row>
    <row r="14415" s="105" customFormat="1" spans="9:12">
      <c r="I14415" s="225"/>
      <c r="K14415" s="9"/>
      <c r="L14415" s="9"/>
    </row>
    <row r="14416" s="105" customFormat="1" spans="9:12">
      <c r="I14416" s="225"/>
      <c r="K14416" s="9"/>
      <c r="L14416" s="9"/>
    </row>
    <row r="14417" s="105" customFormat="1" spans="9:12">
      <c r="I14417" s="225"/>
      <c r="K14417" s="9"/>
      <c r="L14417" s="9"/>
    </row>
    <row r="14418" s="105" customFormat="1" spans="9:12">
      <c r="I14418" s="225"/>
      <c r="K14418" s="9"/>
      <c r="L14418" s="9"/>
    </row>
    <row r="14419" s="105" customFormat="1" spans="9:12">
      <c r="I14419" s="225"/>
      <c r="K14419" s="9"/>
      <c r="L14419" s="9"/>
    </row>
    <row r="14420" s="105" customFormat="1" spans="9:12">
      <c r="I14420" s="225"/>
      <c r="K14420" s="9"/>
      <c r="L14420" s="9"/>
    </row>
    <row r="14421" s="105" customFormat="1" spans="9:12">
      <c r="I14421" s="225"/>
      <c r="K14421" s="9"/>
      <c r="L14421" s="9"/>
    </row>
    <row r="14422" s="105" customFormat="1" spans="9:12">
      <c r="I14422" s="225"/>
      <c r="K14422" s="9"/>
      <c r="L14422" s="9"/>
    </row>
    <row r="14423" s="105" customFormat="1" spans="9:12">
      <c r="I14423" s="225"/>
      <c r="K14423" s="9"/>
      <c r="L14423" s="9"/>
    </row>
    <row r="14424" s="105" customFormat="1" spans="9:12">
      <c r="I14424" s="225"/>
      <c r="K14424" s="9"/>
      <c r="L14424" s="9"/>
    </row>
    <row r="14425" s="105" customFormat="1" spans="9:12">
      <c r="I14425" s="225"/>
      <c r="K14425" s="9"/>
      <c r="L14425" s="9"/>
    </row>
    <row r="14426" s="105" customFormat="1" spans="9:12">
      <c r="I14426" s="225"/>
      <c r="K14426" s="9"/>
      <c r="L14426" s="9"/>
    </row>
    <row r="14427" s="105" customFormat="1" spans="9:12">
      <c r="I14427" s="225"/>
      <c r="K14427" s="9"/>
      <c r="L14427" s="9"/>
    </row>
    <row r="14428" s="105" customFormat="1" spans="9:12">
      <c r="I14428" s="225"/>
      <c r="K14428" s="9"/>
      <c r="L14428" s="9"/>
    </row>
    <row r="14429" s="105" customFormat="1" spans="9:12">
      <c r="I14429" s="225"/>
      <c r="K14429" s="9"/>
      <c r="L14429" s="9"/>
    </row>
    <row r="14430" s="105" customFormat="1" spans="9:12">
      <c r="I14430" s="225"/>
      <c r="K14430" s="9"/>
      <c r="L14430" s="9"/>
    </row>
    <row r="14431" s="105" customFormat="1" spans="9:12">
      <c r="I14431" s="225"/>
      <c r="K14431" s="9"/>
      <c r="L14431" s="9"/>
    </row>
    <row r="14432" s="105" customFormat="1" spans="9:12">
      <c r="I14432" s="225"/>
      <c r="K14432" s="9"/>
      <c r="L14432" s="9"/>
    </row>
    <row r="14433" s="105" customFormat="1" spans="9:12">
      <c r="I14433" s="225"/>
      <c r="K14433" s="9"/>
      <c r="L14433" s="9"/>
    </row>
    <row r="14434" s="105" customFormat="1" spans="9:12">
      <c r="I14434" s="225"/>
      <c r="K14434" s="9"/>
      <c r="L14434" s="9"/>
    </row>
    <row r="14435" s="105" customFormat="1" spans="9:12">
      <c r="I14435" s="225"/>
      <c r="K14435" s="9"/>
      <c r="L14435" s="9"/>
    </row>
    <row r="14436" s="105" customFormat="1" spans="9:12">
      <c r="I14436" s="225"/>
      <c r="K14436" s="9"/>
      <c r="L14436" s="9"/>
    </row>
    <row r="14437" s="105" customFormat="1" spans="9:12">
      <c r="I14437" s="225"/>
      <c r="K14437" s="9"/>
      <c r="L14437" s="9"/>
    </row>
    <row r="14438" s="105" customFormat="1" spans="9:12">
      <c r="I14438" s="225"/>
      <c r="K14438" s="9"/>
      <c r="L14438" s="9"/>
    </row>
    <row r="14439" s="105" customFormat="1" spans="9:12">
      <c r="I14439" s="225"/>
      <c r="K14439" s="9"/>
      <c r="L14439" s="9"/>
    </row>
    <row r="14440" s="105" customFormat="1" spans="9:12">
      <c r="I14440" s="225"/>
      <c r="K14440" s="9"/>
      <c r="L14440" s="9"/>
    </row>
    <row r="14441" s="105" customFormat="1" spans="9:12">
      <c r="I14441" s="225"/>
      <c r="K14441" s="9"/>
      <c r="L14441" s="9"/>
    </row>
    <row r="14442" s="105" customFormat="1" spans="9:12">
      <c r="I14442" s="225"/>
      <c r="K14442" s="9"/>
      <c r="L14442" s="9"/>
    </row>
    <row r="14443" s="105" customFormat="1" spans="9:12">
      <c r="I14443" s="225"/>
      <c r="K14443" s="9"/>
      <c r="L14443" s="9"/>
    </row>
    <row r="14444" s="105" customFormat="1" spans="9:12">
      <c r="I14444" s="225"/>
      <c r="K14444" s="9"/>
      <c r="L14444" s="9"/>
    </row>
    <row r="14445" s="105" customFormat="1" spans="9:12">
      <c r="I14445" s="225"/>
      <c r="K14445" s="9"/>
      <c r="L14445" s="9"/>
    </row>
    <row r="14446" s="105" customFormat="1" spans="9:12">
      <c r="I14446" s="225"/>
      <c r="K14446" s="9"/>
      <c r="L14446" s="9"/>
    </row>
    <row r="14447" s="105" customFormat="1" spans="9:12">
      <c r="I14447" s="225"/>
      <c r="K14447" s="9"/>
      <c r="L14447" s="9"/>
    </row>
    <row r="14448" s="105" customFormat="1" spans="9:12">
      <c r="I14448" s="225"/>
      <c r="K14448" s="9"/>
      <c r="L14448" s="9"/>
    </row>
    <row r="14449" s="105" customFormat="1" spans="9:12">
      <c r="I14449" s="225"/>
      <c r="K14449" s="9"/>
      <c r="L14449" s="9"/>
    </row>
    <row r="14450" s="105" customFormat="1" spans="9:12">
      <c r="I14450" s="225"/>
      <c r="K14450" s="9"/>
      <c r="L14450" s="9"/>
    </row>
    <row r="14451" s="105" customFormat="1" spans="9:12">
      <c r="I14451" s="225"/>
      <c r="K14451" s="9"/>
      <c r="L14451" s="9"/>
    </row>
    <row r="14452" s="105" customFormat="1" spans="9:12">
      <c r="I14452" s="225"/>
      <c r="K14452" s="9"/>
      <c r="L14452" s="9"/>
    </row>
    <row r="14453" s="105" customFormat="1" spans="9:12">
      <c r="I14453" s="225"/>
      <c r="K14453" s="9"/>
      <c r="L14453" s="9"/>
    </row>
    <row r="14454" s="105" customFormat="1" spans="9:12">
      <c r="I14454" s="225"/>
      <c r="K14454" s="9"/>
      <c r="L14454" s="9"/>
    </row>
    <row r="14455" s="105" customFormat="1" spans="9:12">
      <c r="I14455" s="225"/>
      <c r="K14455" s="9"/>
      <c r="L14455" s="9"/>
    </row>
    <row r="14456" s="105" customFormat="1" spans="9:12">
      <c r="I14456" s="225"/>
      <c r="K14456" s="9"/>
      <c r="L14456" s="9"/>
    </row>
    <row r="14457" s="105" customFormat="1" spans="9:12">
      <c r="I14457" s="225"/>
      <c r="K14457" s="9"/>
      <c r="L14457" s="9"/>
    </row>
    <row r="14458" s="105" customFormat="1" spans="9:12">
      <c r="I14458" s="225"/>
      <c r="K14458" s="9"/>
      <c r="L14458" s="9"/>
    </row>
    <row r="14459" s="105" customFormat="1" spans="9:12">
      <c r="I14459" s="225"/>
      <c r="K14459" s="9"/>
      <c r="L14459" s="9"/>
    </row>
    <row r="14460" s="105" customFormat="1" spans="9:12">
      <c r="I14460" s="225"/>
      <c r="K14460" s="9"/>
      <c r="L14460" s="9"/>
    </row>
    <row r="14461" s="105" customFormat="1" spans="9:12">
      <c r="I14461" s="225"/>
      <c r="K14461" s="9"/>
      <c r="L14461" s="9"/>
    </row>
    <row r="14462" s="105" customFormat="1" spans="9:12">
      <c r="I14462" s="225"/>
      <c r="K14462" s="9"/>
      <c r="L14462" s="9"/>
    </row>
    <row r="14463" s="105" customFormat="1" spans="9:12">
      <c r="I14463" s="225"/>
      <c r="K14463" s="9"/>
      <c r="L14463" s="9"/>
    </row>
    <row r="14464" s="105" customFormat="1" spans="9:12">
      <c r="I14464" s="225"/>
      <c r="K14464" s="9"/>
      <c r="L14464" s="9"/>
    </row>
    <row r="14465" s="105" customFormat="1" spans="9:12">
      <c r="I14465" s="225"/>
      <c r="K14465" s="9"/>
      <c r="L14465" s="9"/>
    </row>
    <row r="14466" s="105" customFormat="1" spans="9:12">
      <c r="I14466" s="225"/>
      <c r="K14466" s="9"/>
      <c r="L14466" s="9"/>
    </row>
    <row r="14467" s="105" customFormat="1" spans="9:12">
      <c r="I14467" s="225"/>
      <c r="K14467" s="9"/>
      <c r="L14467" s="9"/>
    </row>
    <row r="14468" s="105" customFormat="1" spans="9:12">
      <c r="I14468" s="225"/>
      <c r="K14468" s="9"/>
      <c r="L14468" s="9"/>
    </row>
    <row r="14469" s="105" customFormat="1" spans="9:12">
      <c r="I14469" s="225"/>
      <c r="K14469" s="9"/>
      <c r="L14469" s="9"/>
    </row>
    <row r="14470" s="105" customFormat="1" spans="9:12">
      <c r="I14470" s="225"/>
      <c r="K14470" s="9"/>
      <c r="L14470" s="9"/>
    </row>
    <row r="14471" s="105" customFormat="1" spans="9:12">
      <c r="I14471" s="225"/>
      <c r="K14471" s="9"/>
      <c r="L14471" s="9"/>
    </row>
    <row r="14472" s="105" customFormat="1" spans="9:12">
      <c r="I14472" s="225"/>
      <c r="K14472" s="9"/>
      <c r="L14472" s="9"/>
    </row>
    <row r="14473" s="105" customFormat="1" spans="9:12">
      <c r="I14473" s="225"/>
      <c r="K14473" s="9"/>
      <c r="L14473" s="9"/>
    </row>
    <row r="14474" s="105" customFormat="1" spans="9:12">
      <c r="I14474" s="225"/>
      <c r="K14474" s="9"/>
      <c r="L14474" s="9"/>
    </row>
    <row r="14475" s="105" customFormat="1" spans="9:12">
      <c r="I14475" s="225"/>
      <c r="K14475" s="9"/>
      <c r="L14475" s="9"/>
    </row>
    <row r="14476" s="105" customFormat="1" spans="9:12">
      <c r="I14476" s="225"/>
      <c r="K14476" s="9"/>
      <c r="L14476" s="9"/>
    </row>
    <row r="14477" s="105" customFormat="1" spans="9:12">
      <c r="I14477" s="225"/>
      <c r="K14477" s="9"/>
      <c r="L14477" s="9"/>
    </row>
    <row r="14478" s="105" customFormat="1" spans="9:12">
      <c r="I14478" s="225"/>
      <c r="K14478" s="9"/>
      <c r="L14478" s="9"/>
    </row>
    <row r="14479" s="105" customFormat="1" spans="9:12">
      <c r="I14479" s="225"/>
      <c r="K14479" s="9"/>
      <c r="L14479" s="9"/>
    </row>
    <row r="14480" s="105" customFormat="1" spans="9:12">
      <c r="I14480" s="225"/>
      <c r="K14480" s="9"/>
      <c r="L14480" s="9"/>
    </row>
    <row r="14481" s="105" customFormat="1" spans="9:12">
      <c r="I14481" s="225"/>
      <c r="K14481" s="9"/>
      <c r="L14481" s="9"/>
    </row>
    <row r="14482" s="105" customFormat="1" spans="9:12">
      <c r="I14482" s="225"/>
      <c r="K14482" s="9"/>
      <c r="L14482" s="9"/>
    </row>
    <row r="14483" s="105" customFormat="1" spans="9:12">
      <c r="I14483" s="225"/>
      <c r="K14483" s="9"/>
      <c r="L14483" s="9"/>
    </row>
    <row r="14484" s="105" customFormat="1" spans="9:12">
      <c r="I14484" s="225"/>
      <c r="K14484" s="9"/>
      <c r="L14484" s="9"/>
    </row>
    <row r="14485" s="105" customFormat="1" spans="9:12">
      <c r="I14485" s="225"/>
      <c r="K14485" s="9"/>
      <c r="L14485" s="9"/>
    </row>
    <row r="14486" s="105" customFormat="1" spans="9:12">
      <c r="I14486" s="225"/>
      <c r="K14486" s="9"/>
      <c r="L14486" s="9"/>
    </row>
    <row r="14487" s="105" customFormat="1" spans="9:12">
      <c r="I14487" s="225"/>
      <c r="K14487" s="9"/>
      <c r="L14487" s="9"/>
    </row>
    <row r="14488" s="105" customFormat="1" spans="9:12">
      <c r="I14488" s="225"/>
      <c r="K14488" s="9"/>
      <c r="L14488" s="9"/>
    </row>
    <row r="14489" s="105" customFormat="1" spans="9:12">
      <c r="I14489" s="225"/>
      <c r="K14489" s="9"/>
      <c r="L14489" s="9"/>
    </row>
    <row r="14490" s="105" customFormat="1" spans="9:12">
      <c r="I14490" s="225"/>
      <c r="K14490" s="9"/>
      <c r="L14490" s="9"/>
    </row>
    <row r="14491" s="105" customFormat="1" spans="9:12">
      <c r="I14491" s="225"/>
      <c r="K14491" s="9"/>
      <c r="L14491" s="9"/>
    </row>
    <row r="14492" s="105" customFormat="1" spans="9:12">
      <c r="I14492" s="225"/>
      <c r="K14492" s="9"/>
      <c r="L14492" s="9"/>
    </row>
    <row r="14493" s="105" customFormat="1" spans="9:12">
      <c r="I14493" s="225"/>
      <c r="K14493" s="9"/>
      <c r="L14493" s="9"/>
    </row>
    <row r="14494" s="105" customFormat="1" spans="9:12">
      <c r="I14494" s="225"/>
      <c r="K14494" s="9"/>
      <c r="L14494" s="9"/>
    </row>
    <row r="14495" s="105" customFormat="1" spans="9:12">
      <c r="I14495" s="225"/>
      <c r="K14495" s="9"/>
      <c r="L14495" s="9"/>
    </row>
    <row r="14496" s="105" customFormat="1" spans="9:12">
      <c r="I14496" s="225"/>
      <c r="K14496" s="9"/>
      <c r="L14496" s="9"/>
    </row>
    <row r="14497" s="105" customFormat="1" spans="9:12">
      <c r="I14497" s="225"/>
      <c r="K14497" s="9"/>
      <c r="L14497" s="9"/>
    </row>
    <row r="14498" s="105" customFormat="1" spans="9:12">
      <c r="I14498" s="225"/>
      <c r="K14498" s="9"/>
      <c r="L14498" s="9"/>
    </row>
    <row r="14499" s="105" customFormat="1" spans="9:12">
      <c r="I14499" s="225"/>
      <c r="K14499" s="9"/>
      <c r="L14499" s="9"/>
    </row>
    <row r="14500" s="105" customFormat="1" spans="9:12">
      <c r="I14500" s="225"/>
      <c r="K14500" s="9"/>
      <c r="L14500" s="9"/>
    </row>
    <row r="14501" s="105" customFormat="1" spans="9:12">
      <c r="I14501" s="225"/>
      <c r="K14501" s="9"/>
      <c r="L14501" s="9"/>
    </row>
    <row r="14502" s="105" customFormat="1" spans="9:12">
      <c r="I14502" s="225"/>
      <c r="K14502" s="9"/>
      <c r="L14502" s="9"/>
    </row>
    <row r="14503" s="105" customFormat="1" spans="9:12">
      <c r="I14503" s="225"/>
      <c r="K14503" s="9"/>
      <c r="L14503" s="9"/>
    </row>
    <row r="14504" s="105" customFormat="1" spans="9:12">
      <c r="I14504" s="225"/>
      <c r="K14504" s="9"/>
      <c r="L14504" s="9"/>
    </row>
    <row r="14505" s="105" customFormat="1" spans="9:12">
      <c r="I14505" s="225"/>
      <c r="K14505" s="9"/>
      <c r="L14505" s="9"/>
    </row>
    <row r="14506" s="105" customFormat="1" spans="9:12">
      <c r="I14506" s="225"/>
      <c r="K14506" s="9"/>
      <c r="L14506" s="9"/>
    </row>
    <row r="14507" s="105" customFormat="1" spans="9:12">
      <c r="I14507" s="225"/>
      <c r="K14507" s="9"/>
      <c r="L14507" s="9"/>
    </row>
    <row r="14508" s="105" customFormat="1" spans="9:12">
      <c r="I14508" s="225"/>
      <c r="K14508" s="9"/>
      <c r="L14508" s="9"/>
    </row>
    <row r="14509" s="105" customFormat="1" spans="9:12">
      <c r="I14509" s="225"/>
      <c r="K14509" s="9"/>
      <c r="L14509" s="9"/>
    </row>
    <row r="14510" s="105" customFormat="1" spans="9:12">
      <c r="I14510" s="225"/>
      <c r="K14510" s="9"/>
      <c r="L14510" s="9"/>
    </row>
    <row r="14511" s="105" customFormat="1" spans="9:12">
      <c r="I14511" s="225"/>
      <c r="K14511" s="9"/>
      <c r="L14511" s="9"/>
    </row>
    <row r="14512" s="105" customFormat="1" spans="9:12">
      <c r="I14512" s="225"/>
      <c r="K14512" s="9"/>
      <c r="L14512" s="9"/>
    </row>
    <row r="14513" s="105" customFormat="1" spans="9:12">
      <c r="I14513" s="225"/>
      <c r="K14513" s="9"/>
      <c r="L14513" s="9"/>
    </row>
    <row r="14514" s="105" customFormat="1" spans="9:12">
      <c r="I14514" s="225"/>
      <c r="K14514" s="9"/>
      <c r="L14514" s="9"/>
    </row>
    <row r="14515" s="105" customFormat="1" spans="9:12">
      <c r="I14515" s="225"/>
      <c r="K14515" s="9"/>
      <c r="L14515" s="9"/>
    </row>
    <row r="14516" s="105" customFormat="1" spans="9:12">
      <c r="I14516" s="225"/>
      <c r="K14516" s="9"/>
      <c r="L14516" s="9"/>
    </row>
    <row r="14517" s="105" customFormat="1" spans="9:12">
      <c r="I14517" s="225"/>
      <c r="K14517" s="9"/>
      <c r="L14517" s="9"/>
    </row>
    <row r="14518" s="105" customFormat="1" spans="9:12">
      <c r="I14518" s="225"/>
      <c r="K14518" s="9"/>
      <c r="L14518" s="9"/>
    </row>
    <row r="14519" s="105" customFormat="1" spans="9:12">
      <c r="I14519" s="225"/>
      <c r="K14519" s="9"/>
      <c r="L14519" s="9"/>
    </row>
    <row r="14520" s="105" customFormat="1" spans="9:12">
      <c r="I14520" s="225"/>
      <c r="K14520" s="9"/>
      <c r="L14520" s="9"/>
    </row>
    <row r="14521" s="105" customFormat="1" spans="9:12">
      <c r="I14521" s="225"/>
      <c r="K14521" s="9"/>
      <c r="L14521" s="9"/>
    </row>
    <row r="14522" s="105" customFormat="1" spans="9:12">
      <c r="I14522" s="225"/>
      <c r="K14522" s="9"/>
      <c r="L14522" s="9"/>
    </row>
    <row r="14523" s="105" customFormat="1" spans="9:12">
      <c r="I14523" s="225"/>
      <c r="K14523" s="9"/>
      <c r="L14523" s="9"/>
    </row>
    <row r="14524" s="105" customFormat="1" spans="9:12">
      <c r="I14524" s="225"/>
      <c r="K14524" s="9"/>
      <c r="L14524" s="9"/>
    </row>
    <row r="14525" s="105" customFormat="1" spans="9:12">
      <c r="I14525" s="225"/>
      <c r="K14525" s="9"/>
      <c r="L14525" s="9"/>
    </row>
    <row r="14526" s="105" customFormat="1" spans="9:12">
      <c r="I14526" s="225"/>
      <c r="K14526" s="9"/>
      <c r="L14526" s="9"/>
    </row>
    <row r="14527" s="105" customFormat="1" spans="9:12">
      <c r="I14527" s="225"/>
      <c r="K14527" s="9"/>
      <c r="L14527" s="9"/>
    </row>
    <row r="14528" s="105" customFormat="1" spans="9:12">
      <c r="I14528" s="225"/>
      <c r="K14528" s="9"/>
      <c r="L14528" s="9"/>
    </row>
    <row r="14529" s="105" customFormat="1" spans="9:12">
      <c r="I14529" s="225"/>
      <c r="K14529" s="9"/>
      <c r="L14529" s="9"/>
    </row>
    <row r="14530" s="105" customFormat="1" spans="9:12">
      <c r="I14530" s="225"/>
      <c r="K14530" s="9"/>
      <c r="L14530" s="9"/>
    </row>
    <row r="14531" s="105" customFormat="1" spans="9:12">
      <c r="I14531" s="225"/>
      <c r="K14531" s="9"/>
      <c r="L14531" s="9"/>
    </row>
    <row r="14532" s="105" customFormat="1" spans="9:12">
      <c r="I14532" s="225"/>
      <c r="K14532" s="9"/>
      <c r="L14532" s="9"/>
    </row>
    <row r="14533" s="105" customFormat="1" spans="9:12">
      <c r="I14533" s="225"/>
      <c r="K14533" s="9"/>
      <c r="L14533" s="9"/>
    </row>
    <row r="14534" s="105" customFormat="1" spans="9:12">
      <c r="I14534" s="225"/>
      <c r="K14534" s="9"/>
      <c r="L14534" s="9"/>
    </row>
    <row r="14535" s="105" customFormat="1" spans="9:12">
      <c r="I14535" s="225"/>
      <c r="K14535" s="9"/>
      <c r="L14535" s="9"/>
    </row>
    <row r="14536" s="105" customFormat="1" spans="9:12">
      <c r="I14536" s="225"/>
      <c r="K14536" s="9"/>
      <c r="L14536" s="9"/>
    </row>
    <row r="14537" s="105" customFormat="1" spans="9:12">
      <c r="I14537" s="225"/>
      <c r="K14537" s="9"/>
      <c r="L14537" s="9"/>
    </row>
    <row r="14538" s="105" customFormat="1" spans="9:12">
      <c r="I14538" s="225"/>
      <c r="K14538" s="9"/>
      <c r="L14538" s="9"/>
    </row>
    <row r="14539" s="105" customFormat="1" spans="9:12">
      <c r="I14539" s="225"/>
      <c r="K14539" s="9"/>
      <c r="L14539" s="9"/>
    </row>
    <row r="14540" s="105" customFormat="1" spans="9:12">
      <c r="I14540" s="225"/>
      <c r="K14540" s="9"/>
      <c r="L14540" s="9"/>
    </row>
    <row r="14541" s="105" customFormat="1" spans="9:12">
      <c r="I14541" s="225"/>
      <c r="K14541" s="9"/>
      <c r="L14541" s="9"/>
    </row>
    <row r="14542" s="105" customFormat="1" spans="9:12">
      <c r="I14542" s="225"/>
      <c r="K14542" s="9"/>
      <c r="L14542" s="9"/>
    </row>
    <row r="14543" s="105" customFormat="1" spans="9:12">
      <c r="I14543" s="225"/>
      <c r="K14543" s="9"/>
      <c r="L14543" s="9"/>
    </row>
    <row r="14544" s="105" customFormat="1" spans="9:12">
      <c r="I14544" s="225"/>
      <c r="K14544" s="9"/>
      <c r="L14544" s="9"/>
    </row>
    <row r="14545" s="105" customFormat="1" spans="9:12">
      <c r="I14545" s="225"/>
      <c r="K14545" s="9"/>
      <c r="L14545" s="9"/>
    </row>
    <row r="14546" s="105" customFormat="1" spans="9:12">
      <c r="I14546" s="225"/>
      <c r="K14546" s="9"/>
      <c r="L14546" s="9"/>
    </row>
    <row r="14547" s="105" customFormat="1" spans="9:12">
      <c r="I14547" s="225"/>
      <c r="K14547" s="9"/>
      <c r="L14547" s="9"/>
    </row>
    <row r="14548" s="105" customFormat="1" spans="9:12">
      <c r="I14548" s="225"/>
      <c r="K14548" s="9"/>
      <c r="L14548" s="9"/>
    </row>
    <row r="14549" s="105" customFormat="1" spans="9:12">
      <c r="I14549" s="225"/>
      <c r="K14549" s="9"/>
      <c r="L14549" s="9"/>
    </row>
    <row r="14550" s="105" customFormat="1" spans="9:12">
      <c r="I14550" s="225"/>
      <c r="K14550" s="9"/>
      <c r="L14550" s="9"/>
    </row>
    <row r="14551" s="105" customFormat="1" spans="9:12">
      <c r="I14551" s="225"/>
      <c r="K14551" s="9"/>
      <c r="L14551" s="9"/>
    </row>
    <row r="14552" s="105" customFormat="1" spans="9:12">
      <c r="I14552" s="225"/>
      <c r="K14552" s="9"/>
      <c r="L14552" s="9"/>
    </row>
    <row r="14553" s="105" customFormat="1" spans="9:12">
      <c r="I14553" s="225"/>
      <c r="K14553" s="9"/>
      <c r="L14553" s="9"/>
    </row>
    <row r="14554" s="105" customFormat="1" spans="9:12">
      <c r="I14554" s="225"/>
      <c r="K14554" s="9"/>
      <c r="L14554" s="9"/>
    </row>
    <row r="14555" s="105" customFormat="1" spans="9:12">
      <c r="I14555" s="225"/>
      <c r="K14555" s="9"/>
      <c r="L14555" s="9"/>
    </row>
    <row r="14556" s="105" customFormat="1" spans="9:12">
      <c r="I14556" s="225"/>
      <c r="K14556" s="9"/>
      <c r="L14556" s="9"/>
    </row>
    <row r="14557" s="105" customFormat="1" spans="9:12">
      <c r="I14557" s="225"/>
      <c r="K14557" s="9"/>
      <c r="L14557" s="9"/>
    </row>
    <row r="14558" s="105" customFormat="1" spans="9:12">
      <c r="I14558" s="225"/>
      <c r="K14558" s="9"/>
      <c r="L14558" s="9"/>
    </row>
    <row r="14559" s="105" customFormat="1" spans="9:12">
      <c r="I14559" s="225"/>
      <c r="K14559" s="9"/>
      <c r="L14559" s="9"/>
    </row>
    <row r="14560" s="105" customFormat="1" spans="9:12">
      <c r="I14560" s="225"/>
      <c r="K14560" s="9"/>
      <c r="L14560" s="9"/>
    </row>
    <row r="14561" s="105" customFormat="1" spans="9:12">
      <c r="I14561" s="225"/>
      <c r="K14561" s="9"/>
      <c r="L14561" s="9"/>
    </row>
    <row r="14562" s="105" customFormat="1" spans="9:12">
      <c r="I14562" s="225"/>
      <c r="K14562" s="9"/>
      <c r="L14562" s="9"/>
    </row>
    <row r="14563" s="105" customFormat="1" spans="9:12">
      <c r="I14563" s="225"/>
      <c r="K14563" s="9"/>
      <c r="L14563" s="9"/>
    </row>
    <row r="14564" s="105" customFormat="1" spans="9:12">
      <c r="I14564" s="225"/>
      <c r="K14564" s="9"/>
      <c r="L14564" s="9"/>
    </row>
    <row r="14565" s="105" customFormat="1" spans="9:12">
      <c r="I14565" s="225"/>
      <c r="K14565" s="9"/>
      <c r="L14565" s="9"/>
    </row>
    <row r="14566" s="105" customFormat="1" spans="9:12">
      <c r="I14566" s="225"/>
      <c r="K14566" s="9"/>
      <c r="L14566" s="9"/>
    </row>
    <row r="14567" s="105" customFormat="1" spans="9:12">
      <c r="I14567" s="225"/>
      <c r="K14567" s="9"/>
      <c r="L14567" s="9"/>
    </row>
    <row r="14568" s="105" customFormat="1" spans="9:12">
      <c r="I14568" s="225"/>
      <c r="K14568" s="9"/>
      <c r="L14568" s="9"/>
    </row>
    <row r="14569" s="105" customFormat="1" spans="9:12">
      <c r="I14569" s="225"/>
      <c r="K14569" s="9"/>
      <c r="L14569" s="9"/>
    </row>
    <row r="14570" s="105" customFormat="1" spans="9:12">
      <c r="I14570" s="225"/>
      <c r="K14570" s="9"/>
      <c r="L14570" s="9"/>
    </row>
    <row r="14571" s="105" customFormat="1" spans="9:12">
      <c r="I14571" s="225"/>
      <c r="K14571" s="9"/>
      <c r="L14571" s="9"/>
    </row>
    <row r="14572" s="105" customFormat="1" spans="9:12">
      <c r="I14572" s="225"/>
      <c r="K14572" s="9"/>
      <c r="L14572" s="9"/>
    </row>
    <row r="14573" s="105" customFormat="1" spans="9:12">
      <c r="I14573" s="225"/>
      <c r="K14573" s="9"/>
      <c r="L14573" s="9"/>
    </row>
    <row r="14574" s="105" customFormat="1" spans="9:12">
      <c r="I14574" s="225"/>
      <c r="K14574" s="9"/>
      <c r="L14574" s="9"/>
    </row>
    <row r="14575" s="105" customFormat="1" spans="9:12">
      <c r="I14575" s="225"/>
      <c r="K14575" s="9"/>
      <c r="L14575" s="9"/>
    </row>
    <row r="14576" s="105" customFormat="1" spans="9:12">
      <c r="I14576" s="225"/>
      <c r="K14576" s="9"/>
      <c r="L14576" s="9"/>
    </row>
    <row r="14577" s="105" customFormat="1" spans="9:12">
      <c r="I14577" s="225"/>
      <c r="K14577" s="9"/>
      <c r="L14577" s="9"/>
    </row>
    <row r="14578" s="105" customFormat="1" spans="9:12">
      <c r="I14578" s="225"/>
      <c r="K14578" s="9"/>
      <c r="L14578" s="9"/>
    </row>
    <row r="14579" s="105" customFormat="1" spans="9:12">
      <c r="I14579" s="225"/>
      <c r="K14579" s="9"/>
      <c r="L14579" s="9"/>
    </row>
    <row r="14580" s="105" customFormat="1" spans="9:12">
      <c r="I14580" s="225"/>
      <c r="K14580" s="9"/>
      <c r="L14580" s="9"/>
    </row>
    <row r="14581" s="105" customFormat="1" spans="9:12">
      <c r="I14581" s="225"/>
      <c r="K14581" s="9"/>
      <c r="L14581" s="9"/>
    </row>
    <row r="14582" s="105" customFormat="1" spans="9:12">
      <c r="I14582" s="225"/>
      <c r="K14582" s="9"/>
      <c r="L14582" s="9"/>
    </row>
    <row r="14583" s="105" customFormat="1" spans="9:12">
      <c r="I14583" s="225"/>
      <c r="K14583" s="9"/>
      <c r="L14583" s="9"/>
    </row>
    <row r="14584" s="105" customFormat="1" spans="9:12">
      <c r="I14584" s="225"/>
      <c r="K14584" s="9"/>
      <c r="L14584" s="9"/>
    </row>
    <row r="14585" s="105" customFormat="1" spans="9:12">
      <c r="I14585" s="225"/>
      <c r="K14585" s="9"/>
      <c r="L14585" s="9"/>
    </row>
    <row r="14586" s="105" customFormat="1" spans="9:12">
      <c r="I14586" s="225"/>
      <c r="K14586" s="9"/>
      <c r="L14586" s="9"/>
    </row>
    <row r="14587" s="105" customFormat="1" spans="9:12">
      <c r="I14587" s="225"/>
      <c r="K14587" s="9"/>
      <c r="L14587" s="9"/>
    </row>
    <row r="14588" s="105" customFormat="1" spans="9:12">
      <c r="I14588" s="225"/>
      <c r="K14588" s="9"/>
      <c r="L14588" s="9"/>
    </row>
    <row r="14589" s="105" customFormat="1" spans="9:12">
      <c r="I14589" s="225"/>
      <c r="K14589" s="9"/>
      <c r="L14589" s="9"/>
    </row>
    <row r="14590" s="105" customFormat="1" spans="9:12">
      <c r="I14590" s="225"/>
      <c r="K14590" s="9"/>
      <c r="L14590" s="9"/>
    </row>
    <row r="14591" s="105" customFormat="1" spans="9:12">
      <c r="I14591" s="225"/>
      <c r="K14591" s="9"/>
      <c r="L14591" s="9"/>
    </row>
    <row r="14592" s="105" customFormat="1" spans="9:12">
      <c r="I14592" s="225"/>
      <c r="K14592" s="9"/>
      <c r="L14592" s="9"/>
    </row>
    <row r="14593" s="105" customFormat="1" spans="9:12">
      <c r="I14593" s="225"/>
      <c r="K14593" s="9"/>
      <c r="L14593" s="9"/>
    </row>
    <row r="14594" s="105" customFormat="1" spans="9:12">
      <c r="I14594" s="225"/>
      <c r="K14594" s="9"/>
      <c r="L14594" s="9"/>
    </row>
    <row r="14595" s="105" customFormat="1" spans="9:12">
      <c r="I14595" s="225"/>
      <c r="K14595" s="9"/>
      <c r="L14595" s="9"/>
    </row>
    <row r="14596" s="105" customFormat="1" spans="9:12">
      <c r="I14596" s="225"/>
      <c r="K14596" s="9"/>
      <c r="L14596" s="9"/>
    </row>
    <row r="14597" s="105" customFormat="1" spans="9:12">
      <c r="I14597" s="225"/>
      <c r="K14597" s="9"/>
      <c r="L14597" s="9"/>
    </row>
    <row r="14598" s="105" customFormat="1" spans="9:12">
      <c r="I14598" s="225"/>
      <c r="K14598" s="9"/>
      <c r="L14598" s="9"/>
    </row>
    <row r="14599" s="105" customFormat="1" spans="9:12">
      <c r="I14599" s="225"/>
      <c r="K14599" s="9"/>
      <c r="L14599" s="9"/>
    </row>
    <row r="14600" s="105" customFormat="1" spans="9:12">
      <c r="I14600" s="225"/>
      <c r="K14600" s="9"/>
      <c r="L14600" s="9"/>
    </row>
    <row r="14601" s="105" customFormat="1" spans="9:12">
      <c r="I14601" s="225"/>
      <c r="K14601" s="9"/>
      <c r="L14601" s="9"/>
    </row>
    <row r="14602" s="105" customFormat="1" spans="9:12">
      <c r="I14602" s="225"/>
      <c r="K14602" s="9"/>
      <c r="L14602" s="9"/>
    </row>
    <row r="14603" s="105" customFormat="1" spans="9:12">
      <c r="I14603" s="225"/>
      <c r="K14603" s="9"/>
      <c r="L14603" s="9"/>
    </row>
    <row r="14604" s="105" customFormat="1" spans="9:12">
      <c r="I14604" s="225"/>
      <c r="K14604" s="9"/>
      <c r="L14604" s="9"/>
    </row>
    <row r="14605" s="105" customFormat="1" spans="9:12">
      <c r="I14605" s="225"/>
      <c r="K14605" s="9"/>
      <c r="L14605" s="9"/>
    </row>
    <row r="14606" s="105" customFormat="1" spans="9:12">
      <c r="I14606" s="225"/>
      <c r="K14606" s="9"/>
      <c r="L14606" s="9"/>
    </row>
    <row r="14607" s="105" customFormat="1" spans="9:12">
      <c r="I14607" s="225"/>
      <c r="K14607" s="9"/>
      <c r="L14607" s="9"/>
    </row>
    <row r="14608" s="105" customFormat="1" spans="9:12">
      <c r="I14608" s="225"/>
      <c r="K14608" s="9"/>
      <c r="L14608" s="9"/>
    </row>
    <row r="14609" s="105" customFormat="1" spans="9:12">
      <c r="I14609" s="225"/>
      <c r="K14609" s="9"/>
      <c r="L14609" s="9"/>
    </row>
    <row r="14610" s="105" customFormat="1" spans="9:12">
      <c r="I14610" s="225"/>
      <c r="K14610" s="9"/>
      <c r="L14610" s="9"/>
    </row>
    <row r="14611" s="105" customFormat="1" spans="9:12">
      <c r="I14611" s="225"/>
      <c r="K14611" s="9"/>
      <c r="L14611" s="9"/>
    </row>
    <row r="14612" s="105" customFormat="1" spans="9:12">
      <c r="I14612" s="225"/>
      <c r="K14612" s="9"/>
      <c r="L14612" s="9"/>
    </row>
    <row r="14613" s="105" customFormat="1" spans="9:12">
      <c r="I14613" s="225"/>
      <c r="K14613" s="9"/>
      <c r="L14613" s="9"/>
    </row>
    <row r="14614" s="105" customFormat="1" spans="9:12">
      <c r="I14614" s="225"/>
      <c r="K14614" s="9"/>
      <c r="L14614" s="9"/>
    </row>
    <row r="14615" s="105" customFormat="1" spans="9:12">
      <c r="I14615" s="225"/>
      <c r="K14615" s="9"/>
      <c r="L14615" s="9"/>
    </row>
    <row r="14616" s="105" customFormat="1" spans="9:12">
      <c r="I14616" s="225"/>
      <c r="K14616" s="9"/>
      <c r="L14616" s="9"/>
    </row>
    <row r="14617" s="105" customFormat="1" spans="9:12">
      <c r="I14617" s="225"/>
      <c r="K14617" s="9"/>
      <c r="L14617" s="9"/>
    </row>
    <row r="14618" s="105" customFormat="1" spans="9:12">
      <c r="I14618" s="225"/>
      <c r="K14618" s="9"/>
      <c r="L14618" s="9"/>
    </row>
    <row r="14619" s="105" customFormat="1" spans="9:12">
      <c r="I14619" s="225"/>
      <c r="K14619" s="9"/>
      <c r="L14619" s="9"/>
    </row>
    <row r="14620" s="105" customFormat="1" spans="9:12">
      <c r="I14620" s="225"/>
      <c r="K14620" s="9"/>
      <c r="L14620" s="9"/>
    </row>
    <row r="14621" s="105" customFormat="1" spans="9:12">
      <c r="I14621" s="225"/>
      <c r="K14621" s="9"/>
      <c r="L14621" s="9"/>
    </row>
    <row r="14622" s="105" customFormat="1" spans="9:12">
      <c r="I14622" s="225"/>
      <c r="K14622" s="9"/>
      <c r="L14622" s="9"/>
    </row>
    <row r="14623" s="105" customFormat="1" spans="9:12">
      <c r="I14623" s="225"/>
      <c r="K14623" s="9"/>
      <c r="L14623" s="9"/>
    </row>
    <row r="14624" s="105" customFormat="1" spans="9:12">
      <c r="I14624" s="225"/>
      <c r="K14624" s="9"/>
      <c r="L14624" s="9"/>
    </row>
    <row r="14625" s="105" customFormat="1" spans="9:12">
      <c r="I14625" s="225"/>
      <c r="K14625" s="9"/>
      <c r="L14625" s="9"/>
    </row>
    <row r="14626" s="105" customFormat="1" spans="9:12">
      <c r="I14626" s="225"/>
      <c r="K14626" s="9"/>
      <c r="L14626" s="9"/>
    </row>
    <row r="14627" s="105" customFormat="1" spans="9:12">
      <c r="I14627" s="225"/>
      <c r="K14627" s="9"/>
      <c r="L14627" s="9"/>
    </row>
    <row r="14628" s="105" customFormat="1" spans="9:12">
      <c r="I14628" s="225"/>
      <c r="K14628" s="9"/>
      <c r="L14628" s="9"/>
    </row>
    <row r="14629" s="105" customFormat="1" spans="9:12">
      <c r="I14629" s="225"/>
      <c r="K14629" s="9"/>
      <c r="L14629" s="9"/>
    </row>
    <row r="14630" s="105" customFormat="1" spans="9:12">
      <c r="I14630" s="225"/>
      <c r="K14630" s="9"/>
      <c r="L14630" s="9"/>
    </row>
    <row r="14631" s="105" customFormat="1" spans="9:12">
      <c r="I14631" s="225"/>
      <c r="K14631" s="9"/>
      <c r="L14631" s="9"/>
    </row>
    <row r="14632" s="105" customFormat="1" spans="9:12">
      <c r="I14632" s="225"/>
      <c r="K14632" s="9"/>
      <c r="L14632" s="9"/>
    </row>
    <row r="14633" s="105" customFormat="1" spans="9:12">
      <c r="I14633" s="225"/>
      <c r="K14633" s="9"/>
      <c r="L14633" s="9"/>
    </row>
    <row r="14634" s="105" customFormat="1" spans="9:12">
      <c r="I14634" s="225"/>
      <c r="K14634" s="9"/>
      <c r="L14634" s="9"/>
    </row>
    <row r="14635" s="105" customFormat="1" spans="9:12">
      <c r="I14635" s="225"/>
      <c r="K14635" s="9"/>
      <c r="L14635" s="9"/>
    </row>
    <row r="14636" s="105" customFormat="1" spans="9:12">
      <c r="I14636" s="225"/>
      <c r="K14636" s="9"/>
      <c r="L14636" s="9"/>
    </row>
    <row r="14637" s="105" customFormat="1" spans="9:12">
      <c r="I14637" s="225"/>
      <c r="K14637" s="9"/>
      <c r="L14637" s="9"/>
    </row>
    <row r="14638" s="105" customFormat="1" spans="9:12">
      <c r="I14638" s="225"/>
      <c r="K14638" s="9"/>
      <c r="L14638" s="9"/>
    </row>
    <row r="14639" s="105" customFormat="1" spans="9:12">
      <c r="I14639" s="225"/>
      <c r="K14639" s="9"/>
      <c r="L14639" s="9"/>
    </row>
    <row r="14640" s="105" customFormat="1" spans="9:12">
      <c r="I14640" s="225"/>
      <c r="K14640" s="9"/>
      <c r="L14640" s="9"/>
    </row>
    <row r="14641" s="105" customFormat="1" spans="9:12">
      <c r="I14641" s="225"/>
      <c r="K14641" s="9"/>
      <c r="L14641" s="9"/>
    </row>
    <row r="14642" s="105" customFormat="1" spans="9:12">
      <c r="I14642" s="225"/>
      <c r="K14642" s="9"/>
      <c r="L14642" s="9"/>
    </row>
    <row r="14643" s="105" customFormat="1" spans="9:12">
      <c r="I14643" s="225"/>
      <c r="K14643" s="9"/>
      <c r="L14643" s="9"/>
    </row>
    <row r="14644" s="105" customFormat="1" spans="9:12">
      <c r="I14644" s="225"/>
      <c r="K14644" s="9"/>
      <c r="L14644" s="9"/>
    </row>
    <row r="14645" s="105" customFormat="1" spans="9:12">
      <c r="I14645" s="225"/>
      <c r="K14645" s="9"/>
      <c r="L14645" s="9"/>
    </row>
    <row r="14646" s="105" customFormat="1" spans="9:12">
      <c r="I14646" s="225"/>
      <c r="K14646" s="9"/>
      <c r="L14646" s="9"/>
    </row>
    <row r="14647" s="105" customFormat="1" spans="9:12">
      <c r="I14647" s="225"/>
      <c r="K14647" s="9"/>
      <c r="L14647" s="9"/>
    </row>
    <row r="14648" s="105" customFormat="1" spans="9:12">
      <c r="I14648" s="225"/>
      <c r="K14648" s="9"/>
      <c r="L14648" s="9"/>
    </row>
    <row r="14649" s="105" customFormat="1" spans="9:12">
      <c r="I14649" s="225"/>
      <c r="K14649" s="9"/>
      <c r="L14649" s="9"/>
    </row>
    <row r="14650" s="105" customFormat="1" spans="9:12">
      <c r="I14650" s="225"/>
      <c r="K14650" s="9"/>
      <c r="L14650" s="9"/>
    </row>
    <row r="14651" s="105" customFormat="1" spans="9:12">
      <c r="I14651" s="225"/>
      <c r="K14651" s="9"/>
      <c r="L14651" s="9"/>
    </row>
    <row r="14652" s="105" customFormat="1" spans="9:12">
      <c r="I14652" s="225"/>
      <c r="K14652" s="9"/>
      <c r="L14652" s="9"/>
    </row>
    <row r="14653" s="105" customFormat="1" spans="9:12">
      <c r="I14653" s="225"/>
      <c r="K14653" s="9"/>
      <c r="L14653" s="9"/>
    </row>
    <row r="14654" s="105" customFormat="1" spans="9:12">
      <c r="I14654" s="225"/>
      <c r="K14654" s="9"/>
      <c r="L14654" s="9"/>
    </row>
    <row r="14655" s="105" customFormat="1" spans="9:12">
      <c r="I14655" s="225"/>
      <c r="K14655" s="9"/>
      <c r="L14655" s="9"/>
    </row>
    <row r="14656" s="105" customFormat="1" spans="9:12">
      <c r="I14656" s="225"/>
      <c r="K14656" s="9"/>
      <c r="L14656" s="9"/>
    </row>
    <row r="14657" s="105" customFormat="1" spans="9:12">
      <c r="I14657" s="225"/>
      <c r="K14657" s="9"/>
      <c r="L14657" s="9"/>
    </row>
    <row r="14658" s="105" customFormat="1" spans="9:12">
      <c r="I14658" s="225"/>
      <c r="K14658" s="9"/>
      <c r="L14658" s="9"/>
    </row>
    <row r="14659" s="105" customFormat="1" spans="9:12">
      <c r="I14659" s="225"/>
      <c r="K14659" s="9"/>
      <c r="L14659" s="9"/>
    </row>
    <row r="14660" s="105" customFormat="1" spans="9:12">
      <c r="I14660" s="225"/>
      <c r="K14660" s="9"/>
      <c r="L14660" s="9"/>
    </row>
    <row r="14661" s="105" customFormat="1" spans="9:12">
      <c r="I14661" s="225"/>
      <c r="K14661" s="9"/>
      <c r="L14661" s="9"/>
    </row>
    <row r="14662" s="105" customFormat="1" spans="9:12">
      <c r="I14662" s="225"/>
      <c r="K14662" s="9"/>
      <c r="L14662" s="9"/>
    </row>
    <row r="14663" s="105" customFormat="1" spans="9:12">
      <c r="I14663" s="225"/>
      <c r="K14663" s="9"/>
      <c r="L14663" s="9"/>
    </row>
    <row r="14664" s="105" customFormat="1" spans="9:12">
      <c r="I14664" s="225"/>
      <c r="K14664" s="9"/>
      <c r="L14664" s="9"/>
    </row>
    <row r="14665" s="105" customFormat="1" spans="9:12">
      <c r="I14665" s="225"/>
      <c r="K14665" s="9"/>
      <c r="L14665" s="9"/>
    </row>
    <row r="14666" s="105" customFormat="1" spans="9:12">
      <c r="I14666" s="225"/>
      <c r="K14666" s="9"/>
      <c r="L14666" s="9"/>
    </row>
    <row r="14667" s="105" customFormat="1" spans="9:12">
      <c r="I14667" s="225"/>
      <c r="K14667" s="9"/>
      <c r="L14667" s="9"/>
    </row>
    <row r="14668" s="105" customFormat="1" spans="9:12">
      <c r="I14668" s="225"/>
      <c r="K14668" s="9"/>
      <c r="L14668" s="9"/>
    </row>
    <row r="14669" s="105" customFormat="1" spans="9:12">
      <c r="I14669" s="225"/>
      <c r="K14669" s="9"/>
      <c r="L14669" s="9"/>
    </row>
    <row r="14670" s="105" customFormat="1" spans="9:12">
      <c r="I14670" s="225"/>
      <c r="K14670" s="9"/>
      <c r="L14670" s="9"/>
    </row>
    <row r="14671" s="105" customFormat="1" spans="9:12">
      <c r="I14671" s="225"/>
      <c r="K14671" s="9"/>
      <c r="L14671" s="9"/>
    </row>
    <row r="14672" s="105" customFormat="1" spans="9:12">
      <c r="I14672" s="225"/>
      <c r="K14672" s="9"/>
      <c r="L14672" s="9"/>
    </row>
    <row r="14673" s="105" customFormat="1" spans="9:12">
      <c r="I14673" s="225"/>
      <c r="K14673" s="9"/>
      <c r="L14673" s="9"/>
    </row>
    <row r="14674" s="105" customFormat="1" spans="9:12">
      <c r="I14674" s="225"/>
      <c r="K14674" s="9"/>
      <c r="L14674" s="9"/>
    </row>
    <row r="14675" s="105" customFormat="1" spans="9:12">
      <c r="I14675" s="225"/>
      <c r="K14675" s="9"/>
      <c r="L14675" s="9"/>
    </row>
    <row r="14676" s="105" customFormat="1" spans="9:12">
      <c r="I14676" s="225"/>
      <c r="K14676" s="9"/>
      <c r="L14676" s="9"/>
    </row>
    <row r="14677" s="105" customFormat="1" spans="9:12">
      <c r="I14677" s="225"/>
      <c r="K14677" s="9"/>
      <c r="L14677" s="9"/>
    </row>
    <row r="14678" s="105" customFormat="1" spans="9:12">
      <c r="I14678" s="225"/>
      <c r="K14678" s="9"/>
      <c r="L14678" s="9"/>
    </row>
    <row r="14679" s="105" customFormat="1" spans="9:12">
      <c r="I14679" s="225"/>
      <c r="K14679" s="9"/>
      <c r="L14679" s="9"/>
    </row>
    <row r="14680" s="105" customFormat="1" spans="9:12">
      <c r="I14680" s="225"/>
      <c r="K14680" s="9"/>
      <c r="L14680" s="9"/>
    </row>
    <row r="14681" s="105" customFormat="1" spans="9:12">
      <c r="I14681" s="225"/>
      <c r="K14681" s="9"/>
      <c r="L14681" s="9"/>
    </row>
    <row r="14682" s="105" customFormat="1" spans="9:12">
      <c r="I14682" s="225"/>
      <c r="K14682" s="9"/>
      <c r="L14682" s="9"/>
    </row>
    <row r="14683" s="105" customFormat="1" spans="9:12">
      <c r="I14683" s="225"/>
      <c r="K14683" s="9"/>
      <c r="L14683" s="9"/>
    </row>
    <row r="14684" s="105" customFormat="1" spans="9:12">
      <c r="I14684" s="225"/>
      <c r="K14684" s="9"/>
      <c r="L14684" s="9"/>
    </row>
    <row r="14685" s="105" customFormat="1" spans="9:12">
      <c r="I14685" s="225"/>
      <c r="K14685" s="9"/>
      <c r="L14685" s="9"/>
    </row>
    <row r="14686" s="105" customFormat="1" spans="9:12">
      <c r="I14686" s="225"/>
      <c r="K14686" s="9"/>
      <c r="L14686" s="9"/>
    </row>
    <row r="14687" s="105" customFormat="1" spans="9:12">
      <c r="I14687" s="225"/>
      <c r="K14687" s="9"/>
      <c r="L14687" s="9"/>
    </row>
    <row r="14688" s="105" customFormat="1" spans="9:12">
      <c r="I14688" s="225"/>
      <c r="K14688" s="9"/>
      <c r="L14688" s="9"/>
    </row>
    <row r="14689" s="105" customFormat="1" spans="9:12">
      <c r="I14689" s="225"/>
      <c r="K14689" s="9"/>
      <c r="L14689" s="9"/>
    </row>
    <row r="14690" s="105" customFormat="1" spans="9:12">
      <c r="I14690" s="225"/>
      <c r="K14690" s="9"/>
      <c r="L14690" s="9"/>
    </row>
    <row r="14691" s="105" customFormat="1" spans="9:12">
      <c r="I14691" s="225"/>
      <c r="K14691" s="9"/>
      <c r="L14691" s="9"/>
    </row>
    <row r="14692" s="105" customFormat="1" spans="9:12">
      <c r="I14692" s="225"/>
      <c r="K14692" s="9"/>
      <c r="L14692" s="9"/>
    </row>
    <row r="14693" s="105" customFormat="1" spans="9:12">
      <c r="I14693" s="225"/>
      <c r="K14693" s="9"/>
      <c r="L14693" s="9"/>
    </row>
    <row r="14694" s="105" customFormat="1" spans="9:12">
      <c r="I14694" s="225"/>
      <c r="K14694" s="9"/>
      <c r="L14694" s="9"/>
    </row>
    <row r="14695" s="105" customFormat="1" spans="9:12">
      <c r="I14695" s="225"/>
      <c r="K14695" s="9"/>
      <c r="L14695" s="9"/>
    </row>
    <row r="14696" s="105" customFormat="1" spans="9:12">
      <c r="I14696" s="225"/>
      <c r="K14696" s="9"/>
      <c r="L14696" s="9"/>
    </row>
    <row r="14697" s="105" customFormat="1" spans="9:12">
      <c r="I14697" s="225"/>
      <c r="K14697" s="9"/>
      <c r="L14697" s="9"/>
    </row>
    <row r="14698" s="105" customFormat="1" spans="9:12">
      <c r="I14698" s="225"/>
      <c r="K14698" s="9"/>
      <c r="L14698" s="9"/>
    </row>
    <row r="14699" s="105" customFormat="1" spans="9:12">
      <c r="I14699" s="225"/>
      <c r="K14699" s="9"/>
      <c r="L14699" s="9"/>
    </row>
    <row r="14700" s="105" customFormat="1" spans="9:12">
      <c r="I14700" s="225"/>
      <c r="K14700" s="9"/>
      <c r="L14700" s="9"/>
    </row>
    <row r="14701" s="105" customFormat="1" spans="9:12">
      <c r="I14701" s="225"/>
      <c r="K14701" s="9"/>
      <c r="L14701" s="9"/>
    </row>
    <row r="14702" s="105" customFormat="1" spans="9:12">
      <c r="I14702" s="225"/>
      <c r="K14702" s="9"/>
      <c r="L14702" s="9"/>
    </row>
    <row r="14703" s="105" customFormat="1" spans="9:12">
      <c r="I14703" s="225"/>
      <c r="K14703" s="9"/>
      <c r="L14703" s="9"/>
    </row>
    <row r="14704" s="105" customFormat="1" spans="9:12">
      <c r="I14704" s="225"/>
      <c r="K14704" s="9"/>
      <c r="L14704" s="9"/>
    </row>
    <row r="14705" s="105" customFormat="1" spans="9:12">
      <c r="I14705" s="225"/>
      <c r="K14705" s="9"/>
      <c r="L14705" s="9"/>
    </row>
    <row r="14706" s="105" customFormat="1" spans="9:12">
      <c r="I14706" s="225"/>
      <c r="K14706" s="9"/>
      <c r="L14706" s="9"/>
    </row>
    <row r="14707" s="105" customFormat="1" spans="9:12">
      <c r="I14707" s="225"/>
      <c r="K14707" s="9"/>
      <c r="L14707" s="9"/>
    </row>
    <row r="14708" s="105" customFormat="1" spans="9:12">
      <c r="I14708" s="225"/>
      <c r="K14708" s="9"/>
      <c r="L14708" s="9"/>
    </row>
    <row r="14709" s="105" customFormat="1" spans="9:12">
      <c r="I14709" s="225"/>
      <c r="K14709" s="9"/>
      <c r="L14709" s="9"/>
    </row>
    <row r="14710" s="105" customFormat="1" spans="9:12">
      <c r="I14710" s="225"/>
      <c r="K14710" s="9"/>
      <c r="L14710" s="9"/>
    </row>
    <row r="14711" s="105" customFormat="1" spans="9:12">
      <c r="I14711" s="225"/>
      <c r="K14711" s="9"/>
      <c r="L14711" s="9"/>
    </row>
    <row r="14712" s="105" customFormat="1" spans="9:12">
      <c r="I14712" s="225"/>
      <c r="K14712" s="9"/>
      <c r="L14712" s="9"/>
    </row>
    <row r="14713" s="105" customFormat="1" spans="9:12">
      <c r="I14713" s="225"/>
      <c r="K14713" s="9"/>
      <c r="L14713" s="9"/>
    </row>
    <row r="14714" s="105" customFormat="1" spans="9:12">
      <c r="I14714" s="225"/>
      <c r="K14714" s="9"/>
      <c r="L14714" s="9"/>
    </row>
    <row r="14715" s="105" customFormat="1" spans="9:12">
      <c r="I14715" s="225"/>
      <c r="K14715" s="9"/>
      <c r="L14715" s="9"/>
    </row>
    <row r="14716" s="105" customFormat="1" spans="9:12">
      <c r="I14716" s="225"/>
      <c r="K14716" s="9"/>
      <c r="L14716" s="9"/>
    </row>
    <row r="14717" s="105" customFormat="1" spans="9:12">
      <c r="I14717" s="225"/>
      <c r="K14717" s="9"/>
      <c r="L14717" s="9"/>
    </row>
    <row r="14718" s="105" customFormat="1" spans="9:12">
      <c r="I14718" s="225"/>
      <c r="K14718" s="9"/>
      <c r="L14718" s="9"/>
    </row>
    <row r="14719" s="105" customFormat="1" spans="9:12">
      <c r="I14719" s="225"/>
      <c r="K14719" s="9"/>
      <c r="L14719" s="9"/>
    </row>
    <row r="14720" s="105" customFormat="1" spans="9:12">
      <c r="I14720" s="225"/>
      <c r="K14720" s="9"/>
      <c r="L14720" s="9"/>
    </row>
    <row r="14721" s="105" customFormat="1" spans="9:12">
      <c r="I14721" s="225"/>
      <c r="K14721" s="9"/>
      <c r="L14721" s="9"/>
    </row>
    <row r="14722" s="105" customFormat="1" spans="9:12">
      <c r="I14722" s="225"/>
      <c r="K14722" s="9"/>
      <c r="L14722" s="9"/>
    </row>
    <row r="14723" s="105" customFormat="1" spans="9:12">
      <c r="I14723" s="225"/>
      <c r="K14723" s="9"/>
      <c r="L14723" s="9"/>
    </row>
    <row r="14724" s="105" customFormat="1" spans="9:12">
      <c r="I14724" s="225"/>
      <c r="K14724" s="9"/>
      <c r="L14724" s="9"/>
    </row>
    <row r="14725" s="105" customFormat="1" spans="9:12">
      <c r="I14725" s="225"/>
      <c r="K14725" s="9"/>
      <c r="L14725" s="9"/>
    </row>
    <row r="14726" s="105" customFormat="1" spans="9:12">
      <c r="I14726" s="225"/>
      <c r="K14726" s="9"/>
      <c r="L14726" s="9"/>
    </row>
    <row r="14727" s="105" customFormat="1" spans="9:12">
      <c r="I14727" s="225"/>
      <c r="K14727" s="9"/>
      <c r="L14727" s="9"/>
    </row>
    <row r="14728" s="105" customFormat="1" spans="9:12">
      <c r="I14728" s="225"/>
      <c r="K14728" s="9"/>
      <c r="L14728" s="9"/>
    </row>
    <row r="14729" s="105" customFormat="1" spans="9:12">
      <c r="I14729" s="225"/>
      <c r="K14729" s="9"/>
      <c r="L14729" s="9"/>
    </row>
    <row r="14730" s="105" customFormat="1" spans="9:12">
      <c r="I14730" s="225"/>
      <c r="K14730" s="9"/>
      <c r="L14730" s="9"/>
    </row>
    <row r="14731" s="105" customFormat="1" spans="9:12">
      <c r="I14731" s="225"/>
      <c r="K14731" s="9"/>
      <c r="L14731" s="9"/>
    </row>
    <row r="14732" s="105" customFormat="1" spans="9:12">
      <c r="I14732" s="225"/>
      <c r="K14732" s="9"/>
      <c r="L14732" s="9"/>
    </row>
    <row r="14733" s="105" customFormat="1" spans="9:12">
      <c r="I14733" s="225"/>
      <c r="K14733" s="9"/>
      <c r="L14733" s="9"/>
    </row>
    <row r="14734" s="105" customFormat="1" spans="9:12">
      <c r="I14734" s="225"/>
      <c r="K14734" s="9"/>
      <c r="L14734" s="9"/>
    </row>
    <row r="14735" s="105" customFormat="1" spans="9:12">
      <c r="I14735" s="225"/>
      <c r="K14735" s="9"/>
      <c r="L14735" s="9"/>
    </row>
    <row r="14736" s="105" customFormat="1" spans="9:12">
      <c r="I14736" s="225"/>
      <c r="K14736" s="9"/>
      <c r="L14736" s="9"/>
    </row>
    <row r="14737" s="105" customFormat="1" spans="9:12">
      <c r="I14737" s="225"/>
      <c r="K14737" s="9"/>
      <c r="L14737" s="9"/>
    </row>
    <row r="14738" s="105" customFormat="1" spans="9:12">
      <c r="I14738" s="225"/>
      <c r="K14738" s="9"/>
      <c r="L14738" s="9"/>
    </row>
    <row r="14739" s="105" customFormat="1" spans="9:12">
      <c r="I14739" s="225"/>
      <c r="K14739" s="9"/>
      <c r="L14739" s="9"/>
    </row>
    <row r="14740" s="105" customFormat="1" spans="9:12">
      <c r="I14740" s="225"/>
      <c r="K14740" s="9"/>
      <c r="L14740" s="9"/>
    </row>
    <row r="14741" s="105" customFormat="1" spans="9:12">
      <c r="I14741" s="225"/>
      <c r="K14741" s="9"/>
      <c r="L14741" s="9"/>
    </row>
    <row r="14742" s="105" customFormat="1" spans="9:12">
      <c r="I14742" s="225"/>
      <c r="K14742" s="9"/>
      <c r="L14742" s="9"/>
    </row>
    <row r="14743" s="105" customFormat="1" spans="9:12">
      <c r="I14743" s="225"/>
      <c r="K14743" s="9"/>
      <c r="L14743" s="9"/>
    </row>
    <row r="14744" s="105" customFormat="1" spans="9:12">
      <c r="I14744" s="225"/>
      <c r="K14744" s="9"/>
      <c r="L14744" s="9"/>
    </row>
    <row r="14745" s="105" customFormat="1" spans="9:12">
      <c r="I14745" s="225"/>
      <c r="K14745" s="9"/>
      <c r="L14745" s="9"/>
    </row>
    <row r="14746" s="105" customFormat="1" spans="9:12">
      <c r="I14746" s="225"/>
      <c r="K14746" s="9"/>
      <c r="L14746" s="9"/>
    </row>
    <row r="14747" s="105" customFormat="1" spans="9:12">
      <c r="I14747" s="225"/>
      <c r="K14747" s="9"/>
      <c r="L14747" s="9"/>
    </row>
    <row r="14748" s="105" customFormat="1" spans="9:12">
      <c r="I14748" s="225"/>
      <c r="K14748" s="9"/>
      <c r="L14748" s="9"/>
    </row>
    <row r="14749" s="105" customFormat="1" spans="9:12">
      <c r="I14749" s="225"/>
      <c r="K14749" s="9"/>
      <c r="L14749" s="9"/>
    </row>
    <row r="14750" s="105" customFormat="1" spans="9:12">
      <c r="I14750" s="225"/>
      <c r="K14750" s="9"/>
      <c r="L14750" s="9"/>
    </row>
  </sheetData>
  <mergeCells count="91">
    <mergeCell ref="B3:D3"/>
    <mergeCell ref="H3:J3"/>
    <mergeCell ref="B4:D4"/>
    <mergeCell ref="H4:J4"/>
    <mergeCell ref="B5:D5"/>
    <mergeCell ref="H5:J5"/>
    <mergeCell ref="H6:J6"/>
    <mergeCell ref="H7:J7"/>
    <mergeCell ref="A8:D8"/>
    <mergeCell ref="A11:L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A54:L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A75:L75"/>
    <mergeCell ref="D76:F76"/>
    <mergeCell ref="D77:F77"/>
    <mergeCell ref="D78:F78"/>
    <mergeCell ref="D79:F79"/>
    <mergeCell ref="D82:F82"/>
    <mergeCell ref="D83:F83"/>
    <mergeCell ref="D84:F84"/>
    <mergeCell ref="A9:A10"/>
    <mergeCell ref="B9:B10"/>
    <mergeCell ref="C9:C10"/>
    <mergeCell ref="H9:H10"/>
    <mergeCell ref="I9:I10"/>
    <mergeCell ref="J9:J10"/>
    <mergeCell ref="K9:K10"/>
    <mergeCell ref="L9:L10"/>
    <mergeCell ref="B1:D2"/>
    <mergeCell ref="D9:G1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A270"/>
  <sheetViews>
    <sheetView zoomScale="40" zoomScaleNormal="40" workbookViewId="0">
      <selection activeCell="G1" sqref="G$1:G$1048576"/>
    </sheetView>
  </sheetViews>
  <sheetFormatPr defaultColWidth="9" defaultRowHeight="16.8"/>
  <cols>
    <col min="1" max="1" width="24.3333333333333" style="3" customWidth="1"/>
    <col min="2" max="2" width="38" style="3" customWidth="1"/>
    <col min="3" max="3" width="55" style="3" customWidth="1"/>
    <col min="4" max="4" width="72.8796296296296" style="3" customWidth="1"/>
    <col min="5" max="5" width="0.37962962962963" style="3" hidden="1" customWidth="1"/>
    <col min="6" max="6" width="16" style="3" customWidth="1"/>
    <col min="7" max="7" width="14" style="8" customWidth="1"/>
    <col min="8" max="8" width="120" style="8" customWidth="1"/>
    <col min="9" max="9" width="29.1666666666667" style="3" customWidth="1"/>
    <col min="10" max="10" width="29.1666666666667" style="9" customWidth="1"/>
    <col min="11" max="16384" width="9" style="3"/>
  </cols>
  <sheetData>
    <row r="1" s="1" customFormat="1" ht="12.75" customHeight="1" spans="1:10">
      <c r="A1" s="10" t="s">
        <v>20</v>
      </c>
      <c r="B1" s="11"/>
      <c r="E1" s="12"/>
      <c r="F1" s="12"/>
      <c r="G1" s="12"/>
      <c r="H1" s="12"/>
      <c r="I1" s="13"/>
      <c r="J1" s="14"/>
    </row>
    <row r="2" s="1" customFormat="1" ht="11.25" customHeight="1" spans="1:10">
      <c r="A2" s="13"/>
      <c r="B2" s="15"/>
      <c r="C2" s="15"/>
      <c r="D2" s="15"/>
      <c r="E2" s="12"/>
      <c r="F2" s="12"/>
      <c r="G2" s="12"/>
      <c r="H2" s="12"/>
      <c r="I2" s="13"/>
      <c r="J2" s="14"/>
    </row>
    <row r="3" s="1" customFormat="1" ht="15" customHeight="1" spans="1:10">
      <c r="A3" s="16" t="s">
        <v>415</v>
      </c>
      <c r="B3" s="17" t="s">
        <v>22</v>
      </c>
      <c r="C3" s="18"/>
      <c r="D3" s="19"/>
      <c r="E3" s="20"/>
      <c r="F3" s="12"/>
      <c r="I3" s="13"/>
      <c r="J3" s="14"/>
    </row>
    <row r="4" s="1" customFormat="1" spans="1:10">
      <c r="A4" s="21" t="s">
        <v>416</v>
      </c>
      <c r="B4" s="22" t="s">
        <v>24</v>
      </c>
      <c r="C4" s="23"/>
      <c r="D4" s="24"/>
      <c r="E4" s="20"/>
      <c r="F4" s="12"/>
      <c r="I4" s="13"/>
      <c r="J4" s="14"/>
    </row>
    <row r="5" s="2" customFormat="1" ht="26.45" customHeight="1" spans="1:10">
      <c r="A5" s="21" t="s">
        <v>25</v>
      </c>
      <c r="B5" s="25" t="s">
        <v>1248</v>
      </c>
      <c r="C5" s="23"/>
      <c r="D5" s="24"/>
      <c r="E5" s="26"/>
      <c r="F5" s="27"/>
      <c r="I5" s="27"/>
    </row>
    <row r="6" s="1" customFormat="1" ht="15" customHeight="1" spans="1:10">
      <c r="A6" s="28" t="s">
        <v>7</v>
      </c>
      <c r="B6" s="29">
        <f>COUNTIF(G12:G96,"Pass")</f>
        <v>47</v>
      </c>
      <c r="C6" s="29" t="s">
        <v>9</v>
      </c>
      <c r="D6" s="30">
        <f>COUNTIF(G12:G96,"Pending")</f>
        <v>0</v>
      </c>
      <c r="E6" s="12"/>
      <c r="F6" s="31" t="s">
        <v>1249</v>
      </c>
      <c r="I6" s="13"/>
      <c r="J6" s="14"/>
    </row>
    <row r="7" s="1" customFormat="1" ht="15" customHeight="1" spans="1:10">
      <c r="A7" s="32" t="s">
        <v>8</v>
      </c>
      <c r="B7" s="33">
        <f>COUNTIF(G12:G96,"Fail")</f>
        <v>23</v>
      </c>
      <c r="C7" s="34" t="s">
        <v>28</v>
      </c>
      <c r="D7" s="35">
        <f>COUNTIF(A12:A96,"*TC*")</f>
        <v>70</v>
      </c>
      <c r="E7" s="36"/>
      <c r="F7" s="12"/>
      <c r="I7" s="13"/>
      <c r="J7" s="14"/>
    </row>
    <row r="8" s="1" customFormat="1" ht="15" customHeight="1" spans="1:10">
      <c r="A8" s="37"/>
      <c r="B8" s="38"/>
      <c r="C8" s="38"/>
      <c r="D8" s="3"/>
      <c r="E8" s="12"/>
      <c r="F8" s="12"/>
      <c r="G8" s="12"/>
      <c r="H8" s="12"/>
      <c r="I8" s="13"/>
      <c r="J8" s="14"/>
    </row>
    <row r="9" s="1" customFormat="1" ht="30" customHeight="1" spans="1:10">
      <c r="A9" s="39" t="s">
        <v>29</v>
      </c>
      <c r="B9" s="39" t="s">
        <v>30</v>
      </c>
      <c r="C9" s="39" t="s">
        <v>31</v>
      </c>
      <c r="D9" s="39" t="s">
        <v>32</v>
      </c>
      <c r="E9" s="39"/>
      <c r="F9" s="39" t="s">
        <v>33</v>
      </c>
      <c r="G9" s="39" t="s">
        <v>34</v>
      </c>
      <c r="H9" s="40" t="s">
        <v>35</v>
      </c>
      <c r="I9" s="41" t="s">
        <v>36</v>
      </c>
      <c r="J9" s="41" t="s">
        <v>37</v>
      </c>
    </row>
    <row r="10" s="1" customFormat="1" ht="12" customHeight="1" spans="1:10">
      <c r="A10" s="8"/>
      <c r="B10" s="8"/>
      <c r="C10" s="8"/>
      <c r="D10" s="8"/>
      <c r="E10" s="8"/>
      <c r="F10" s="8"/>
      <c r="G10" s="8"/>
      <c r="H10" s="42"/>
      <c r="I10" s="41"/>
      <c r="J10" s="43"/>
    </row>
    <row r="11" s="1" customFormat="1" ht="27.95" customHeight="1" spans="1:10">
      <c r="A11" s="44" t="s">
        <v>1250</v>
      </c>
      <c r="B11" s="45"/>
      <c r="C11" s="45"/>
      <c r="D11" s="45"/>
      <c r="E11" s="45"/>
      <c r="F11" s="45"/>
      <c r="G11" s="45"/>
      <c r="H11" s="45"/>
      <c r="I11" s="45"/>
      <c r="J11" s="46"/>
    </row>
    <row r="12" s="3" customFormat="1" ht="50.4" spans="1:10">
      <c r="A12" s="47" t="s">
        <v>39</v>
      </c>
      <c r="B12" s="48" t="s">
        <v>1251</v>
      </c>
      <c r="C12" s="48" t="s">
        <v>1252</v>
      </c>
      <c r="D12" s="49" t="s">
        <v>1253</v>
      </c>
      <c r="E12" s="50"/>
      <c r="F12" s="51">
        <v>46175</v>
      </c>
      <c r="G12" s="52" t="s">
        <v>7</v>
      </c>
      <c r="H12" s="53"/>
      <c r="I12" s="54"/>
      <c r="J12" s="5" t="s">
        <v>1254</v>
      </c>
    </row>
    <row r="13" s="4" customFormat="1" ht="50.4" spans="1:10">
      <c r="A13" s="47" t="s">
        <v>44</v>
      </c>
      <c r="B13" s="48" t="s">
        <v>1255</v>
      </c>
      <c r="C13" s="48" t="s">
        <v>1256</v>
      </c>
      <c r="D13" s="49" t="s">
        <v>1257</v>
      </c>
      <c r="E13" s="55"/>
      <c r="F13" s="51">
        <v>46175</v>
      </c>
      <c r="G13" s="52" t="s">
        <v>7</v>
      </c>
      <c r="H13" s="55"/>
      <c r="I13" s="5"/>
      <c r="J13" s="5" t="s">
        <v>1254</v>
      </c>
    </row>
    <row r="14" s="4" customFormat="1" ht="50.4" spans="1:10">
      <c r="A14" s="47" t="s">
        <v>48</v>
      </c>
      <c r="B14" s="48" t="s">
        <v>1258</v>
      </c>
      <c r="C14" s="48" t="s">
        <v>1259</v>
      </c>
      <c r="D14" s="49" t="s">
        <v>1260</v>
      </c>
      <c r="E14" s="56"/>
      <c r="F14" s="51">
        <v>46175</v>
      </c>
      <c r="G14" s="57" t="s">
        <v>7</v>
      </c>
      <c r="H14" s="56"/>
      <c r="I14" s="5"/>
      <c r="J14" s="5" t="s">
        <v>1254</v>
      </c>
    </row>
    <row r="15" s="4" customFormat="1" ht="67.2" spans="1:10">
      <c r="A15" s="47" t="s">
        <v>52</v>
      </c>
      <c r="B15" s="48" t="s">
        <v>1261</v>
      </c>
      <c r="C15" s="48" t="s">
        <v>1262</v>
      </c>
      <c r="D15" s="49" t="s">
        <v>1263</v>
      </c>
      <c r="E15" s="56"/>
      <c r="F15" s="51">
        <v>46175</v>
      </c>
      <c r="G15" s="58" t="s">
        <v>8</v>
      </c>
      <c r="H15" s="56" t="s">
        <v>1264</v>
      </c>
      <c r="I15" s="59" t="s">
        <v>1265</v>
      </c>
      <c r="J15" s="5" t="s">
        <v>1254</v>
      </c>
    </row>
    <row r="16" s="4" customFormat="1" ht="50.4" spans="1:10">
      <c r="A16" s="47" t="s">
        <v>56</v>
      </c>
      <c r="B16" s="48" t="s">
        <v>1266</v>
      </c>
      <c r="C16" s="48" t="s">
        <v>1267</v>
      </c>
      <c r="D16" s="49" t="s">
        <v>1268</v>
      </c>
      <c r="E16" s="55"/>
      <c r="F16" s="51">
        <v>46175</v>
      </c>
      <c r="G16" s="52" t="s">
        <v>7</v>
      </c>
      <c r="H16" s="55"/>
      <c r="I16" s="5"/>
      <c r="J16" s="5" t="s">
        <v>1254</v>
      </c>
    </row>
    <row r="17" s="5" customFormat="1" ht="60" customHeight="1" spans="1:1024 1025:1769">
      <c r="A17" s="47" t="s">
        <v>60</v>
      </c>
      <c r="B17" s="48" t="s">
        <v>1269</v>
      </c>
      <c r="C17" s="48" t="s">
        <v>1270</v>
      </c>
      <c r="D17" s="49" t="s">
        <v>1271</v>
      </c>
      <c r="E17" s="56"/>
      <c r="F17" s="51">
        <v>46175</v>
      </c>
      <c r="G17" s="57" t="s">
        <v>7</v>
      </c>
      <c r="H17" s="56"/>
      <c r="J17" s="5" t="s">
        <v>1254</v>
      </c>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c r="VL17" s="4"/>
      <c r="VM17" s="4"/>
      <c r="VN17" s="4"/>
      <c r="VO17" s="4"/>
      <c r="VP17" s="4"/>
      <c r="VQ17" s="4"/>
      <c r="VR17" s="4"/>
      <c r="VS17" s="4"/>
      <c r="VT17" s="4"/>
      <c r="VU17" s="4"/>
      <c r="VV17" s="4"/>
      <c r="VW17" s="4"/>
      <c r="VX17" s="4"/>
      <c r="VY17" s="4"/>
      <c r="VZ17" s="4"/>
      <c r="WA17" s="4"/>
      <c r="WB17" s="4"/>
      <c r="WC17" s="4"/>
      <c r="WD17" s="4"/>
      <c r="WE17" s="4"/>
      <c r="WF17" s="4"/>
      <c r="WG17" s="4"/>
      <c r="WH17" s="4"/>
      <c r="WI17" s="4"/>
      <c r="WJ17" s="4"/>
      <c r="WK17" s="4"/>
      <c r="WL17" s="4"/>
      <c r="WM17" s="4"/>
      <c r="WN17" s="4"/>
      <c r="WO17" s="4"/>
      <c r="WP17" s="4"/>
      <c r="WQ17" s="4"/>
      <c r="WR17" s="4"/>
      <c r="WS17" s="4"/>
      <c r="WT17" s="4"/>
      <c r="WU17" s="4"/>
      <c r="WV17" s="4"/>
      <c r="WW17" s="4"/>
      <c r="WX17" s="4"/>
      <c r="WY17" s="4"/>
      <c r="WZ17" s="4"/>
      <c r="XA17" s="4"/>
      <c r="XB17" s="4"/>
      <c r="XC17" s="4"/>
      <c r="XD17" s="4"/>
      <c r="XE17" s="4"/>
      <c r="XF17" s="4"/>
      <c r="XG17" s="4"/>
      <c r="XH17" s="4"/>
      <c r="XI17" s="4"/>
      <c r="XJ17" s="4"/>
      <c r="XK17" s="4"/>
      <c r="XL17" s="4"/>
      <c r="XM17" s="4"/>
      <c r="XN17" s="4"/>
      <c r="XO17" s="4"/>
      <c r="XP17" s="4"/>
      <c r="XQ17" s="4"/>
      <c r="XR17" s="4"/>
      <c r="XS17" s="4"/>
      <c r="XT17" s="4"/>
      <c r="XU17" s="4"/>
      <c r="XV17" s="4"/>
      <c r="XW17" s="4"/>
      <c r="XX17" s="4"/>
      <c r="XY17" s="4"/>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c r="ZB17" s="4"/>
      <c r="ZC17" s="4"/>
      <c r="ZD17" s="4"/>
      <c r="ZE17" s="4"/>
      <c r="ZF17" s="4"/>
      <c r="ZG17" s="4"/>
      <c r="ZH17" s="4"/>
      <c r="ZI17" s="4"/>
      <c r="ZJ17" s="4"/>
      <c r="ZK17" s="4"/>
      <c r="ZL17" s="4"/>
      <c r="ZM17" s="4"/>
      <c r="ZN17" s="4"/>
      <c r="ZO17" s="4"/>
      <c r="ZP17" s="4"/>
      <c r="ZQ17" s="4"/>
      <c r="ZR17" s="4"/>
      <c r="ZS17" s="4"/>
      <c r="ZT17" s="4"/>
      <c r="ZU17" s="4"/>
      <c r="ZV17" s="4"/>
      <c r="ZW17" s="4"/>
      <c r="ZX17" s="4"/>
      <c r="ZY17" s="4"/>
      <c r="ZZ17" s="4"/>
      <c r="AAA17" s="4"/>
      <c r="AAB17" s="4"/>
      <c r="AAC17" s="4"/>
      <c r="AAD17" s="4"/>
      <c r="AAE17" s="4"/>
      <c r="AAF17" s="4"/>
      <c r="AAG17" s="4"/>
      <c r="AAH17" s="4"/>
      <c r="AAI17" s="4"/>
      <c r="AAJ17" s="4"/>
      <c r="AAK17" s="4"/>
      <c r="AAL17" s="4"/>
      <c r="AAM17" s="4"/>
      <c r="AAN17" s="4"/>
      <c r="AAO17" s="4"/>
      <c r="AAP17" s="4"/>
      <c r="AAQ17" s="4"/>
      <c r="AAR17" s="4"/>
      <c r="AAS17" s="4"/>
      <c r="AAT17" s="4"/>
      <c r="AAU17" s="4"/>
      <c r="AAV17" s="4"/>
      <c r="AAW17" s="4"/>
      <c r="AAX17" s="4"/>
      <c r="AAY17" s="4"/>
      <c r="AAZ17" s="4"/>
      <c r="ABA17" s="4"/>
      <c r="ABB17" s="4"/>
      <c r="ABC17" s="4"/>
      <c r="ABD17" s="4"/>
      <c r="ABE17" s="4"/>
      <c r="ABF17" s="4"/>
      <c r="ABG17" s="4"/>
      <c r="ABH17" s="4"/>
      <c r="ABI17" s="4"/>
      <c r="ABJ17" s="4"/>
      <c r="ABK17" s="4"/>
      <c r="ABL17" s="4"/>
      <c r="ABM17" s="4"/>
      <c r="ABN17" s="4"/>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c r="ACX17" s="4"/>
      <c r="ACY17" s="4"/>
      <c r="ACZ17" s="4"/>
      <c r="ADA17" s="4"/>
      <c r="ADB17" s="4"/>
      <c r="ADC17" s="4"/>
      <c r="ADD17" s="4"/>
      <c r="ADE17" s="4"/>
      <c r="ADF17" s="4"/>
      <c r="ADG17" s="4"/>
      <c r="ADH17" s="4"/>
      <c r="ADI17" s="4"/>
      <c r="ADJ17" s="4"/>
      <c r="ADK17" s="4"/>
      <c r="ADL17" s="4"/>
      <c r="ADM17" s="4"/>
      <c r="ADN17" s="4"/>
      <c r="ADO17" s="4"/>
      <c r="ADP17" s="4"/>
      <c r="ADQ17" s="4"/>
      <c r="ADR17" s="4"/>
      <c r="ADS17" s="4"/>
      <c r="ADT17" s="4"/>
      <c r="ADU17" s="4"/>
      <c r="ADV17" s="4"/>
      <c r="ADW17" s="4"/>
      <c r="ADX17" s="4"/>
      <c r="ADY17" s="4"/>
      <c r="ADZ17" s="4"/>
      <c r="AEA17" s="4"/>
      <c r="AEB17" s="4"/>
      <c r="AEC17" s="4"/>
      <c r="AED17" s="4"/>
      <c r="AEE17" s="4"/>
      <c r="AEF17" s="4"/>
      <c r="AEG17" s="4"/>
      <c r="AEH17" s="4"/>
      <c r="AEI17" s="4"/>
      <c r="AEJ17" s="4"/>
      <c r="AEK17" s="4"/>
      <c r="AEL17" s="4"/>
      <c r="AEM17" s="4"/>
      <c r="AEN17" s="4"/>
      <c r="AEO17" s="4"/>
      <c r="AEP17" s="4"/>
      <c r="AEQ17" s="4"/>
      <c r="AER17" s="4"/>
      <c r="AES17" s="4"/>
      <c r="AET17" s="4"/>
      <c r="AEU17" s="4"/>
      <c r="AEV17" s="4"/>
      <c r="AEW17" s="4"/>
      <c r="AEX17" s="4"/>
      <c r="AEY17" s="4"/>
      <c r="AEZ17" s="4"/>
      <c r="AFA17" s="4"/>
      <c r="AFB17" s="4"/>
      <c r="AFC17" s="4"/>
      <c r="AFD17" s="4"/>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c r="AGE17" s="4"/>
      <c r="AGF17" s="4"/>
      <c r="AGG17" s="4"/>
      <c r="AGH17" s="4"/>
      <c r="AGI17" s="4"/>
      <c r="AGJ17" s="4"/>
      <c r="AGK17" s="4"/>
      <c r="AGL17" s="4"/>
      <c r="AGM17" s="4"/>
      <c r="AGN17" s="4"/>
      <c r="AGO17" s="4"/>
      <c r="AGP17" s="4"/>
      <c r="AGQ17" s="4"/>
      <c r="AGR17" s="4"/>
      <c r="AGS17" s="4"/>
      <c r="AGT17" s="4"/>
      <c r="AGU17" s="4"/>
      <c r="AGV17" s="4"/>
      <c r="AGW17" s="4"/>
      <c r="AGX17" s="4"/>
      <c r="AGY17" s="4"/>
      <c r="AGZ17" s="4"/>
      <c r="AHA17" s="4"/>
      <c r="AHB17" s="4"/>
      <c r="AHC17" s="4"/>
      <c r="AHD17" s="4"/>
      <c r="AHE17" s="4"/>
      <c r="AHF17" s="4"/>
      <c r="AHG17" s="4"/>
      <c r="AHH17" s="4"/>
      <c r="AHI17" s="4"/>
      <c r="AHJ17" s="4"/>
      <c r="AHK17" s="4"/>
      <c r="AHL17" s="4"/>
      <c r="AHM17" s="4"/>
      <c r="AHN17" s="4"/>
      <c r="AHO17" s="4"/>
      <c r="AHP17" s="4"/>
      <c r="AHQ17" s="4"/>
      <c r="AHR17" s="4"/>
      <c r="AHS17" s="4"/>
      <c r="AHT17" s="4"/>
      <c r="AHU17" s="4"/>
      <c r="AHV17" s="4"/>
      <c r="AHW17" s="4"/>
      <c r="AHX17" s="4"/>
      <c r="AHY17" s="4"/>
      <c r="AHZ17" s="4"/>
      <c r="AIA17" s="4"/>
      <c r="AIB17" s="4"/>
      <c r="AIC17" s="4"/>
      <c r="AID17" s="4"/>
      <c r="AIE17" s="4"/>
      <c r="AIF17" s="4"/>
      <c r="AIG17" s="4"/>
      <c r="AIH17" s="4"/>
      <c r="AII17" s="4"/>
      <c r="AIJ17" s="4"/>
      <c r="AIK17" s="4"/>
      <c r="AIL17" s="4"/>
      <c r="AIM17" s="4"/>
      <c r="AIN17" s="4"/>
      <c r="AIO17" s="4"/>
      <c r="AIP17" s="4"/>
      <c r="AIQ17" s="4"/>
      <c r="AIR17" s="4"/>
      <c r="AIS17" s="4"/>
      <c r="AIT17" s="4"/>
      <c r="AIU17" s="4"/>
      <c r="AIV17" s="4"/>
      <c r="AIW17" s="4"/>
      <c r="AIX17" s="4"/>
      <c r="AIY17" s="4"/>
      <c r="AIZ17" s="4"/>
      <c r="AJA17" s="4"/>
      <c r="AJB17" s="4"/>
      <c r="AJC17" s="4"/>
      <c r="AJD17" s="4"/>
      <c r="AJE17" s="4"/>
      <c r="AJF17" s="4"/>
      <c r="AJG17" s="4"/>
      <c r="AJH17" s="4"/>
      <c r="AJI17" s="4"/>
      <c r="AJJ17" s="4"/>
      <c r="AJK17" s="4"/>
      <c r="AJL17" s="4"/>
      <c r="AJM17" s="4"/>
      <c r="AJN17" s="4"/>
      <c r="AJO17" s="4"/>
      <c r="AJP17" s="4"/>
      <c r="AJQ17" s="4"/>
      <c r="AJR17" s="4"/>
      <c r="AJS17" s="4"/>
      <c r="AJT17" s="4"/>
      <c r="AJU17" s="4"/>
      <c r="AJV17" s="4"/>
      <c r="AJW17" s="4"/>
      <c r="AJX17" s="4"/>
      <c r="AJY17" s="4"/>
      <c r="AJZ17" s="4"/>
      <c r="AKA17" s="4"/>
      <c r="AKB17" s="4"/>
      <c r="AKC17" s="4"/>
      <c r="AKD17" s="4"/>
      <c r="AKE17" s="4"/>
      <c r="AKF17" s="4"/>
      <c r="AKG17" s="4"/>
      <c r="AKH17" s="4"/>
      <c r="AKI17" s="4"/>
      <c r="AKJ17" s="4"/>
      <c r="AKK17" s="4"/>
      <c r="AKL17" s="4"/>
      <c r="AKM17" s="4"/>
      <c r="AKN17" s="4"/>
      <c r="AKO17" s="4"/>
      <c r="AKP17" s="4"/>
      <c r="AKQ17" s="4"/>
      <c r="AKR17" s="4"/>
      <c r="AKS17" s="4"/>
      <c r="AKT17" s="4"/>
      <c r="AKU17" s="4"/>
      <c r="AKV17" s="4"/>
      <c r="AKW17" s="4"/>
      <c r="AKX17" s="4"/>
      <c r="AKY17" s="4"/>
      <c r="AKZ17" s="4"/>
      <c r="ALA17" s="4"/>
      <c r="ALB17" s="4"/>
      <c r="ALC17" s="4"/>
      <c r="ALD17" s="4"/>
      <c r="ALE17" s="4"/>
      <c r="ALF17" s="4"/>
      <c r="ALG17" s="4"/>
      <c r="ALH17" s="4"/>
      <c r="ALI17" s="4"/>
      <c r="ALJ17" s="4"/>
      <c r="ALK17" s="4"/>
      <c r="ALL17" s="4"/>
      <c r="ALM17" s="4"/>
      <c r="ALN17" s="4"/>
      <c r="ALO17" s="4"/>
      <c r="ALP17" s="4"/>
      <c r="ALQ17" s="4"/>
      <c r="ALR17" s="4"/>
      <c r="ALS17" s="4"/>
      <c r="ALT17" s="4"/>
      <c r="ALU17" s="4"/>
      <c r="ALV17" s="4"/>
      <c r="ALW17" s="4"/>
      <c r="ALX17" s="4"/>
      <c r="ALY17" s="4"/>
      <c r="ALZ17" s="4"/>
      <c r="AMA17" s="4"/>
      <c r="AMB17" s="4"/>
      <c r="AMC17" s="4"/>
      <c r="AMD17" s="4"/>
      <c r="AME17" s="4"/>
      <c r="AMF17" s="4"/>
      <c r="AMG17" s="4"/>
      <c r="AMH17" s="4"/>
      <c r="AMI17" s="4"/>
      <c r="AMJ17" s="4"/>
      <c r="AMK17" s="4"/>
      <c r="AML17" s="4"/>
      <c r="AMM17" s="4"/>
      <c r="AMN17" s="4"/>
      <c r="AMO17" s="4"/>
      <c r="AMP17" s="4"/>
      <c r="AMQ17" s="4"/>
      <c r="AMR17" s="4"/>
      <c r="AMS17" s="4"/>
      <c r="AMT17" s="4"/>
      <c r="AMU17" s="4"/>
      <c r="AMV17" s="4"/>
      <c r="AMW17" s="4"/>
      <c r="AMX17" s="4"/>
      <c r="AMY17" s="4"/>
      <c r="AMZ17" s="4"/>
      <c r="ANA17" s="4"/>
      <c r="ANB17" s="4"/>
      <c r="ANC17" s="4"/>
      <c r="AND17" s="4"/>
      <c r="ANE17" s="4"/>
      <c r="ANF17" s="4"/>
      <c r="ANG17" s="4"/>
      <c r="ANH17" s="4"/>
      <c r="ANI17" s="4"/>
      <c r="ANJ17" s="4"/>
      <c r="ANK17" s="4"/>
      <c r="ANL17" s="4"/>
      <c r="ANM17" s="4"/>
      <c r="ANN17" s="4"/>
      <c r="ANO17" s="4"/>
      <c r="ANP17" s="4"/>
      <c r="ANQ17" s="4"/>
      <c r="ANR17" s="4"/>
      <c r="ANS17" s="4"/>
      <c r="ANT17" s="4"/>
      <c r="ANU17" s="4"/>
      <c r="ANV17" s="4"/>
      <c r="ANW17" s="4"/>
      <c r="ANX17" s="4"/>
      <c r="ANY17" s="4"/>
      <c r="ANZ17" s="4"/>
      <c r="AOA17" s="4"/>
      <c r="AOB17" s="4"/>
      <c r="AOC17" s="4"/>
      <c r="AOD17" s="4"/>
      <c r="AOE17" s="4"/>
      <c r="AOF17" s="4"/>
      <c r="AOG17" s="4"/>
      <c r="AOH17" s="4"/>
      <c r="AOI17" s="4"/>
      <c r="AOJ17" s="4"/>
      <c r="AOK17" s="4"/>
      <c r="AOL17" s="4"/>
      <c r="AOM17" s="4"/>
      <c r="AON17" s="4"/>
      <c r="AOO17" s="4"/>
      <c r="AOP17" s="4"/>
      <c r="AOQ17" s="4"/>
      <c r="AOR17" s="4"/>
      <c r="AOS17" s="4"/>
      <c r="AOT17" s="4"/>
      <c r="AOU17" s="4"/>
      <c r="AOV17" s="4"/>
      <c r="AOW17" s="4"/>
      <c r="AOX17" s="4"/>
      <c r="AOY17" s="4"/>
      <c r="AOZ17" s="4"/>
      <c r="APA17" s="4"/>
      <c r="APB17" s="4"/>
      <c r="APC17" s="4"/>
      <c r="APD17" s="4"/>
      <c r="APE17" s="4"/>
      <c r="APF17" s="4"/>
      <c r="APG17" s="4"/>
      <c r="APH17" s="4"/>
      <c r="API17" s="4"/>
      <c r="APJ17" s="4"/>
      <c r="APK17" s="4"/>
      <c r="APL17" s="4"/>
      <c r="APM17" s="4"/>
      <c r="APN17" s="4"/>
      <c r="APO17" s="4"/>
      <c r="APP17" s="4"/>
      <c r="APQ17" s="4"/>
      <c r="APR17" s="4"/>
      <c r="APS17" s="4"/>
      <c r="APT17" s="4"/>
      <c r="APU17" s="4"/>
      <c r="APV17" s="4"/>
      <c r="APW17" s="4"/>
      <c r="APX17" s="4"/>
      <c r="APY17" s="4"/>
      <c r="APZ17" s="4"/>
      <c r="AQA17" s="4"/>
      <c r="AQB17" s="4"/>
      <c r="AQC17" s="4"/>
      <c r="AQD17" s="4"/>
      <c r="AQE17" s="4"/>
      <c r="AQF17" s="4"/>
      <c r="AQG17" s="4"/>
      <c r="AQH17" s="4"/>
      <c r="AQI17" s="4"/>
      <c r="AQJ17" s="4"/>
      <c r="AQK17" s="4"/>
      <c r="AQL17" s="4"/>
      <c r="AQM17" s="4"/>
      <c r="AQN17" s="4"/>
      <c r="AQO17" s="4"/>
      <c r="AQP17" s="4"/>
      <c r="AQQ17" s="4"/>
      <c r="AQR17" s="4"/>
      <c r="AQS17" s="4"/>
      <c r="AQT17" s="4"/>
      <c r="AQU17" s="4"/>
      <c r="AQV17" s="4"/>
      <c r="AQW17" s="4"/>
      <c r="AQX17" s="4"/>
      <c r="AQY17" s="4"/>
      <c r="AQZ17" s="4"/>
      <c r="ARA17" s="4"/>
      <c r="ARB17" s="4"/>
      <c r="ARC17" s="4"/>
      <c r="ARD17" s="4"/>
      <c r="ARE17" s="4"/>
      <c r="ARF17" s="4"/>
      <c r="ARG17" s="4"/>
      <c r="ARH17" s="4"/>
      <c r="ARI17" s="4"/>
      <c r="ARJ17" s="4"/>
      <c r="ARK17" s="4"/>
      <c r="ARL17" s="4"/>
      <c r="ARM17" s="4"/>
      <c r="ARN17" s="4"/>
      <c r="ARO17" s="4"/>
      <c r="ARP17" s="4"/>
      <c r="ARQ17" s="4"/>
      <c r="ARR17" s="4"/>
      <c r="ARS17" s="4"/>
      <c r="ART17" s="4"/>
      <c r="ARU17" s="4"/>
      <c r="ARV17" s="4"/>
      <c r="ARW17" s="4"/>
      <c r="ARX17" s="4"/>
      <c r="ARY17" s="4"/>
      <c r="ARZ17" s="4"/>
      <c r="ASA17" s="4"/>
      <c r="ASB17" s="4"/>
      <c r="ASC17" s="4"/>
      <c r="ASD17" s="4"/>
      <c r="ASE17" s="4"/>
      <c r="ASF17" s="4"/>
      <c r="ASG17" s="4"/>
      <c r="ASH17" s="4"/>
      <c r="ASI17" s="4"/>
      <c r="ASJ17" s="4"/>
      <c r="ASK17" s="4"/>
      <c r="ASL17" s="4"/>
      <c r="ASM17" s="4"/>
      <c r="ASN17" s="4"/>
      <c r="ASO17" s="4"/>
      <c r="ASP17" s="4"/>
      <c r="ASQ17" s="4"/>
      <c r="ASR17" s="4"/>
      <c r="ASS17" s="4"/>
      <c r="AST17" s="4"/>
      <c r="ASU17" s="4"/>
      <c r="ASV17" s="4"/>
      <c r="ASW17" s="4"/>
      <c r="ASX17" s="4"/>
      <c r="ASY17" s="4"/>
      <c r="ASZ17" s="4"/>
      <c r="ATA17" s="4"/>
      <c r="ATB17" s="4"/>
      <c r="ATC17" s="4"/>
      <c r="ATD17" s="4"/>
      <c r="ATE17" s="4"/>
      <c r="ATF17" s="4"/>
      <c r="ATG17" s="4"/>
      <c r="ATH17" s="4"/>
      <c r="ATI17" s="4"/>
      <c r="ATJ17" s="4"/>
      <c r="ATK17" s="4"/>
      <c r="ATL17" s="4"/>
      <c r="ATM17" s="4"/>
      <c r="ATN17" s="4"/>
      <c r="ATO17" s="4"/>
      <c r="ATP17" s="4"/>
      <c r="ATQ17" s="4"/>
      <c r="ATR17" s="4"/>
      <c r="ATS17" s="4"/>
      <c r="ATT17" s="4"/>
      <c r="ATU17" s="4"/>
      <c r="ATV17" s="4"/>
      <c r="ATW17" s="4"/>
      <c r="ATX17" s="4"/>
      <c r="ATY17" s="4"/>
      <c r="ATZ17" s="4"/>
      <c r="AUA17" s="4"/>
      <c r="AUB17" s="4"/>
      <c r="AUC17" s="4"/>
      <c r="AUD17" s="4"/>
      <c r="AUE17" s="4"/>
      <c r="AUF17" s="4"/>
      <c r="AUG17" s="4"/>
      <c r="AUH17" s="4"/>
      <c r="AUI17" s="4"/>
      <c r="AUJ17" s="4"/>
      <c r="AUK17" s="4"/>
      <c r="AUL17" s="4"/>
      <c r="AUM17" s="4"/>
      <c r="AUN17" s="4"/>
      <c r="AUO17" s="4"/>
      <c r="AUP17" s="4"/>
      <c r="AUQ17" s="4"/>
      <c r="AUR17" s="4"/>
      <c r="AUS17" s="4"/>
      <c r="AUT17" s="4"/>
      <c r="AUU17" s="4"/>
      <c r="AUV17" s="4"/>
      <c r="AUW17" s="4"/>
      <c r="AUX17" s="4"/>
      <c r="AUY17" s="4"/>
      <c r="AUZ17" s="4"/>
      <c r="AVA17" s="4"/>
      <c r="AVB17" s="4"/>
      <c r="AVC17" s="4"/>
      <c r="AVD17" s="4"/>
      <c r="AVE17" s="4"/>
      <c r="AVF17" s="4"/>
      <c r="AVG17" s="4"/>
      <c r="AVH17" s="4"/>
      <c r="AVI17" s="4"/>
      <c r="AVJ17" s="4"/>
      <c r="AVK17" s="4"/>
      <c r="AVL17" s="4"/>
      <c r="AVM17" s="4"/>
      <c r="AVN17" s="4"/>
      <c r="AVO17" s="4"/>
      <c r="AVP17" s="4"/>
      <c r="AVQ17" s="4"/>
      <c r="AVR17" s="4"/>
      <c r="AVS17" s="4"/>
      <c r="AVT17" s="4"/>
      <c r="AVU17" s="4"/>
      <c r="AVV17" s="4"/>
      <c r="AVW17" s="4"/>
      <c r="AVX17" s="4"/>
      <c r="AVY17" s="4"/>
      <c r="AVZ17" s="4"/>
      <c r="AWA17" s="4"/>
      <c r="AWB17" s="4"/>
      <c r="AWC17" s="4"/>
      <c r="AWD17" s="4"/>
      <c r="AWE17" s="4"/>
      <c r="AWF17" s="4"/>
      <c r="AWG17" s="4"/>
      <c r="AWH17" s="4"/>
      <c r="AWI17" s="4"/>
      <c r="AWJ17" s="4"/>
      <c r="AWK17" s="4"/>
      <c r="AWL17" s="4"/>
      <c r="AWM17" s="4"/>
      <c r="AWN17" s="4"/>
      <c r="AWO17" s="4"/>
      <c r="AWP17" s="4"/>
      <c r="AWQ17" s="4"/>
      <c r="AWR17" s="4"/>
      <c r="AWS17" s="4"/>
      <c r="AWT17" s="4"/>
      <c r="AWU17" s="4"/>
      <c r="AWV17" s="4"/>
      <c r="AWW17" s="4"/>
      <c r="AWX17" s="4"/>
      <c r="AWY17" s="4"/>
      <c r="AWZ17" s="4"/>
      <c r="AXA17" s="4"/>
      <c r="AXB17" s="4"/>
      <c r="AXC17" s="4"/>
      <c r="AXD17" s="4"/>
      <c r="AXE17" s="4"/>
      <c r="AXF17" s="4"/>
      <c r="AXG17" s="4"/>
      <c r="AXH17" s="4"/>
      <c r="AXI17" s="4"/>
      <c r="AXJ17" s="4"/>
      <c r="AXK17" s="4"/>
      <c r="AXL17" s="4"/>
      <c r="AXM17" s="4"/>
      <c r="AXN17" s="4"/>
      <c r="AXO17" s="4"/>
      <c r="AXP17" s="4"/>
      <c r="AXQ17" s="4"/>
      <c r="AXR17" s="4"/>
      <c r="AXS17" s="4"/>
      <c r="AXT17" s="4"/>
      <c r="AXU17" s="4"/>
      <c r="AXV17" s="4"/>
      <c r="AXW17" s="4"/>
      <c r="AXX17" s="4"/>
      <c r="AXY17" s="4"/>
      <c r="AXZ17" s="4"/>
      <c r="AYA17" s="4"/>
      <c r="AYB17" s="4"/>
      <c r="AYC17" s="4"/>
      <c r="AYD17" s="4"/>
      <c r="AYE17" s="4"/>
      <c r="AYF17" s="4"/>
      <c r="AYG17" s="4"/>
      <c r="AYH17" s="4"/>
      <c r="AYI17" s="4"/>
      <c r="AYJ17" s="4"/>
      <c r="AYK17" s="4"/>
      <c r="AYL17" s="4"/>
      <c r="AYM17" s="4"/>
      <c r="AYN17" s="4"/>
      <c r="AYO17" s="4"/>
      <c r="AYP17" s="4"/>
      <c r="AYQ17" s="4"/>
      <c r="AYR17" s="4"/>
      <c r="AYS17" s="4"/>
      <c r="AYT17" s="4"/>
      <c r="AYU17" s="4"/>
      <c r="AYV17" s="4"/>
      <c r="AYW17" s="4"/>
      <c r="AYX17" s="4"/>
      <c r="AYY17" s="4"/>
      <c r="AYZ17" s="4"/>
      <c r="AZA17" s="4"/>
      <c r="AZB17" s="4"/>
      <c r="AZC17" s="4"/>
      <c r="AZD17" s="4"/>
      <c r="AZE17" s="4"/>
      <c r="AZF17" s="4"/>
      <c r="AZG17" s="4"/>
      <c r="AZH17" s="4"/>
      <c r="AZI17" s="4"/>
      <c r="AZJ17" s="4"/>
      <c r="AZK17" s="4"/>
      <c r="AZL17" s="4"/>
      <c r="AZM17" s="4"/>
      <c r="AZN17" s="4"/>
      <c r="AZO17" s="4"/>
      <c r="AZP17" s="4"/>
      <c r="AZQ17" s="4"/>
      <c r="AZR17" s="4"/>
      <c r="AZS17" s="4"/>
      <c r="AZT17" s="4"/>
      <c r="AZU17" s="4"/>
      <c r="AZV17" s="4"/>
      <c r="AZW17" s="4"/>
      <c r="AZX17" s="4"/>
      <c r="AZY17" s="4"/>
      <c r="AZZ17" s="4"/>
      <c r="BAA17" s="4"/>
      <c r="BAB17" s="4"/>
      <c r="BAC17" s="4"/>
      <c r="BAD17" s="4"/>
      <c r="BAE17" s="4"/>
      <c r="BAF17" s="4"/>
      <c r="BAG17" s="4"/>
      <c r="BAH17" s="4"/>
      <c r="BAI17" s="4"/>
      <c r="BAJ17" s="4"/>
      <c r="BAK17" s="4"/>
      <c r="BAL17" s="4"/>
      <c r="BAM17" s="4"/>
      <c r="BAN17" s="4"/>
      <c r="BAO17" s="4"/>
      <c r="BAP17" s="4"/>
      <c r="BAQ17" s="4"/>
      <c r="BAR17" s="4"/>
      <c r="BAS17" s="4"/>
      <c r="BAT17" s="4"/>
      <c r="BAU17" s="4"/>
      <c r="BAV17" s="4"/>
      <c r="BAW17" s="4"/>
      <c r="BAX17" s="4"/>
      <c r="BAY17" s="4"/>
      <c r="BAZ17" s="4"/>
      <c r="BBA17" s="4"/>
      <c r="BBB17" s="4"/>
      <c r="BBC17" s="4"/>
      <c r="BBD17" s="4"/>
      <c r="BBE17" s="4"/>
      <c r="BBF17" s="4"/>
      <c r="BBG17" s="4"/>
      <c r="BBH17" s="4"/>
      <c r="BBI17" s="4"/>
      <c r="BBJ17" s="4"/>
      <c r="BBK17" s="4"/>
      <c r="BBL17" s="4"/>
      <c r="BBM17" s="4"/>
      <c r="BBN17" s="4"/>
      <c r="BBO17" s="4"/>
      <c r="BBP17" s="4"/>
      <c r="BBQ17" s="4"/>
      <c r="BBR17" s="4"/>
      <c r="BBS17" s="4"/>
      <c r="BBT17" s="4"/>
      <c r="BBU17" s="4"/>
      <c r="BBV17" s="4"/>
      <c r="BBW17" s="4"/>
      <c r="BBX17" s="4"/>
      <c r="BBY17" s="4"/>
      <c r="BBZ17" s="4"/>
      <c r="BCA17" s="4"/>
      <c r="BCB17" s="4"/>
      <c r="BCC17" s="4"/>
      <c r="BCD17" s="4"/>
      <c r="BCE17" s="4"/>
      <c r="BCF17" s="4"/>
      <c r="BCG17" s="4"/>
      <c r="BCH17" s="4"/>
      <c r="BCI17" s="4"/>
      <c r="BCJ17" s="4"/>
      <c r="BCK17" s="4"/>
      <c r="BCL17" s="4"/>
      <c r="BCM17" s="4"/>
      <c r="BCN17" s="4"/>
      <c r="BCO17" s="4"/>
      <c r="BCP17" s="4"/>
      <c r="BCQ17" s="4"/>
      <c r="BCR17" s="4"/>
      <c r="BCS17" s="4"/>
      <c r="BCT17" s="4"/>
      <c r="BCU17" s="4"/>
      <c r="BCV17" s="4"/>
      <c r="BCW17" s="4"/>
      <c r="BCX17" s="4"/>
      <c r="BCY17" s="4"/>
      <c r="BCZ17" s="4"/>
      <c r="BDA17" s="4"/>
      <c r="BDB17" s="4"/>
      <c r="BDC17" s="4"/>
      <c r="BDD17" s="4"/>
      <c r="BDE17" s="4"/>
      <c r="BDF17" s="4"/>
      <c r="BDG17" s="4"/>
      <c r="BDH17" s="4"/>
      <c r="BDI17" s="4"/>
      <c r="BDJ17" s="4"/>
      <c r="BDK17" s="4"/>
      <c r="BDL17" s="4"/>
      <c r="BDM17" s="4"/>
      <c r="BDN17" s="4"/>
      <c r="BDO17" s="4"/>
      <c r="BDP17" s="4"/>
      <c r="BDQ17" s="4"/>
      <c r="BDR17" s="4"/>
      <c r="BDS17" s="4"/>
      <c r="BDT17" s="4"/>
      <c r="BDU17" s="4"/>
      <c r="BDV17" s="4"/>
      <c r="BDW17" s="4"/>
      <c r="BDX17" s="4"/>
      <c r="BDY17" s="4"/>
      <c r="BDZ17" s="4"/>
      <c r="BEA17" s="4"/>
      <c r="BEB17" s="4"/>
      <c r="BEC17" s="4"/>
      <c r="BED17" s="4"/>
      <c r="BEE17" s="4"/>
      <c r="BEF17" s="4"/>
      <c r="BEG17" s="4"/>
      <c r="BEH17" s="4"/>
      <c r="BEI17" s="4"/>
      <c r="BEJ17" s="4"/>
      <c r="BEK17" s="4"/>
      <c r="BEL17" s="4"/>
      <c r="BEM17" s="4"/>
      <c r="BEN17" s="4"/>
      <c r="BEO17" s="4"/>
      <c r="BEP17" s="4"/>
      <c r="BEQ17" s="4"/>
      <c r="BER17" s="4"/>
      <c r="BES17" s="4"/>
      <c r="BET17" s="4"/>
      <c r="BEU17" s="4"/>
      <c r="BEV17" s="4"/>
      <c r="BEW17" s="4"/>
      <c r="BEX17" s="4"/>
      <c r="BEY17" s="4"/>
      <c r="BEZ17" s="4"/>
      <c r="BFA17" s="4"/>
      <c r="BFB17" s="4"/>
      <c r="BFC17" s="4"/>
      <c r="BFD17" s="4"/>
      <c r="BFE17" s="4"/>
      <c r="BFF17" s="4"/>
      <c r="BFG17" s="4"/>
      <c r="BFH17" s="4"/>
      <c r="BFI17" s="4"/>
      <c r="BFJ17" s="4"/>
      <c r="BFK17" s="4"/>
      <c r="BFL17" s="4"/>
      <c r="BFM17" s="4"/>
      <c r="BFN17" s="4"/>
      <c r="BFO17" s="4"/>
      <c r="BFP17" s="4"/>
      <c r="BFQ17" s="4"/>
      <c r="BFR17" s="4"/>
      <c r="BFS17" s="4"/>
      <c r="BFT17" s="4"/>
      <c r="BFU17" s="4"/>
      <c r="BFV17" s="4"/>
      <c r="BFW17" s="4"/>
      <c r="BFX17" s="4"/>
      <c r="BFY17" s="4"/>
      <c r="BFZ17" s="4"/>
      <c r="BGA17" s="4"/>
      <c r="BGB17" s="4"/>
      <c r="BGC17" s="4"/>
      <c r="BGD17" s="4"/>
      <c r="BGE17" s="4"/>
      <c r="BGF17" s="4"/>
      <c r="BGG17" s="4"/>
      <c r="BGH17" s="4"/>
      <c r="BGI17" s="4"/>
      <c r="BGJ17" s="4"/>
      <c r="BGK17" s="4"/>
      <c r="BGL17" s="4"/>
      <c r="BGM17" s="4"/>
      <c r="BGN17" s="4"/>
      <c r="BGO17" s="4"/>
      <c r="BGP17" s="4"/>
      <c r="BGQ17" s="4"/>
      <c r="BGR17" s="4"/>
      <c r="BGS17" s="4"/>
      <c r="BGT17" s="4"/>
      <c r="BGU17" s="4"/>
      <c r="BGV17" s="4"/>
      <c r="BGW17" s="4"/>
      <c r="BGX17" s="4"/>
      <c r="BGY17" s="4"/>
      <c r="BGZ17" s="4"/>
      <c r="BHA17" s="4"/>
      <c r="BHB17" s="4"/>
      <c r="BHC17" s="4"/>
      <c r="BHD17" s="4"/>
      <c r="BHE17" s="4"/>
      <c r="BHF17" s="4"/>
      <c r="BHG17" s="4"/>
      <c r="BHH17" s="4"/>
      <c r="BHI17" s="4"/>
      <c r="BHJ17" s="4"/>
      <c r="BHK17" s="4"/>
      <c r="BHL17" s="4"/>
      <c r="BHM17" s="4"/>
      <c r="BHN17" s="4"/>
      <c r="BHO17" s="4"/>
      <c r="BHP17" s="4"/>
      <c r="BHQ17" s="4"/>
      <c r="BHR17" s="4"/>
      <c r="BHS17" s="4"/>
      <c r="BHT17" s="4"/>
      <c r="BHU17" s="4"/>
      <c r="BHV17" s="4"/>
      <c r="BHW17" s="4"/>
      <c r="BHX17" s="4"/>
      <c r="BHY17" s="4"/>
      <c r="BHZ17" s="4"/>
      <c r="BIA17" s="4"/>
      <c r="BIB17" s="4"/>
      <c r="BIC17" s="4"/>
      <c r="BID17" s="4"/>
      <c r="BIE17" s="4"/>
      <c r="BIF17" s="4"/>
      <c r="BIG17" s="4"/>
      <c r="BIH17" s="4"/>
      <c r="BII17" s="4"/>
      <c r="BIJ17" s="4"/>
      <c r="BIK17" s="4"/>
      <c r="BIL17" s="4"/>
      <c r="BIM17" s="4"/>
      <c r="BIN17" s="4"/>
      <c r="BIO17" s="4"/>
      <c r="BIP17" s="4"/>
      <c r="BIQ17" s="4"/>
      <c r="BIR17" s="4"/>
      <c r="BIS17" s="4"/>
      <c r="BIT17" s="4"/>
      <c r="BIU17" s="4"/>
      <c r="BIV17" s="4"/>
      <c r="BIW17" s="4"/>
      <c r="BIX17" s="4"/>
      <c r="BIY17" s="4"/>
      <c r="BIZ17" s="4"/>
      <c r="BJA17" s="4"/>
      <c r="BJB17" s="4"/>
      <c r="BJC17" s="4"/>
      <c r="BJD17" s="4"/>
      <c r="BJE17" s="4"/>
      <c r="BJF17" s="4"/>
      <c r="BJG17" s="4"/>
      <c r="BJH17" s="4"/>
      <c r="BJI17" s="4"/>
      <c r="BJJ17" s="4"/>
      <c r="BJK17" s="4"/>
      <c r="BJL17" s="4"/>
      <c r="BJM17" s="4"/>
      <c r="BJN17" s="4"/>
      <c r="BJO17" s="4"/>
      <c r="BJP17" s="4"/>
      <c r="BJQ17" s="4"/>
      <c r="BJR17" s="4"/>
      <c r="BJS17" s="4"/>
      <c r="BJT17" s="4"/>
      <c r="BJU17" s="4"/>
      <c r="BJV17" s="4"/>
      <c r="BJW17" s="4"/>
      <c r="BJX17" s="4"/>
      <c r="BJY17" s="4"/>
      <c r="BJZ17" s="4"/>
      <c r="BKA17" s="4"/>
      <c r="BKB17" s="4"/>
      <c r="BKC17" s="4"/>
      <c r="BKD17" s="4"/>
      <c r="BKE17" s="4"/>
      <c r="BKF17" s="4"/>
      <c r="BKG17" s="4"/>
      <c r="BKH17" s="4"/>
      <c r="BKI17" s="4"/>
      <c r="BKJ17" s="4"/>
      <c r="BKK17" s="4"/>
      <c r="BKL17" s="4"/>
      <c r="BKM17" s="4"/>
      <c r="BKN17" s="4"/>
      <c r="BKO17" s="4"/>
      <c r="BKP17" s="4"/>
      <c r="BKQ17" s="4"/>
      <c r="BKR17" s="4"/>
      <c r="BKS17" s="4"/>
      <c r="BKT17" s="4"/>
      <c r="BKU17" s="4"/>
      <c r="BKV17" s="4"/>
      <c r="BKW17" s="4"/>
      <c r="BKX17" s="4"/>
      <c r="BKY17" s="4"/>
      <c r="BKZ17" s="4"/>
      <c r="BLA17" s="4"/>
      <c r="BLB17" s="4"/>
      <c r="BLC17" s="4"/>
      <c r="BLD17" s="4"/>
      <c r="BLE17" s="4"/>
      <c r="BLF17" s="4"/>
      <c r="BLG17" s="4"/>
      <c r="BLH17" s="4"/>
      <c r="BLI17" s="4"/>
      <c r="BLJ17" s="4"/>
      <c r="BLK17" s="4"/>
      <c r="BLL17" s="4"/>
      <c r="BLM17" s="4"/>
      <c r="BLN17" s="4"/>
      <c r="BLO17" s="4"/>
      <c r="BLP17" s="4"/>
      <c r="BLQ17" s="4"/>
      <c r="BLR17" s="4"/>
      <c r="BLS17" s="4"/>
      <c r="BLT17" s="4"/>
      <c r="BLU17" s="4"/>
      <c r="BLV17" s="4"/>
      <c r="BLW17" s="4"/>
      <c r="BLX17" s="4"/>
      <c r="BLY17" s="4"/>
      <c r="BLZ17" s="4"/>
      <c r="BMA17" s="4"/>
      <c r="BMB17" s="4"/>
      <c r="BMC17" s="4"/>
      <c r="BMD17" s="4"/>
      <c r="BME17" s="4"/>
      <c r="BMF17" s="4"/>
      <c r="BMG17" s="4"/>
      <c r="BMH17" s="4"/>
      <c r="BMI17" s="4"/>
      <c r="BMJ17" s="4"/>
      <c r="BMK17" s="4"/>
      <c r="BML17" s="4"/>
      <c r="BMM17" s="4"/>
      <c r="BMN17" s="4"/>
      <c r="BMO17" s="4"/>
      <c r="BMP17" s="4"/>
      <c r="BMQ17" s="4"/>
      <c r="BMR17" s="4"/>
      <c r="BMS17" s="4"/>
      <c r="BMT17" s="4"/>
      <c r="BMU17" s="4"/>
      <c r="BMV17" s="4"/>
      <c r="BMW17" s="4"/>
      <c r="BMX17" s="4"/>
      <c r="BMY17" s="4"/>
      <c r="BMZ17" s="4"/>
      <c r="BNA17" s="4"/>
      <c r="BNB17" s="4"/>
      <c r="BNC17" s="4"/>
      <c r="BND17" s="4"/>
      <c r="BNE17" s="4"/>
      <c r="BNF17" s="4"/>
      <c r="BNG17" s="4"/>
      <c r="BNH17" s="4"/>
      <c r="BNI17" s="4"/>
      <c r="BNJ17" s="4"/>
      <c r="BNK17" s="4"/>
      <c r="BNL17" s="4"/>
      <c r="BNM17" s="4"/>
      <c r="BNN17" s="4"/>
      <c r="BNO17" s="4"/>
      <c r="BNP17" s="4"/>
      <c r="BNQ17" s="4"/>
      <c r="BNR17" s="4"/>
      <c r="BNS17" s="4"/>
      <c r="BNT17" s="4"/>
      <c r="BNU17" s="4"/>
      <c r="BNV17" s="4"/>
      <c r="BNW17" s="4"/>
      <c r="BNX17" s="4"/>
      <c r="BNY17" s="4"/>
      <c r="BNZ17" s="4"/>
      <c r="BOA17" s="4"/>
      <c r="BOB17" s="4"/>
      <c r="BOC17" s="4"/>
      <c r="BOD17" s="4"/>
      <c r="BOE17" s="4"/>
      <c r="BOF17" s="4"/>
      <c r="BOG17" s="4"/>
      <c r="BOH17" s="4"/>
      <c r="BOI17" s="4"/>
      <c r="BOJ17" s="4"/>
      <c r="BOK17" s="4"/>
      <c r="BOL17" s="4"/>
      <c r="BOM17" s="4"/>
      <c r="BON17" s="4"/>
      <c r="BOO17" s="4"/>
      <c r="BOP17" s="4"/>
      <c r="BOQ17" s="4"/>
      <c r="BOR17" s="4"/>
      <c r="BOS17" s="4"/>
      <c r="BOT17" s="4"/>
      <c r="BOU17" s="4"/>
      <c r="BOV17" s="4"/>
      <c r="BOW17" s="4"/>
      <c r="BOX17" s="4"/>
      <c r="BOY17" s="4"/>
      <c r="BOZ17" s="4"/>
      <c r="BPA17" s="60"/>
    </row>
    <row r="18" s="5" customFormat="1" ht="60" customHeight="1" spans="1:1024 1025:1769">
      <c r="A18" s="47" t="s">
        <v>64</v>
      </c>
      <c r="B18" s="48" t="s">
        <v>1272</v>
      </c>
      <c r="C18" s="48" t="s">
        <v>1273</v>
      </c>
      <c r="D18" s="49" t="s">
        <v>1274</v>
      </c>
      <c r="E18" s="56"/>
      <c r="F18" s="51">
        <v>46175</v>
      </c>
      <c r="G18" s="57" t="s">
        <v>7</v>
      </c>
      <c r="H18" s="56"/>
      <c r="J18" s="5" t="s">
        <v>1254</v>
      </c>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c r="VL18" s="4"/>
      <c r="VM18" s="4"/>
      <c r="VN18" s="4"/>
      <c r="VO18" s="4"/>
      <c r="VP18" s="4"/>
      <c r="VQ18" s="4"/>
      <c r="VR18" s="4"/>
      <c r="VS18" s="4"/>
      <c r="VT18" s="4"/>
      <c r="VU18" s="4"/>
      <c r="VV18" s="4"/>
      <c r="VW18" s="4"/>
      <c r="VX18" s="4"/>
      <c r="VY18" s="4"/>
      <c r="VZ18" s="4"/>
      <c r="WA18" s="4"/>
      <c r="WB18" s="4"/>
      <c r="WC18" s="4"/>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c r="XK18" s="4"/>
      <c r="XL18" s="4"/>
      <c r="XM18" s="4"/>
      <c r="XN18" s="4"/>
      <c r="XO18" s="4"/>
      <c r="XP18" s="4"/>
      <c r="XQ18" s="4"/>
      <c r="XR18" s="4"/>
      <c r="XS18" s="4"/>
      <c r="XT18" s="4"/>
      <c r="XU18" s="4"/>
      <c r="XV18" s="4"/>
      <c r="XW18" s="4"/>
      <c r="XX18" s="4"/>
      <c r="XY18" s="4"/>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c r="ZB18" s="4"/>
      <c r="ZC18" s="4"/>
      <c r="ZD18" s="4"/>
      <c r="ZE18" s="4"/>
      <c r="ZF18" s="4"/>
      <c r="ZG18" s="4"/>
      <c r="ZH18" s="4"/>
      <c r="ZI18" s="4"/>
      <c r="ZJ18" s="4"/>
      <c r="ZK18" s="4"/>
      <c r="ZL18" s="4"/>
      <c r="ZM18" s="4"/>
      <c r="ZN18" s="4"/>
      <c r="ZO18" s="4"/>
      <c r="ZP18" s="4"/>
      <c r="ZQ18" s="4"/>
      <c r="ZR18" s="4"/>
      <c r="ZS18" s="4"/>
      <c r="ZT18" s="4"/>
      <c r="ZU18" s="4"/>
      <c r="ZV18" s="4"/>
      <c r="ZW18" s="4"/>
      <c r="ZX18" s="4"/>
      <c r="ZY18" s="4"/>
      <c r="ZZ18" s="4"/>
      <c r="AAA18" s="4"/>
      <c r="AAB18" s="4"/>
      <c r="AAC18" s="4"/>
      <c r="AAD18" s="4"/>
      <c r="AAE18" s="4"/>
      <c r="AAF18" s="4"/>
      <c r="AAG18" s="4"/>
      <c r="AAH18" s="4"/>
      <c r="AAI18" s="4"/>
      <c r="AAJ18" s="4"/>
      <c r="AAK18" s="4"/>
      <c r="AAL18" s="4"/>
      <c r="AAM18" s="4"/>
      <c r="AAN18" s="4"/>
      <c r="AAO18" s="4"/>
      <c r="AAP18" s="4"/>
      <c r="AAQ18" s="4"/>
      <c r="AAR18" s="4"/>
      <c r="AAS18" s="4"/>
      <c r="AAT18" s="4"/>
      <c r="AAU18" s="4"/>
      <c r="AAV18" s="4"/>
      <c r="AAW18" s="4"/>
      <c r="AAX18" s="4"/>
      <c r="AAY18" s="4"/>
      <c r="AAZ18" s="4"/>
      <c r="ABA18" s="4"/>
      <c r="ABB18" s="4"/>
      <c r="ABC18" s="4"/>
      <c r="ABD18" s="4"/>
      <c r="ABE18" s="4"/>
      <c r="ABF18" s="4"/>
      <c r="ABG18" s="4"/>
      <c r="ABH18" s="4"/>
      <c r="ABI18" s="4"/>
      <c r="ABJ18" s="4"/>
      <c r="ABK18" s="4"/>
      <c r="ABL18" s="4"/>
      <c r="ABM18" s="4"/>
      <c r="ABN18" s="4"/>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c r="ACS18" s="4"/>
      <c r="ACT18" s="4"/>
      <c r="ACU18" s="4"/>
      <c r="ACV18" s="4"/>
      <c r="ACW18" s="4"/>
      <c r="ACX18" s="4"/>
      <c r="ACY18" s="4"/>
      <c r="ACZ18" s="4"/>
      <c r="ADA18" s="4"/>
      <c r="ADB18" s="4"/>
      <c r="ADC18" s="4"/>
      <c r="ADD18" s="4"/>
      <c r="ADE18" s="4"/>
      <c r="ADF18" s="4"/>
      <c r="ADG18" s="4"/>
      <c r="ADH18" s="4"/>
      <c r="ADI18" s="4"/>
      <c r="ADJ18" s="4"/>
      <c r="ADK18" s="4"/>
      <c r="ADL18" s="4"/>
      <c r="ADM18" s="4"/>
      <c r="ADN18" s="4"/>
      <c r="ADO18" s="4"/>
      <c r="ADP18" s="4"/>
      <c r="ADQ18" s="4"/>
      <c r="ADR18" s="4"/>
      <c r="ADS18" s="4"/>
      <c r="ADT18" s="4"/>
      <c r="ADU18" s="4"/>
      <c r="ADV18" s="4"/>
      <c r="ADW18" s="4"/>
      <c r="ADX18" s="4"/>
      <c r="ADY18" s="4"/>
      <c r="ADZ18" s="4"/>
      <c r="AEA18" s="4"/>
      <c r="AEB18" s="4"/>
      <c r="AEC18" s="4"/>
      <c r="AED18" s="4"/>
      <c r="AEE18" s="4"/>
      <c r="AEF18" s="4"/>
      <c r="AEG18" s="4"/>
      <c r="AEH18" s="4"/>
      <c r="AEI18" s="4"/>
      <c r="AEJ18" s="4"/>
      <c r="AEK18" s="4"/>
      <c r="AEL18" s="4"/>
      <c r="AEM18" s="4"/>
      <c r="AEN18" s="4"/>
      <c r="AEO18" s="4"/>
      <c r="AEP18" s="4"/>
      <c r="AEQ18" s="4"/>
      <c r="AER18" s="4"/>
      <c r="AES18" s="4"/>
      <c r="AET18" s="4"/>
      <c r="AEU18" s="4"/>
      <c r="AEV18" s="4"/>
      <c r="AEW18" s="4"/>
      <c r="AEX18" s="4"/>
      <c r="AEY18" s="4"/>
      <c r="AEZ18" s="4"/>
      <c r="AFA18" s="4"/>
      <c r="AFB18" s="4"/>
      <c r="AFC18" s="4"/>
      <c r="AFD18" s="4"/>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c r="AGE18" s="4"/>
      <c r="AGF18" s="4"/>
      <c r="AGG18" s="4"/>
      <c r="AGH18" s="4"/>
      <c r="AGI18" s="4"/>
      <c r="AGJ18" s="4"/>
      <c r="AGK18" s="4"/>
      <c r="AGL18" s="4"/>
      <c r="AGM18" s="4"/>
      <c r="AGN18" s="4"/>
      <c r="AGO18" s="4"/>
      <c r="AGP18" s="4"/>
      <c r="AGQ18" s="4"/>
      <c r="AGR18" s="4"/>
      <c r="AGS18" s="4"/>
      <c r="AGT18" s="4"/>
      <c r="AGU18" s="4"/>
      <c r="AGV18" s="4"/>
      <c r="AGW18" s="4"/>
      <c r="AGX18" s="4"/>
      <c r="AGY18" s="4"/>
      <c r="AGZ18" s="4"/>
      <c r="AHA18" s="4"/>
      <c r="AHB18" s="4"/>
      <c r="AHC18" s="4"/>
      <c r="AHD18" s="4"/>
      <c r="AHE18" s="4"/>
      <c r="AHF18" s="4"/>
      <c r="AHG18" s="4"/>
      <c r="AHH18" s="4"/>
      <c r="AHI18" s="4"/>
      <c r="AHJ18" s="4"/>
      <c r="AHK18" s="4"/>
      <c r="AHL18" s="4"/>
      <c r="AHM18" s="4"/>
      <c r="AHN18" s="4"/>
      <c r="AHO18" s="4"/>
      <c r="AHP18" s="4"/>
      <c r="AHQ18" s="4"/>
      <c r="AHR18" s="4"/>
      <c r="AHS18" s="4"/>
      <c r="AHT18" s="4"/>
      <c r="AHU18" s="4"/>
      <c r="AHV18" s="4"/>
      <c r="AHW18" s="4"/>
      <c r="AHX18" s="4"/>
      <c r="AHY18" s="4"/>
      <c r="AHZ18" s="4"/>
      <c r="AIA18" s="4"/>
      <c r="AIB18" s="4"/>
      <c r="AIC18" s="4"/>
      <c r="AID18" s="4"/>
      <c r="AIE18" s="4"/>
      <c r="AIF18" s="4"/>
      <c r="AIG18" s="4"/>
      <c r="AIH18" s="4"/>
      <c r="AII18" s="4"/>
      <c r="AIJ18" s="4"/>
      <c r="AIK18" s="4"/>
      <c r="AIL18" s="4"/>
      <c r="AIM18" s="4"/>
      <c r="AIN18" s="4"/>
      <c r="AIO18" s="4"/>
      <c r="AIP18" s="4"/>
      <c r="AIQ18" s="4"/>
      <c r="AIR18" s="4"/>
      <c r="AIS18" s="4"/>
      <c r="AIT18" s="4"/>
      <c r="AIU18" s="4"/>
      <c r="AIV18" s="4"/>
      <c r="AIW18" s="4"/>
      <c r="AIX18" s="4"/>
      <c r="AIY18" s="4"/>
      <c r="AIZ18" s="4"/>
      <c r="AJA18" s="4"/>
      <c r="AJB18" s="4"/>
      <c r="AJC18" s="4"/>
      <c r="AJD18" s="4"/>
      <c r="AJE18" s="4"/>
      <c r="AJF18" s="4"/>
      <c r="AJG18" s="4"/>
      <c r="AJH18" s="4"/>
      <c r="AJI18" s="4"/>
      <c r="AJJ18" s="4"/>
      <c r="AJK18" s="4"/>
      <c r="AJL18" s="4"/>
      <c r="AJM18" s="4"/>
      <c r="AJN18" s="4"/>
      <c r="AJO18" s="4"/>
      <c r="AJP18" s="4"/>
      <c r="AJQ18" s="4"/>
      <c r="AJR18" s="4"/>
      <c r="AJS18" s="4"/>
      <c r="AJT18" s="4"/>
      <c r="AJU18" s="4"/>
      <c r="AJV18" s="4"/>
      <c r="AJW18" s="4"/>
      <c r="AJX18" s="4"/>
      <c r="AJY18" s="4"/>
      <c r="AJZ18" s="4"/>
      <c r="AKA18" s="4"/>
      <c r="AKB18" s="4"/>
      <c r="AKC18" s="4"/>
      <c r="AKD18" s="4"/>
      <c r="AKE18" s="4"/>
      <c r="AKF18" s="4"/>
      <c r="AKG18" s="4"/>
      <c r="AKH18" s="4"/>
      <c r="AKI18" s="4"/>
      <c r="AKJ18" s="4"/>
      <c r="AKK18" s="4"/>
      <c r="AKL18" s="4"/>
      <c r="AKM18" s="4"/>
      <c r="AKN18" s="4"/>
      <c r="AKO18" s="4"/>
      <c r="AKP18" s="4"/>
      <c r="AKQ18" s="4"/>
      <c r="AKR18" s="4"/>
      <c r="AKS18" s="4"/>
      <c r="AKT18" s="4"/>
      <c r="AKU18" s="4"/>
      <c r="AKV18" s="4"/>
      <c r="AKW18" s="4"/>
      <c r="AKX18" s="4"/>
      <c r="AKY18" s="4"/>
      <c r="AKZ18" s="4"/>
      <c r="ALA18" s="4"/>
      <c r="ALB18" s="4"/>
      <c r="ALC18" s="4"/>
      <c r="ALD18" s="4"/>
      <c r="ALE18" s="4"/>
      <c r="ALF18" s="4"/>
      <c r="ALG18" s="4"/>
      <c r="ALH18" s="4"/>
      <c r="ALI18" s="4"/>
      <c r="ALJ18" s="4"/>
      <c r="ALK18" s="4"/>
      <c r="ALL18" s="4"/>
      <c r="ALM18" s="4"/>
      <c r="ALN18" s="4"/>
      <c r="ALO18" s="4"/>
      <c r="ALP18" s="4"/>
      <c r="ALQ18" s="4"/>
      <c r="ALR18" s="4"/>
      <c r="ALS18" s="4"/>
      <c r="ALT18" s="4"/>
      <c r="ALU18" s="4"/>
      <c r="ALV18" s="4"/>
      <c r="ALW18" s="4"/>
      <c r="ALX18" s="4"/>
      <c r="ALY18" s="4"/>
      <c r="ALZ18" s="4"/>
      <c r="AMA18" s="4"/>
      <c r="AMB18" s="4"/>
      <c r="AMC18" s="4"/>
      <c r="AMD18" s="4"/>
      <c r="AME18" s="4"/>
      <c r="AMF18" s="4"/>
      <c r="AMG18" s="4"/>
      <c r="AMH18" s="4"/>
      <c r="AMI18" s="4"/>
      <c r="AMJ18" s="4"/>
      <c r="AMK18" s="4"/>
      <c r="AML18" s="4"/>
      <c r="AMM18" s="4"/>
      <c r="AMN18" s="4"/>
      <c r="AMO18" s="4"/>
      <c r="AMP18" s="4"/>
      <c r="AMQ18" s="4"/>
      <c r="AMR18" s="4"/>
      <c r="AMS18" s="4"/>
      <c r="AMT18" s="4"/>
      <c r="AMU18" s="4"/>
      <c r="AMV18" s="4"/>
      <c r="AMW18" s="4"/>
      <c r="AMX18" s="4"/>
      <c r="AMY18" s="4"/>
      <c r="AMZ18" s="4"/>
      <c r="ANA18" s="4"/>
      <c r="ANB18" s="4"/>
      <c r="ANC18" s="4"/>
      <c r="AND18" s="4"/>
      <c r="ANE18" s="4"/>
      <c r="ANF18" s="4"/>
      <c r="ANG18" s="4"/>
      <c r="ANH18" s="4"/>
      <c r="ANI18" s="4"/>
      <c r="ANJ18" s="4"/>
      <c r="ANK18" s="4"/>
      <c r="ANL18" s="4"/>
      <c r="ANM18" s="4"/>
      <c r="ANN18" s="4"/>
      <c r="ANO18" s="4"/>
      <c r="ANP18" s="4"/>
      <c r="ANQ18" s="4"/>
      <c r="ANR18" s="4"/>
      <c r="ANS18" s="4"/>
      <c r="ANT18" s="4"/>
      <c r="ANU18" s="4"/>
      <c r="ANV18" s="4"/>
      <c r="ANW18" s="4"/>
      <c r="ANX18" s="4"/>
      <c r="ANY18" s="4"/>
      <c r="ANZ18" s="4"/>
      <c r="AOA18" s="4"/>
      <c r="AOB18" s="4"/>
      <c r="AOC18" s="4"/>
      <c r="AOD18" s="4"/>
      <c r="AOE18" s="4"/>
      <c r="AOF18" s="4"/>
      <c r="AOG18" s="4"/>
      <c r="AOH18" s="4"/>
      <c r="AOI18" s="4"/>
      <c r="AOJ18" s="4"/>
      <c r="AOK18" s="4"/>
      <c r="AOL18" s="4"/>
      <c r="AOM18" s="4"/>
      <c r="AON18" s="4"/>
      <c r="AOO18" s="4"/>
      <c r="AOP18" s="4"/>
      <c r="AOQ18" s="4"/>
      <c r="AOR18" s="4"/>
      <c r="AOS18" s="4"/>
      <c r="AOT18" s="4"/>
      <c r="AOU18" s="4"/>
      <c r="AOV18" s="4"/>
      <c r="AOW18" s="4"/>
      <c r="AOX18" s="4"/>
      <c r="AOY18" s="4"/>
      <c r="AOZ18" s="4"/>
      <c r="APA18" s="4"/>
      <c r="APB18" s="4"/>
      <c r="APC18" s="4"/>
      <c r="APD18" s="4"/>
      <c r="APE18" s="4"/>
      <c r="APF18" s="4"/>
      <c r="APG18" s="4"/>
      <c r="APH18" s="4"/>
      <c r="API18" s="4"/>
      <c r="APJ18" s="4"/>
      <c r="APK18" s="4"/>
      <c r="APL18" s="4"/>
      <c r="APM18" s="4"/>
      <c r="APN18" s="4"/>
      <c r="APO18" s="4"/>
      <c r="APP18" s="4"/>
      <c r="APQ18" s="4"/>
      <c r="APR18" s="4"/>
      <c r="APS18" s="4"/>
      <c r="APT18" s="4"/>
      <c r="APU18" s="4"/>
      <c r="APV18" s="4"/>
      <c r="APW18" s="4"/>
      <c r="APX18" s="4"/>
      <c r="APY18" s="4"/>
      <c r="APZ18" s="4"/>
      <c r="AQA18" s="4"/>
      <c r="AQB18" s="4"/>
      <c r="AQC18" s="4"/>
      <c r="AQD18" s="4"/>
      <c r="AQE18" s="4"/>
      <c r="AQF18" s="4"/>
      <c r="AQG18" s="4"/>
      <c r="AQH18" s="4"/>
      <c r="AQI18" s="4"/>
      <c r="AQJ18" s="4"/>
      <c r="AQK18" s="4"/>
      <c r="AQL18" s="4"/>
      <c r="AQM18" s="4"/>
      <c r="AQN18" s="4"/>
      <c r="AQO18" s="4"/>
      <c r="AQP18" s="4"/>
      <c r="AQQ18" s="4"/>
      <c r="AQR18" s="4"/>
      <c r="AQS18" s="4"/>
      <c r="AQT18" s="4"/>
      <c r="AQU18" s="4"/>
      <c r="AQV18" s="4"/>
      <c r="AQW18" s="4"/>
      <c r="AQX18" s="4"/>
      <c r="AQY18" s="4"/>
      <c r="AQZ18" s="4"/>
      <c r="ARA18" s="4"/>
      <c r="ARB18" s="4"/>
      <c r="ARC18" s="4"/>
      <c r="ARD18" s="4"/>
      <c r="ARE18" s="4"/>
      <c r="ARF18" s="4"/>
      <c r="ARG18" s="4"/>
      <c r="ARH18" s="4"/>
      <c r="ARI18" s="4"/>
      <c r="ARJ18" s="4"/>
      <c r="ARK18" s="4"/>
      <c r="ARL18" s="4"/>
      <c r="ARM18" s="4"/>
      <c r="ARN18" s="4"/>
      <c r="ARO18" s="4"/>
      <c r="ARP18" s="4"/>
      <c r="ARQ18" s="4"/>
      <c r="ARR18" s="4"/>
      <c r="ARS18" s="4"/>
      <c r="ART18" s="4"/>
      <c r="ARU18" s="4"/>
      <c r="ARV18" s="4"/>
      <c r="ARW18" s="4"/>
      <c r="ARX18" s="4"/>
      <c r="ARY18" s="4"/>
      <c r="ARZ18" s="4"/>
      <c r="ASA18" s="4"/>
      <c r="ASB18" s="4"/>
      <c r="ASC18" s="4"/>
      <c r="ASD18" s="4"/>
      <c r="ASE18" s="4"/>
      <c r="ASF18" s="4"/>
      <c r="ASG18" s="4"/>
      <c r="ASH18" s="4"/>
      <c r="ASI18" s="4"/>
      <c r="ASJ18" s="4"/>
      <c r="ASK18" s="4"/>
      <c r="ASL18" s="4"/>
      <c r="ASM18" s="4"/>
      <c r="ASN18" s="4"/>
      <c r="ASO18" s="4"/>
      <c r="ASP18" s="4"/>
      <c r="ASQ18" s="4"/>
      <c r="ASR18" s="4"/>
      <c r="ASS18" s="4"/>
      <c r="AST18" s="4"/>
      <c r="ASU18" s="4"/>
      <c r="ASV18" s="4"/>
      <c r="ASW18" s="4"/>
      <c r="ASX18" s="4"/>
      <c r="ASY18" s="4"/>
      <c r="ASZ18" s="4"/>
      <c r="ATA18" s="4"/>
      <c r="ATB18" s="4"/>
      <c r="ATC18" s="4"/>
      <c r="ATD18" s="4"/>
      <c r="ATE18" s="4"/>
      <c r="ATF18" s="4"/>
      <c r="ATG18" s="4"/>
      <c r="ATH18" s="4"/>
      <c r="ATI18" s="4"/>
      <c r="ATJ18" s="4"/>
      <c r="ATK18" s="4"/>
      <c r="ATL18" s="4"/>
      <c r="ATM18" s="4"/>
      <c r="ATN18" s="4"/>
      <c r="ATO18" s="4"/>
      <c r="ATP18" s="4"/>
      <c r="ATQ18" s="4"/>
      <c r="ATR18" s="4"/>
      <c r="ATS18" s="4"/>
      <c r="ATT18" s="4"/>
      <c r="ATU18" s="4"/>
      <c r="ATV18" s="4"/>
      <c r="ATW18" s="4"/>
      <c r="ATX18" s="4"/>
      <c r="ATY18" s="4"/>
      <c r="ATZ18" s="4"/>
      <c r="AUA18" s="4"/>
      <c r="AUB18" s="4"/>
      <c r="AUC18" s="4"/>
      <c r="AUD18" s="4"/>
      <c r="AUE18" s="4"/>
      <c r="AUF18" s="4"/>
      <c r="AUG18" s="4"/>
      <c r="AUH18" s="4"/>
      <c r="AUI18" s="4"/>
      <c r="AUJ18" s="4"/>
      <c r="AUK18" s="4"/>
      <c r="AUL18" s="4"/>
      <c r="AUM18" s="4"/>
      <c r="AUN18" s="4"/>
      <c r="AUO18" s="4"/>
      <c r="AUP18" s="4"/>
      <c r="AUQ18" s="4"/>
      <c r="AUR18" s="4"/>
      <c r="AUS18" s="4"/>
      <c r="AUT18" s="4"/>
      <c r="AUU18" s="4"/>
      <c r="AUV18" s="4"/>
      <c r="AUW18" s="4"/>
      <c r="AUX18" s="4"/>
      <c r="AUY18" s="4"/>
      <c r="AUZ18" s="4"/>
      <c r="AVA18" s="4"/>
      <c r="AVB18" s="4"/>
      <c r="AVC18" s="4"/>
      <c r="AVD18" s="4"/>
      <c r="AVE18" s="4"/>
      <c r="AVF18" s="4"/>
      <c r="AVG18" s="4"/>
      <c r="AVH18" s="4"/>
      <c r="AVI18" s="4"/>
      <c r="AVJ18" s="4"/>
      <c r="AVK18" s="4"/>
      <c r="AVL18" s="4"/>
      <c r="AVM18" s="4"/>
      <c r="AVN18" s="4"/>
      <c r="AVO18" s="4"/>
      <c r="AVP18" s="4"/>
      <c r="AVQ18" s="4"/>
      <c r="AVR18" s="4"/>
      <c r="AVS18" s="4"/>
      <c r="AVT18" s="4"/>
      <c r="AVU18" s="4"/>
      <c r="AVV18" s="4"/>
      <c r="AVW18" s="4"/>
      <c r="AVX18" s="4"/>
      <c r="AVY18" s="4"/>
      <c r="AVZ18" s="4"/>
      <c r="AWA18" s="4"/>
      <c r="AWB18" s="4"/>
      <c r="AWC18" s="4"/>
      <c r="AWD18" s="4"/>
      <c r="AWE18" s="4"/>
      <c r="AWF18" s="4"/>
      <c r="AWG18" s="4"/>
      <c r="AWH18" s="4"/>
      <c r="AWI18" s="4"/>
      <c r="AWJ18" s="4"/>
      <c r="AWK18" s="4"/>
      <c r="AWL18" s="4"/>
      <c r="AWM18" s="4"/>
      <c r="AWN18" s="4"/>
      <c r="AWO18" s="4"/>
      <c r="AWP18" s="4"/>
      <c r="AWQ18" s="4"/>
      <c r="AWR18" s="4"/>
      <c r="AWS18" s="4"/>
      <c r="AWT18" s="4"/>
      <c r="AWU18" s="4"/>
      <c r="AWV18" s="4"/>
      <c r="AWW18" s="4"/>
      <c r="AWX18" s="4"/>
      <c r="AWY18" s="4"/>
      <c r="AWZ18" s="4"/>
      <c r="AXA18" s="4"/>
      <c r="AXB18" s="4"/>
      <c r="AXC18" s="4"/>
      <c r="AXD18" s="4"/>
      <c r="AXE18" s="4"/>
      <c r="AXF18" s="4"/>
      <c r="AXG18" s="4"/>
      <c r="AXH18" s="4"/>
      <c r="AXI18" s="4"/>
      <c r="AXJ18" s="4"/>
      <c r="AXK18" s="4"/>
      <c r="AXL18" s="4"/>
      <c r="AXM18" s="4"/>
      <c r="AXN18" s="4"/>
      <c r="AXO18" s="4"/>
      <c r="AXP18" s="4"/>
      <c r="AXQ18" s="4"/>
      <c r="AXR18" s="4"/>
      <c r="AXS18" s="4"/>
      <c r="AXT18" s="4"/>
      <c r="AXU18" s="4"/>
      <c r="AXV18" s="4"/>
      <c r="AXW18" s="4"/>
      <c r="AXX18" s="4"/>
      <c r="AXY18" s="4"/>
      <c r="AXZ18" s="4"/>
      <c r="AYA18" s="4"/>
      <c r="AYB18" s="4"/>
      <c r="AYC18" s="4"/>
      <c r="AYD18" s="4"/>
      <c r="AYE18" s="4"/>
      <c r="AYF18" s="4"/>
      <c r="AYG18" s="4"/>
      <c r="AYH18" s="4"/>
      <c r="AYI18" s="4"/>
      <c r="AYJ18" s="4"/>
      <c r="AYK18" s="4"/>
      <c r="AYL18" s="4"/>
      <c r="AYM18" s="4"/>
      <c r="AYN18" s="4"/>
      <c r="AYO18" s="4"/>
      <c r="AYP18" s="4"/>
      <c r="AYQ18" s="4"/>
      <c r="AYR18" s="4"/>
      <c r="AYS18" s="4"/>
      <c r="AYT18" s="4"/>
      <c r="AYU18" s="4"/>
      <c r="AYV18" s="4"/>
      <c r="AYW18" s="4"/>
      <c r="AYX18" s="4"/>
      <c r="AYY18" s="4"/>
      <c r="AYZ18" s="4"/>
      <c r="AZA18" s="4"/>
      <c r="AZB18" s="4"/>
      <c r="AZC18" s="4"/>
      <c r="AZD18" s="4"/>
      <c r="AZE18" s="4"/>
      <c r="AZF18" s="4"/>
      <c r="AZG18" s="4"/>
      <c r="AZH18" s="4"/>
      <c r="AZI18" s="4"/>
      <c r="AZJ18" s="4"/>
      <c r="AZK18" s="4"/>
      <c r="AZL18" s="4"/>
      <c r="AZM18" s="4"/>
      <c r="AZN18" s="4"/>
      <c r="AZO18" s="4"/>
      <c r="AZP18" s="4"/>
      <c r="AZQ18" s="4"/>
      <c r="AZR18" s="4"/>
      <c r="AZS18" s="4"/>
      <c r="AZT18" s="4"/>
      <c r="AZU18" s="4"/>
      <c r="AZV18" s="4"/>
      <c r="AZW18" s="4"/>
      <c r="AZX18" s="4"/>
      <c r="AZY18" s="4"/>
      <c r="AZZ18" s="4"/>
      <c r="BAA18" s="4"/>
      <c r="BAB18" s="4"/>
      <c r="BAC18" s="4"/>
      <c r="BAD18" s="4"/>
      <c r="BAE18" s="4"/>
      <c r="BAF18" s="4"/>
      <c r="BAG18" s="4"/>
      <c r="BAH18" s="4"/>
      <c r="BAI18" s="4"/>
      <c r="BAJ18" s="4"/>
      <c r="BAK18" s="4"/>
      <c r="BAL18" s="4"/>
      <c r="BAM18" s="4"/>
      <c r="BAN18" s="4"/>
      <c r="BAO18" s="4"/>
      <c r="BAP18" s="4"/>
      <c r="BAQ18" s="4"/>
      <c r="BAR18" s="4"/>
      <c r="BAS18" s="4"/>
      <c r="BAT18" s="4"/>
      <c r="BAU18" s="4"/>
      <c r="BAV18" s="4"/>
      <c r="BAW18" s="4"/>
      <c r="BAX18" s="4"/>
      <c r="BAY18" s="4"/>
      <c r="BAZ18" s="4"/>
      <c r="BBA18" s="4"/>
      <c r="BBB18" s="4"/>
      <c r="BBC18" s="4"/>
      <c r="BBD18" s="4"/>
      <c r="BBE18" s="4"/>
      <c r="BBF18" s="4"/>
      <c r="BBG18" s="4"/>
      <c r="BBH18" s="4"/>
      <c r="BBI18" s="4"/>
      <c r="BBJ18" s="4"/>
      <c r="BBK18" s="4"/>
      <c r="BBL18" s="4"/>
      <c r="BBM18" s="4"/>
      <c r="BBN18" s="4"/>
      <c r="BBO18" s="4"/>
      <c r="BBP18" s="4"/>
      <c r="BBQ18" s="4"/>
      <c r="BBR18" s="4"/>
      <c r="BBS18" s="4"/>
      <c r="BBT18" s="4"/>
      <c r="BBU18" s="4"/>
      <c r="BBV18" s="4"/>
      <c r="BBW18" s="4"/>
      <c r="BBX18" s="4"/>
      <c r="BBY18" s="4"/>
      <c r="BBZ18" s="4"/>
      <c r="BCA18" s="4"/>
      <c r="BCB18" s="4"/>
      <c r="BCC18" s="4"/>
      <c r="BCD18" s="4"/>
      <c r="BCE18" s="4"/>
      <c r="BCF18" s="4"/>
      <c r="BCG18" s="4"/>
      <c r="BCH18" s="4"/>
      <c r="BCI18" s="4"/>
      <c r="BCJ18" s="4"/>
      <c r="BCK18" s="4"/>
      <c r="BCL18" s="4"/>
      <c r="BCM18" s="4"/>
      <c r="BCN18" s="4"/>
      <c r="BCO18" s="4"/>
      <c r="BCP18" s="4"/>
      <c r="BCQ18" s="4"/>
      <c r="BCR18" s="4"/>
      <c r="BCS18" s="4"/>
      <c r="BCT18" s="4"/>
      <c r="BCU18" s="4"/>
      <c r="BCV18" s="4"/>
      <c r="BCW18" s="4"/>
      <c r="BCX18" s="4"/>
      <c r="BCY18" s="4"/>
      <c r="BCZ18" s="4"/>
      <c r="BDA18" s="4"/>
      <c r="BDB18" s="4"/>
      <c r="BDC18" s="4"/>
      <c r="BDD18" s="4"/>
      <c r="BDE18" s="4"/>
      <c r="BDF18" s="4"/>
      <c r="BDG18" s="4"/>
      <c r="BDH18" s="4"/>
      <c r="BDI18" s="4"/>
      <c r="BDJ18" s="4"/>
      <c r="BDK18" s="4"/>
      <c r="BDL18" s="4"/>
      <c r="BDM18" s="4"/>
      <c r="BDN18" s="4"/>
      <c r="BDO18" s="4"/>
      <c r="BDP18" s="4"/>
      <c r="BDQ18" s="4"/>
      <c r="BDR18" s="4"/>
      <c r="BDS18" s="4"/>
      <c r="BDT18" s="4"/>
      <c r="BDU18" s="4"/>
      <c r="BDV18" s="4"/>
      <c r="BDW18" s="4"/>
      <c r="BDX18" s="4"/>
      <c r="BDY18" s="4"/>
      <c r="BDZ18" s="4"/>
      <c r="BEA18" s="4"/>
      <c r="BEB18" s="4"/>
      <c r="BEC18" s="4"/>
      <c r="BED18" s="4"/>
      <c r="BEE18" s="4"/>
      <c r="BEF18" s="4"/>
      <c r="BEG18" s="4"/>
      <c r="BEH18" s="4"/>
      <c r="BEI18" s="4"/>
      <c r="BEJ18" s="4"/>
      <c r="BEK18" s="4"/>
      <c r="BEL18" s="4"/>
      <c r="BEM18" s="4"/>
      <c r="BEN18" s="4"/>
      <c r="BEO18" s="4"/>
      <c r="BEP18" s="4"/>
      <c r="BEQ18" s="4"/>
      <c r="BER18" s="4"/>
      <c r="BES18" s="4"/>
      <c r="BET18" s="4"/>
      <c r="BEU18" s="4"/>
      <c r="BEV18" s="4"/>
      <c r="BEW18" s="4"/>
      <c r="BEX18" s="4"/>
      <c r="BEY18" s="4"/>
      <c r="BEZ18" s="4"/>
      <c r="BFA18" s="4"/>
      <c r="BFB18" s="4"/>
      <c r="BFC18" s="4"/>
      <c r="BFD18" s="4"/>
      <c r="BFE18" s="4"/>
      <c r="BFF18" s="4"/>
      <c r="BFG18" s="4"/>
      <c r="BFH18" s="4"/>
      <c r="BFI18" s="4"/>
      <c r="BFJ18" s="4"/>
      <c r="BFK18" s="4"/>
      <c r="BFL18" s="4"/>
      <c r="BFM18" s="4"/>
      <c r="BFN18" s="4"/>
      <c r="BFO18" s="4"/>
      <c r="BFP18" s="4"/>
      <c r="BFQ18" s="4"/>
      <c r="BFR18" s="4"/>
      <c r="BFS18" s="4"/>
      <c r="BFT18" s="4"/>
      <c r="BFU18" s="4"/>
      <c r="BFV18" s="4"/>
      <c r="BFW18" s="4"/>
      <c r="BFX18" s="4"/>
      <c r="BFY18" s="4"/>
      <c r="BFZ18" s="4"/>
      <c r="BGA18" s="4"/>
      <c r="BGB18" s="4"/>
      <c r="BGC18" s="4"/>
      <c r="BGD18" s="4"/>
      <c r="BGE18" s="4"/>
      <c r="BGF18" s="4"/>
      <c r="BGG18" s="4"/>
      <c r="BGH18" s="4"/>
      <c r="BGI18" s="4"/>
      <c r="BGJ18" s="4"/>
      <c r="BGK18" s="4"/>
      <c r="BGL18" s="4"/>
      <c r="BGM18" s="4"/>
      <c r="BGN18" s="4"/>
      <c r="BGO18" s="4"/>
      <c r="BGP18" s="4"/>
      <c r="BGQ18" s="4"/>
      <c r="BGR18" s="4"/>
      <c r="BGS18" s="4"/>
      <c r="BGT18" s="4"/>
      <c r="BGU18" s="4"/>
      <c r="BGV18" s="4"/>
      <c r="BGW18" s="4"/>
      <c r="BGX18" s="4"/>
      <c r="BGY18" s="4"/>
      <c r="BGZ18" s="4"/>
      <c r="BHA18" s="4"/>
      <c r="BHB18" s="4"/>
      <c r="BHC18" s="4"/>
      <c r="BHD18" s="4"/>
      <c r="BHE18" s="4"/>
      <c r="BHF18" s="4"/>
      <c r="BHG18" s="4"/>
      <c r="BHH18" s="4"/>
      <c r="BHI18" s="4"/>
      <c r="BHJ18" s="4"/>
      <c r="BHK18" s="4"/>
      <c r="BHL18" s="4"/>
      <c r="BHM18" s="4"/>
      <c r="BHN18" s="4"/>
      <c r="BHO18" s="4"/>
      <c r="BHP18" s="4"/>
      <c r="BHQ18" s="4"/>
      <c r="BHR18" s="4"/>
      <c r="BHS18" s="4"/>
      <c r="BHT18" s="4"/>
      <c r="BHU18" s="4"/>
      <c r="BHV18" s="4"/>
      <c r="BHW18" s="4"/>
      <c r="BHX18" s="4"/>
      <c r="BHY18" s="4"/>
      <c r="BHZ18" s="4"/>
      <c r="BIA18" s="4"/>
      <c r="BIB18" s="4"/>
      <c r="BIC18" s="4"/>
      <c r="BID18" s="4"/>
      <c r="BIE18" s="4"/>
      <c r="BIF18" s="4"/>
      <c r="BIG18" s="4"/>
      <c r="BIH18" s="4"/>
      <c r="BII18" s="4"/>
      <c r="BIJ18" s="4"/>
      <c r="BIK18" s="4"/>
      <c r="BIL18" s="4"/>
      <c r="BIM18" s="4"/>
      <c r="BIN18" s="4"/>
      <c r="BIO18" s="4"/>
      <c r="BIP18" s="4"/>
      <c r="BIQ18" s="4"/>
      <c r="BIR18" s="4"/>
      <c r="BIS18" s="4"/>
      <c r="BIT18" s="4"/>
      <c r="BIU18" s="4"/>
      <c r="BIV18" s="4"/>
      <c r="BIW18" s="4"/>
      <c r="BIX18" s="4"/>
      <c r="BIY18" s="4"/>
      <c r="BIZ18" s="4"/>
      <c r="BJA18" s="4"/>
      <c r="BJB18" s="4"/>
      <c r="BJC18" s="4"/>
      <c r="BJD18" s="4"/>
      <c r="BJE18" s="4"/>
      <c r="BJF18" s="4"/>
      <c r="BJG18" s="4"/>
      <c r="BJH18" s="4"/>
      <c r="BJI18" s="4"/>
      <c r="BJJ18" s="4"/>
      <c r="BJK18" s="4"/>
      <c r="BJL18" s="4"/>
      <c r="BJM18" s="4"/>
      <c r="BJN18" s="4"/>
      <c r="BJO18" s="4"/>
      <c r="BJP18" s="4"/>
      <c r="BJQ18" s="4"/>
      <c r="BJR18" s="4"/>
      <c r="BJS18" s="4"/>
      <c r="BJT18" s="4"/>
      <c r="BJU18" s="4"/>
      <c r="BJV18" s="4"/>
      <c r="BJW18" s="4"/>
      <c r="BJX18" s="4"/>
      <c r="BJY18" s="4"/>
      <c r="BJZ18" s="4"/>
      <c r="BKA18" s="4"/>
      <c r="BKB18" s="4"/>
      <c r="BKC18" s="4"/>
      <c r="BKD18" s="4"/>
      <c r="BKE18" s="4"/>
      <c r="BKF18" s="4"/>
      <c r="BKG18" s="4"/>
      <c r="BKH18" s="4"/>
      <c r="BKI18" s="4"/>
      <c r="BKJ18" s="4"/>
      <c r="BKK18" s="4"/>
      <c r="BKL18" s="4"/>
      <c r="BKM18" s="4"/>
      <c r="BKN18" s="4"/>
      <c r="BKO18" s="4"/>
      <c r="BKP18" s="4"/>
      <c r="BKQ18" s="4"/>
      <c r="BKR18" s="4"/>
      <c r="BKS18" s="4"/>
      <c r="BKT18" s="4"/>
      <c r="BKU18" s="4"/>
      <c r="BKV18" s="4"/>
      <c r="BKW18" s="4"/>
      <c r="BKX18" s="4"/>
      <c r="BKY18" s="4"/>
      <c r="BKZ18" s="4"/>
      <c r="BLA18" s="4"/>
      <c r="BLB18" s="4"/>
      <c r="BLC18" s="4"/>
      <c r="BLD18" s="4"/>
      <c r="BLE18" s="4"/>
      <c r="BLF18" s="4"/>
      <c r="BLG18" s="4"/>
      <c r="BLH18" s="4"/>
      <c r="BLI18" s="4"/>
      <c r="BLJ18" s="4"/>
      <c r="BLK18" s="4"/>
      <c r="BLL18" s="4"/>
      <c r="BLM18" s="4"/>
      <c r="BLN18" s="4"/>
      <c r="BLO18" s="4"/>
      <c r="BLP18" s="4"/>
      <c r="BLQ18" s="4"/>
      <c r="BLR18" s="4"/>
      <c r="BLS18" s="4"/>
      <c r="BLT18" s="4"/>
      <c r="BLU18" s="4"/>
      <c r="BLV18" s="4"/>
      <c r="BLW18" s="4"/>
      <c r="BLX18" s="4"/>
      <c r="BLY18" s="4"/>
      <c r="BLZ18" s="4"/>
      <c r="BMA18" s="4"/>
      <c r="BMB18" s="4"/>
      <c r="BMC18" s="4"/>
      <c r="BMD18" s="4"/>
      <c r="BME18" s="4"/>
      <c r="BMF18" s="4"/>
      <c r="BMG18" s="4"/>
      <c r="BMH18" s="4"/>
      <c r="BMI18" s="4"/>
      <c r="BMJ18" s="4"/>
      <c r="BMK18" s="4"/>
      <c r="BML18" s="4"/>
      <c r="BMM18" s="4"/>
      <c r="BMN18" s="4"/>
      <c r="BMO18" s="4"/>
      <c r="BMP18" s="4"/>
      <c r="BMQ18" s="4"/>
      <c r="BMR18" s="4"/>
      <c r="BMS18" s="4"/>
      <c r="BMT18" s="4"/>
      <c r="BMU18" s="4"/>
      <c r="BMV18" s="4"/>
      <c r="BMW18" s="4"/>
      <c r="BMX18" s="4"/>
      <c r="BMY18" s="4"/>
      <c r="BMZ18" s="4"/>
      <c r="BNA18" s="4"/>
      <c r="BNB18" s="4"/>
      <c r="BNC18" s="4"/>
      <c r="BND18" s="4"/>
      <c r="BNE18" s="4"/>
      <c r="BNF18" s="4"/>
      <c r="BNG18" s="4"/>
      <c r="BNH18" s="4"/>
      <c r="BNI18" s="4"/>
      <c r="BNJ18" s="4"/>
      <c r="BNK18" s="4"/>
      <c r="BNL18" s="4"/>
      <c r="BNM18" s="4"/>
      <c r="BNN18" s="4"/>
      <c r="BNO18" s="4"/>
      <c r="BNP18" s="4"/>
      <c r="BNQ18" s="4"/>
      <c r="BNR18" s="4"/>
      <c r="BNS18" s="4"/>
      <c r="BNT18" s="4"/>
      <c r="BNU18" s="4"/>
      <c r="BNV18" s="4"/>
      <c r="BNW18" s="4"/>
      <c r="BNX18" s="4"/>
      <c r="BNY18" s="4"/>
      <c r="BNZ18" s="4"/>
      <c r="BOA18" s="4"/>
      <c r="BOB18" s="4"/>
      <c r="BOC18" s="4"/>
      <c r="BOD18" s="4"/>
      <c r="BOE18" s="4"/>
      <c r="BOF18" s="4"/>
      <c r="BOG18" s="4"/>
      <c r="BOH18" s="4"/>
      <c r="BOI18" s="4"/>
      <c r="BOJ18" s="4"/>
      <c r="BOK18" s="4"/>
      <c r="BOL18" s="4"/>
      <c r="BOM18" s="4"/>
      <c r="BON18" s="4"/>
      <c r="BOO18" s="4"/>
      <c r="BOP18" s="4"/>
      <c r="BOQ18" s="4"/>
      <c r="BOR18" s="4"/>
      <c r="BOS18" s="4"/>
      <c r="BOT18" s="4"/>
      <c r="BOU18" s="4"/>
      <c r="BOV18" s="4"/>
      <c r="BOW18" s="4"/>
      <c r="BOX18" s="4"/>
      <c r="BOY18" s="4"/>
      <c r="BOZ18" s="4"/>
      <c r="BPA18" s="60"/>
    </row>
    <row r="19" s="5" customFormat="1" ht="60" customHeight="1" spans="1:1024 1025:1769">
      <c r="A19" s="47" t="s">
        <v>68</v>
      </c>
      <c r="B19" s="48" t="s">
        <v>1275</v>
      </c>
      <c r="C19" s="48" t="s">
        <v>1276</v>
      </c>
      <c r="D19" s="49" t="s">
        <v>1277</v>
      </c>
      <c r="E19" s="56"/>
      <c r="F19" s="51">
        <v>46175</v>
      </c>
      <c r="G19" s="57" t="s">
        <v>7</v>
      </c>
      <c r="H19" s="56"/>
      <c r="J19" s="5" t="s">
        <v>1254</v>
      </c>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c r="UZ19" s="4"/>
      <c r="VA19" s="4"/>
      <c r="VB19" s="4"/>
      <c r="VC19" s="4"/>
      <c r="VD19" s="4"/>
      <c r="VE19" s="4"/>
      <c r="VF19" s="4"/>
      <c r="VG19" s="4"/>
      <c r="VH19" s="4"/>
      <c r="VI19" s="4"/>
      <c r="VJ19" s="4"/>
      <c r="VK19" s="4"/>
      <c r="VL19" s="4"/>
      <c r="VM19" s="4"/>
      <c r="VN19" s="4"/>
      <c r="VO19" s="4"/>
      <c r="VP19" s="4"/>
      <c r="VQ19" s="4"/>
      <c r="VR19" s="4"/>
      <c r="VS19" s="4"/>
      <c r="VT19" s="4"/>
      <c r="VU19" s="4"/>
      <c r="VV19" s="4"/>
      <c r="VW19" s="4"/>
      <c r="VX19" s="4"/>
      <c r="VY19" s="4"/>
      <c r="VZ19" s="4"/>
      <c r="WA19" s="4"/>
      <c r="WB19" s="4"/>
      <c r="WC19" s="4"/>
      <c r="WD19" s="4"/>
      <c r="WE19" s="4"/>
      <c r="WF19" s="4"/>
      <c r="WG19" s="4"/>
      <c r="WH19" s="4"/>
      <c r="WI19" s="4"/>
      <c r="WJ19" s="4"/>
      <c r="WK19" s="4"/>
      <c r="WL19" s="4"/>
      <c r="WM19" s="4"/>
      <c r="WN19" s="4"/>
      <c r="WO19" s="4"/>
      <c r="WP19" s="4"/>
      <c r="WQ19" s="4"/>
      <c r="WR19" s="4"/>
      <c r="WS19" s="4"/>
      <c r="WT19" s="4"/>
      <c r="WU19" s="4"/>
      <c r="WV19" s="4"/>
      <c r="WW19" s="4"/>
      <c r="WX19" s="4"/>
      <c r="WY19" s="4"/>
      <c r="WZ19" s="4"/>
      <c r="XA19" s="4"/>
      <c r="XB19" s="4"/>
      <c r="XC19" s="4"/>
      <c r="XD19" s="4"/>
      <c r="XE19" s="4"/>
      <c r="XF19" s="4"/>
      <c r="XG19" s="4"/>
      <c r="XH19" s="4"/>
      <c r="XI19" s="4"/>
      <c r="XJ19" s="4"/>
      <c r="XK19" s="4"/>
      <c r="XL19" s="4"/>
      <c r="XM19" s="4"/>
      <c r="XN19" s="4"/>
      <c r="XO19" s="4"/>
      <c r="XP19" s="4"/>
      <c r="XQ19" s="4"/>
      <c r="XR19" s="4"/>
      <c r="XS19" s="4"/>
      <c r="XT19" s="4"/>
      <c r="XU19" s="4"/>
      <c r="XV19" s="4"/>
      <c r="XW19" s="4"/>
      <c r="XX19" s="4"/>
      <c r="XY19" s="4"/>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c r="ZB19" s="4"/>
      <c r="ZC19" s="4"/>
      <c r="ZD19" s="4"/>
      <c r="ZE19" s="4"/>
      <c r="ZF19" s="4"/>
      <c r="ZG19" s="4"/>
      <c r="ZH19" s="4"/>
      <c r="ZI19" s="4"/>
      <c r="ZJ19" s="4"/>
      <c r="ZK19" s="4"/>
      <c r="ZL19" s="4"/>
      <c r="ZM19" s="4"/>
      <c r="ZN19" s="4"/>
      <c r="ZO19" s="4"/>
      <c r="ZP19" s="4"/>
      <c r="ZQ19" s="4"/>
      <c r="ZR19" s="4"/>
      <c r="ZS19" s="4"/>
      <c r="ZT19" s="4"/>
      <c r="ZU19" s="4"/>
      <c r="ZV19" s="4"/>
      <c r="ZW19" s="4"/>
      <c r="ZX19" s="4"/>
      <c r="ZY19" s="4"/>
      <c r="ZZ19" s="4"/>
      <c r="AAA19" s="4"/>
      <c r="AAB19" s="4"/>
      <c r="AAC19" s="4"/>
      <c r="AAD19" s="4"/>
      <c r="AAE19" s="4"/>
      <c r="AAF19" s="4"/>
      <c r="AAG19" s="4"/>
      <c r="AAH19" s="4"/>
      <c r="AAI19" s="4"/>
      <c r="AAJ19" s="4"/>
      <c r="AAK19" s="4"/>
      <c r="AAL19" s="4"/>
      <c r="AAM19" s="4"/>
      <c r="AAN19" s="4"/>
      <c r="AAO19" s="4"/>
      <c r="AAP19" s="4"/>
      <c r="AAQ19" s="4"/>
      <c r="AAR19" s="4"/>
      <c r="AAS19" s="4"/>
      <c r="AAT19" s="4"/>
      <c r="AAU19" s="4"/>
      <c r="AAV19" s="4"/>
      <c r="AAW19" s="4"/>
      <c r="AAX19" s="4"/>
      <c r="AAY19" s="4"/>
      <c r="AAZ19" s="4"/>
      <c r="ABA19" s="4"/>
      <c r="ABB19" s="4"/>
      <c r="ABC19" s="4"/>
      <c r="ABD19" s="4"/>
      <c r="ABE19" s="4"/>
      <c r="ABF19" s="4"/>
      <c r="ABG19" s="4"/>
      <c r="ABH19" s="4"/>
      <c r="ABI19" s="4"/>
      <c r="ABJ19" s="4"/>
      <c r="ABK19" s="4"/>
      <c r="ABL19" s="4"/>
      <c r="ABM19" s="4"/>
      <c r="ABN19" s="4"/>
      <c r="ABO19" s="4"/>
      <c r="ABP19" s="4"/>
      <c r="ABQ19" s="4"/>
      <c r="ABR19" s="4"/>
      <c r="ABS19" s="4"/>
      <c r="ABT19" s="4"/>
      <c r="ABU19" s="4"/>
      <c r="ABV19" s="4"/>
      <c r="ABW19" s="4"/>
      <c r="ABX19" s="4"/>
      <c r="ABY19" s="4"/>
      <c r="ABZ19" s="4"/>
      <c r="ACA19" s="4"/>
      <c r="ACB19" s="4"/>
      <c r="ACC19" s="4"/>
      <c r="ACD19" s="4"/>
      <c r="ACE19" s="4"/>
      <c r="ACF19" s="4"/>
      <c r="ACG19" s="4"/>
      <c r="ACH19" s="4"/>
      <c r="ACI19" s="4"/>
      <c r="ACJ19" s="4"/>
      <c r="ACK19" s="4"/>
      <c r="ACL19" s="4"/>
      <c r="ACM19" s="4"/>
      <c r="ACN19" s="4"/>
      <c r="ACO19" s="4"/>
      <c r="ACP19" s="4"/>
      <c r="ACQ19" s="4"/>
      <c r="ACR19" s="4"/>
      <c r="ACS19" s="4"/>
      <c r="ACT19" s="4"/>
      <c r="ACU19" s="4"/>
      <c r="ACV19" s="4"/>
      <c r="ACW19" s="4"/>
      <c r="ACX19" s="4"/>
      <c r="ACY19" s="4"/>
      <c r="ACZ19" s="4"/>
      <c r="ADA19" s="4"/>
      <c r="ADB19" s="4"/>
      <c r="ADC19" s="4"/>
      <c r="ADD19" s="4"/>
      <c r="ADE19" s="4"/>
      <c r="ADF19" s="4"/>
      <c r="ADG19" s="4"/>
      <c r="ADH19" s="4"/>
      <c r="ADI19" s="4"/>
      <c r="ADJ19" s="4"/>
      <c r="ADK19" s="4"/>
      <c r="ADL19" s="4"/>
      <c r="ADM19" s="4"/>
      <c r="ADN19" s="4"/>
      <c r="ADO19" s="4"/>
      <c r="ADP19" s="4"/>
      <c r="ADQ19" s="4"/>
      <c r="ADR19" s="4"/>
      <c r="ADS19" s="4"/>
      <c r="ADT19" s="4"/>
      <c r="ADU19" s="4"/>
      <c r="ADV19" s="4"/>
      <c r="ADW19" s="4"/>
      <c r="ADX19" s="4"/>
      <c r="ADY19" s="4"/>
      <c r="ADZ19" s="4"/>
      <c r="AEA19" s="4"/>
      <c r="AEB19" s="4"/>
      <c r="AEC19" s="4"/>
      <c r="AED19" s="4"/>
      <c r="AEE19" s="4"/>
      <c r="AEF19" s="4"/>
      <c r="AEG19" s="4"/>
      <c r="AEH19" s="4"/>
      <c r="AEI19" s="4"/>
      <c r="AEJ19" s="4"/>
      <c r="AEK19" s="4"/>
      <c r="AEL19" s="4"/>
      <c r="AEM19" s="4"/>
      <c r="AEN19" s="4"/>
      <c r="AEO19" s="4"/>
      <c r="AEP19" s="4"/>
      <c r="AEQ19" s="4"/>
      <c r="AER19" s="4"/>
      <c r="AES19" s="4"/>
      <c r="AET19" s="4"/>
      <c r="AEU19" s="4"/>
      <c r="AEV19" s="4"/>
      <c r="AEW19" s="4"/>
      <c r="AEX19" s="4"/>
      <c r="AEY19" s="4"/>
      <c r="AEZ19" s="4"/>
      <c r="AFA19" s="4"/>
      <c r="AFB19" s="4"/>
      <c r="AFC19" s="4"/>
      <c r="AFD19" s="4"/>
      <c r="AFE19" s="4"/>
      <c r="AFF19" s="4"/>
      <c r="AFG19" s="4"/>
      <c r="AFH19" s="4"/>
      <c r="AFI19" s="4"/>
      <c r="AFJ19" s="4"/>
      <c r="AFK19" s="4"/>
      <c r="AFL19" s="4"/>
      <c r="AFM19" s="4"/>
      <c r="AFN19" s="4"/>
      <c r="AFO19" s="4"/>
      <c r="AFP19" s="4"/>
      <c r="AFQ19" s="4"/>
      <c r="AFR19" s="4"/>
      <c r="AFS19" s="4"/>
      <c r="AFT19" s="4"/>
      <c r="AFU19" s="4"/>
      <c r="AFV19" s="4"/>
      <c r="AFW19" s="4"/>
      <c r="AFX19" s="4"/>
      <c r="AFY19" s="4"/>
      <c r="AFZ19" s="4"/>
      <c r="AGA19" s="4"/>
      <c r="AGB19" s="4"/>
      <c r="AGC19" s="4"/>
      <c r="AGD19" s="4"/>
      <c r="AGE19" s="4"/>
      <c r="AGF19" s="4"/>
      <c r="AGG19" s="4"/>
      <c r="AGH19" s="4"/>
      <c r="AGI19" s="4"/>
      <c r="AGJ19" s="4"/>
      <c r="AGK19" s="4"/>
      <c r="AGL19" s="4"/>
      <c r="AGM19" s="4"/>
      <c r="AGN19" s="4"/>
      <c r="AGO19" s="4"/>
      <c r="AGP19" s="4"/>
      <c r="AGQ19" s="4"/>
      <c r="AGR19" s="4"/>
      <c r="AGS19" s="4"/>
      <c r="AGT19" s="4"/>
      <c r="AGU19" s="4"/>
      <c r="AGV19" s="4"/>
      <c r="AGW19" s="4"/>
      <c r="AGX19" s="4"/>
      <c r="AGY19" s="4"/>
      <c r="AGZ19" s="4"/>
      <c r="AHA19" s="4"/>
      <c r="AHB19" s="4"/>
      <c r="AHC19" s="4"/>
      <c r="AHD19" s="4"/>
      <c r="AHE19" s="4"/>
      <c r="AHF19" s="4"/>
      <c r="AHG19" s="4"/>
      <c r="AHH19" s="4"/>
      <c r="AHI19" s="4"/>
      <c r="AHJ19" s="4"/>
      <c r="AHK19" s="4"/>
      <c r="AHL19" s="4"/>
      <c r="AHM19" s="4"/>
      <c r="AHN19" s="4"/>
      <c r="AHO19" s="4"/>
      <c r="AHP19" s="4"/>
      <c r="AHQ19" s="4"/>
      <c r="AHR19" s="4"/>
      <c r="AHS19" s="4"/>
      <c r="AHT19" s="4"/>
      <c r="AHU19" s="4"/>
      <c r="AHV19" s="4"/>
      <c r="AHW19" s="4"/>
      <c r="AHX19" s="4"/>
      <c r="AHY19" s="4"/>
      <c r="AHZ19" s="4"/>
      <c r="AIA19" s="4"/>
      <c r="AIB19" s="4"/>
      <c r="AIC19" s="4"/>
      <c r="AID19" s="4"/>
      <c r="AIE19" s="4"/>
      <c r="AIF19" s="4"/>
      <c r="AIG19" s="4"/>
      <c r="AIH19" s="4"/>
      <c r="AII19" s="4"/>
      <c r="AIJ19" s="4"/>
      <c r="AIK19" s="4"/>
      <c r="AIL19" s="4"/>
      <c r="AIM19" s="4"/>
      <c r="AIN19" s="4"/>
      <c r="AIO19" s="4"/>
      <c r="AIP19" s="4"/>
      <c r="AIQ19" s="4"/>
      <c r="AIR19" s="4"/>
      <c r="AIS19" s="4"/>
      <c r="AIT19" s="4"/>
      <c r="AIU19" s="4"/>
      <c r="AIV19" s="4"/>
      <c r="AIW19" s="4"/>
      <c r="AIX19" s="4"/>
      <c r="AIY19" s="4"/>
      <c r="AIZ19" s="4"/>
      <c r="AJA19" s="4"/>
      <c r="AJB19" s="4"/>
      <c r="AJC19" s="4"/>
      <c r="AJD19" s="4"/>
      <c r="AJE19" s="4"/>
      <c r="AJF19" s="4"/>
      <c r="AJG19" s="4"/>
      <c r="AJH19" s="4"/>
      <c r="AJI19" s="4"/>
      <c r="AJJ19" s="4"/>
      <c r="AJK19" s="4"/>
      <c r="AJL19" s="4"/>
      <c r="AJM19" s="4"/>
      <c r="AJN19" s="4"/>
      <c r="AJO19" s="4"/>
      <c r="AJP19" s="4"/>
      <c r="AJQ19" s="4"/>
      <c r="AJR19" s="4"/>
      <c r="AJS19" s="4"/>
      <c r="AJT19" s="4"/>
      <c r="AJU19" s="4"/>
      <c r="AJV19" s="4"/>
      <c r="AJW19" s="4"/>
      <c r="AJX19" s="4"/>
      <c r="AJY19" s="4"/>
      <c r="AJZ19" s="4"/>
      <c r="AKA19" s="4"/>
      <c r="AKB19" s="4"/>
      <c r="AKC19" s="4"/>
      <c r="AKD19" s="4"/>
      <c r="AKE19" s="4"/>
      <c r="AKF19" s="4"/>
      <c r="AKG19" s="4"/>
      <c r="AKH19" s="4"/>
      <c r="AKI19" s="4"/>
      <c r="AKJ19" s="4"/>
      <c r="AKK19" s="4"/>
      <c r="AKL19" s="4"/>
      <c r="AKM19" s="4"/>
      <c r="AKN19" s="4"/>
      <c r="AKO19" s="4"/>
      <c r="AKP19" s="4"/>
      <c r="AKQ19" s="4"/>
      <c r="AKR19" s="4"/>
      <c r="AKS19" s="4"/>
      <c r="AKT19" s="4"/>
      <c r="AKU19" s="4"/>
      <c r="AKV19" s="4"/>
      <c r="AKW19" s="4"/>
      <c r="AKX19" s="4"/>
      <c r="AKY19" s="4"/>
      <c r="AKZ19" s="4"/>
      <c r="ALA19" s="4"/>
      <c r="ALB19" s="4"/>
      <c r="ALC19" s="4"/>
      <c r="ALD19" s="4"/>
      <c r="ALE19" s="4"/>
      <c r="ALF19" s="4"/>
      <c r="ALG19" s="4"/>
      <c r="ALH19" s="4"/>
      <c r="ALI19" s="4"/>
      <c r="ALJ19" s="4"/>
      <c r="ALK19" s="4"/>
      <c r="ALL19" s="4"/>
      <c r="ALM19" s="4"/>
      <c r="ALN19" s="4"/>
      <c r="ALO19" s="4"/>
      <c r="ALP19" s="4"/>
      <c r="ALQ19" s="4"/>
      <c r="ALR19" s="4"/>
      <c r="ALS19" s="4"/>
      <c r="ALT19" s="4"/>
      <c r="ALU19" s="4"/>
      <c r="ALV19" s="4"/>
      <c r="ALW19" s="4"/>
      <c r="ALX19" s="4"/>
      <c r="ALY19" s="4"/>
      <c r="ALZ19" s="4"/>
      <c r="AMA19" s="4"/>
      <c r="AMB19" s="4"/>
      <c r="AMC19" s="4"/>
      <c r="AMD19" s="4"/>
      <c r="AME19" s="4"/>
      <c r="AMF19" s="4"/>
      <c r="AMG19" s="4"/>
      <c r="AMH19" s="4"/>
      <c r="AMI19" s="4"/>
      <c r="AMJ19" s="4"/>
      <c r="AMK19" s="4"/>
      <c r="AML19" s="4"/>
      <c r="AMM19" s="4"/>
      <c r="AMN19" s="4"/>
      <c r="AMO19" s="4"/>
      <c r="AMP19" s="4"/>
      <c r="AMQ19" s="4"/>
      <c r="AMR19" s="4"/>
      <c r="AMS19" s="4"/>
      <c r="AMT19" s="4"/>
      <c r="AMU19" s="4"/>
      <c r="AMV19" s="4"/>
      <c r="AMW19" s="4"/>
      <c r="AMX19" s="4"/>
      <c r="AMY19" s="4"/>
      <c r="AMZ19" s="4"/>
      <c r="ANA19" s="4"/>
      <c r="ANB19" s="4"/>
      <c r="ANC19" s="4"/>
      <c r="AND19" s="4"/>
      <c r="ANE19" s="4"/>
      <c r="ANF19" s="4"/>
      <c r="ANG19" s="4"/>
      <c r="ANH19" s="4"/>
      <c r="ANI19" s="4"/>
      <c r="ANJ19" s="4"/>
      <c r="ANK19" s="4"/>
      <c r="ANL19" s="4"/>
      <c r="ANM19" s="4"/>
      <c r="ANN19" s="4"/>
      <c r="ANO19" s="4"/>
      <c r="ANP19" s="4"/>
      <c r="ANQ19" s="4"/>
      <c r="ANR19" s="4"/>
      <c r="ANS19" s="4"/>
      <c r="ANT19" s="4"/>
      <c r="ANU19" s="4"/>
      <c r="ANV19" s="4"/>
      <c r="ANW19" s="4"/>
      <c r="ANX19" s="4"/>
      <c r="ANY19" s="4"/>
      <c r="ANZ19" s="4"/>
      <c r="AOA19" s="4"/>
      <c r="AOB19" s="4"/>
      <c r="AOC19" s="4"/>
      <c r="AOD19" s="4"/>
      <c r="AOE19" s="4"/>
      <c r="AOF19" s="4"/>
      <c r="AOG19" s="4"/>
      <c r="AOH19" s="4"/>
      <c r="AOI19" s="4"/>
      <c r="AOJ19" s="4"/>
      <c r="AOK19" s="4"/>
      <c r="AOL19" s="4"/>
      <c r="AOM19" s="4"/>
      <c r="AON19" s="4"/>
      <c r="AOO19" s="4"/>
      <c r="AOP19" s="4"/>
      <c r="AOQ19" s="4"/>
      <c r="AOR19" s="4"/>
      <c r="AOS19" s="4"/>
      <c r="AOT19" s="4"/>
      <c r="AOU19" s="4"/>
      <c r="AOV19" s="4"/>
      <c r="AOW19" s="4"/>
      <c r="AOX19" s="4"/>
      <c r="AOY19" s="4"/>
      <c r="AOZ19" s="4"/>
      <c r="APA19" s="4"/>
      <c r="APB19" s="4"/>
      <c r="APC19" s="4"/>
      <c r="APD19" s="4"/>
      <c r="APE19" s="4"/>
      <c r="APF19" s="4"/>
      <c r="APG19" s="4"/>
      <c r="APH19" s="4"/>
      <c r="API19" s="4"/>
      <c r="APJ19" s="4"/>
      <c r="APK19" s="4"/>
      <c r="APL19" s="4"/>
      <c r="APM19" s="4"/>
      <c r="APN19" s="4"/>
      <c r="APO19" s="4"/>
      <c r="APP19" s="4"/>
      <c r="APQ19" s="4"/>
      <c r="APR19" s="4"/>
      <c r="APS19" s="4"/>
      <c r="APT19" s="4"/>
      <c r="APU19" s="4"/>
      <c r="APV19" s="4"/>
      <c r="APW19" s="4"/>
      <c r="APX19" s="4"/>
      <c r="APY19" s="4"/>
      <c r="APZ19" s="4"/>
      <c r="AQA19" s="4"/>
      <c r="AQB19" s="4"/>
      <c r="AQC19" s="4"/>
      <c r="AQD19" s="4"/>
      <c r="AQE19" s="4"/>
      <c r="AQF19" s="4"/>
      <c r="AQG19" s="4"/>
      <c r="AQH19" s="4"/>
      <c r="AQI19" s="4"/>
      <c r="AQJ19" s="4"/>
      <c r="AQK19" s="4"/>
      <c r="AQL19" s="4"/>
      <c r="AQM19" s="4"/>
      <c r="AQN19" s="4"/>
      <c r="AQO19" s="4"/>
      <c r="AQP19" s="4"/>
      <c r="AQQ19" s="4"/>
      <c r="AQR19" s="4"/>
      <c r="AQS19" s="4"/>
      <c r="AQT19" s="4"/>
      <c r="AQU19" s="4"/>
      <c r="AQV19" s="4"/>
      <c r="AQW19" s="4"/>
      <c r="AQX19" s="4"/>
      <c r="AQY19" s="4"/>
      <c r="AQZ19" s="4"/>
      <c r="ARA19" s="4"/>
      <c r="ARB19" s="4"/>
      <c r="ARC19" s="4"/>
      <c r="ARD19" s="4"/>
      <c r="ARE19" s="4"/>
      <c r="ARF19" s="4"/>
      <c r="ARG19" s="4"/>
      <c r="ARH19" s="4"/>
      <c r="ARI19" s="4"/>
      <c r="ARJ19" s="4"/>
      <c r="ARK19" s="4"/>
      <c r="ARL19" s="4"/>
      <c r="ARM19" s="4"/>
      <c r="ARN19" s="4"/>
      <c r="ARO19" s="4"/>
      <c r="ARP19" s="4"/>
      <c r="ARQ19" s="4"/>
      <c r="ARR19" s="4"/>
      <c r="ARS19" s="4"/>
      <c r="ART19" s="4"/>
      <c r="ARU19" s="4"/>
      <c r="ARV19" s="4"/>
      <c r="ARW19" s="4"/>
      <c r="ARX19" s="4"/>
      <c r="ARY19" s="4"/>
      <c r="ARZ19" s="4"/>
      <c r="ASA19" s="4"/>
      <c r="ASB19" s="4"/>
      <c r="ASC19" s="4"/>
      <c r="ASD19" s="4"/>
      <c r="ASE19" s="4"/>
      <c r="ASF19" s="4"/>
      <c r="ASG19" s="4"/>
      <c r="ASH19" s="4"/>
      <c r="ASI19" s="4"/>
      <c r="ASJ19" s="4"/>
      <c r="ASK19" s="4"/>
      <c r="ASL19" s="4"/>
      <c r="ASM19" s="4"/>
      <c r="ASN19" s="4"/>
      <c r="ASO19" s="4"/>
      <c r="ASP19" s="4"/>
      <c r="ASQ19" s="4"/>
      <c r="ASR19" s="4"/>
      <c r="ASS19" s="4"/>
      <c r="AST19" s="4"/>
      <c r="ASU19" s="4"/>
      <c r="ASV19" s="4"/>
      <c r="ASW19" s="4"/>
      <c r="ASX19" s="4"/>
      <c r="ASY19" s="4"/>
      <c r="ASZ19" s="4"/>
      <c r="ATA19" s="4"/>
      <c r="ATB19" s="4"/>
      <c r="ATC19" s="4"/>
      <c r="ATD19" s="4"/>
      <c r="ATE19" s="4"/>
      <c r="ATF19" s="4"/>
      <c r="ATG19" s="4"/>
      <c r="ATH19" s="4"/>
      <c r="ATI19" s="4"/>
      <c r="ATJ19" s="4"/>
      <c r="ATK19" s="4"/>
      <c r="ATL19" s="4"/>
      <c r="ATM19" s="4"/>
      <c r="ATN19" s="4"/>
      <c r="ATO19" s="4"/>
      <c r="ATP19" s="4"/>
      <c r="ATQ19" s="4"/>
      <c r="ATR19" s="4"/>
      <c r="ATS19" s="4"/>
      <c r="ATT19" s="4"/>
      <c r="ATU19" s="4"/>
      <c r="ATV19" s="4"/>
      <c r="ATW19" s="4"/>
      <c r="ATX19" s="4"/>
      <c r="ATY19" s="4"/>
      <c r="ATZ19" s="4"/>
      <c r="AUA19" s="4"/>
      <c r="AUB19" s="4"/>
      <c r="AUC19" s="4"/>
      <c r="AUD19" s="4"/>
      <c r="AUE19" s="4"/>
      <c r="AUF19" s="4"/>
      <c r="AUG19" s="4"/>
      <c r="AUH19" s="4"/>
      <c r="AUI19" s="4"/>
      <c r="AUJ19" s="4"/>
      <c r="AUK19" s="4"/>
      <c r="AUL19" s="4"/>
      <c r="AUM19" s="4"/>
      <c r="AUN19" s="4"/>
      <c r="AUO19" s="4"/>
      <c r="AUP19" s="4"/>
      <c r="AUQ19" s="4"/>
      <c r="AUR19" s="4"/>
      <c r="AUS19" s="4"/>
      <c r="AUT19" s="4"/>
      <c r="AUU19" s="4"/>
      <c r="AUV19" s="4"/>
      <c r="AUW19" s="4"/>
      <c r="AUX19" s="4"/>
      <c r="AUY19" s="4"/>
      <c r="AUZ19" s="4"/>
      <c r="AVA19" s="4"/>
      <c r="AVB19" s="4"/>
      <c r="AVC19" s="4"/>
      <c r="AVD19" s="4"/>
      <c r="AVE19" s="4"/>
      <c r="AVF19" s="4"/>
      <c r="AVG19" s="4"/>
      <c r="AVH19" s="4"/>
      <c r="AVI19" s="4"/>
      <c r="AVJ19" s="4"/>
      <c r="AVK19" s="4"/>
      <c r="AVL19" s="4"/>
      <c r="AVM19" s="4"/>
      <c r="AVN19" s="4"/>
      <c r="AVO19" s="4"/>
      <c r="AVP19" s="4"/>
      <c r="AVQ19" s="4"/>
      <c r="AVR19" s="4"/>
      <c r="AVS19" s="4"/>
      <c r="AVT19" s="4"/>
      <c r="AVU19" s="4"/>
      <c r="AVV19" s="4"/>
      <c r="AVW19" s="4"/>
      <c r="AVX19" s="4"/>
      <c r="AVY19" s="4"/>
      <c r="AVZ19" s="4"/>
      <c r="AWA19" s="4"/>
      <c r="AWB19" s="4"/>
      <c r="AWC19" s="4"/>
      <c r="AWD19" s="4"/>
      <c r="AWE19" s="4"/>
      <c r="AWF19" s="4"/>
      <c r="AWG19" s="4"/>
      <c r="AWH19" s="4"/>
      <c r="AWI19" s="4"/>
      <c r="AWJ19" s="4"/>
      <c r="AWK19" s="4"/>
      <c r="AWL19" s="4"/>
      <c r="AWM19" s="4"/>
      <c r="AWN19" s="4"/>
      <c r="AWO19" s="4"/>
      <c r="AWP19" s="4"/>
      <c r="AWQ19" s="4"/>
      <c r="AWR19" s="4"/>
      <c r="AWS19" s="4"/>
      <c r="AWT19" s="4"/>
      <c r="AWU19" s="4"/>
      <c r="AWV19" s="4"/>
      <c r="AWW19" s="4"/>
      <c r="AWX19" s="4"/>
      <c r="AWY19" s="4"/>
      <c r="AWZ19" s="4"/>
      <c r="AXA19" s="4"/>
      <c r="AXB19" s="4"/>
      <c r="AXC19" s="4"/>
      <c r="AXD19" s="4"/>
      <c r="AXE19" s="4"/>
      <c r="AXF19" s="4"/>
      <c r="AXG19" s="4"/>
      <c r="AXH19" s="4"/>
      <c r="AXI19" s="4"/>
      <c r="AXJ19" s="4"/>
      <c r="AXK19" s="4"/>
      <c r="AXL19" s="4"/>
      <c r="AXM19" s="4"/>
      <c r="AXN19" s="4"/>
      <c r="AXO19" s="4"/>
      <c r="AXP19" s="4"/>
      <c r="AXQ19" s="4"/>
      <c r="AXR19" s="4"/>
      <c r="AXS19" s="4"/>
      <c r="AXT19" s="4"/>
      <c r="AXU19" s="4"/>
      <c r="AXV19" s="4"/>
      <c r="AXW19" s="4"/>
      <c r="AXX19" s="4"/>
      <c r="AXY19" s="4"/>
      <c r="AXZ19" s="4"/>
      <c r="AYA19" s="4"/>
      <c r="AYB19" s="4"/>
      <c r="AYC19" s="4"/>
      <c r="AYD19" s="4"/>
      <c r="AYE19" s="4"/>
      <c r="AYF19" s="4"/>
      <c r="AYG19" s="4"/>
      <c r="AYH19" s="4"/>
      <c r="AYI19" s="4"/>
      <c r="AYJ19" s="4"/>
      <c r="AYK19" s="4"/>
      <c r="AYL19" s="4"/>
      <c r="AYM19" s="4"/>
      <c r="AYN19" s="4"/>
      <c r="AYO19" s="4"/>
      <c r="AYP19" s="4"/>
      <c r="AYQ19" s="4"/>
      <c r="AYR19" s="4"/>
      <c r="AYS19" s="4"/>
      <c r="AYT19" s="4"/>
      <c r="AYU19" s="4"/>
      <c r="AYV19" s="4"/>
      <c r="AYW19" s="4"/>
      <c r="AYX19" s="4"/>
      <c r="AYY19" s="4"/>
      <c r="AYZ19" s="4"/>
      <c r="AZA19" s="4"/>
      <c r="AZB19" s="4"/>
      <c r="AZC19" s="4"/>
      <c r="AZD19" s="4"/>
      <c r="AZE19" s="4"/>
      <c r="AZF19" s="4"/>
      <c r="AZG19" s="4"/>
      <c r="AZH19" s="4"/>
      <c r="AZI19" s="4"/>
      <c r="AZJ19" s="4"/>
      <c r="AZK19" s="4"/>
      <c r="AZL19" s="4"/>
      <c r="AZM19" s="4"/>
      <c r="AZN19" s="4"/>
      <c r="AZO19" s="4"/>
      <c r="AZP19" s="4"/>
      <c r="AZQ19" s="4"/>
      <c r="AZR19" s="4"/>
      <c r="AZS19" s="4"/>
      <c r="AZT19" s="4"/>
      <c r="AZU19" s="4"/>
      <c r="AZV19" s="4"/>
      <c r="AZW19" s="4"/>
      <c r="AZX19" s="4"/>
      <c r="AZY19" s="4"/>
      <c r="AZZ19" s="4"/>
      <c r="BAA19" s="4"/>
      <c r="BAB19" s="4"/>
      <c r="BAC19" s="4"/>
      <c r="BAD19" s="4"/>
      <c r="BAE19" s="4"/>
      <c r="BAF19" s="4"/>
      <c r="BAG19" s="4"/>
      <c r="BAH19" s="4"/>
      <c r="BAI19" s="4"/>
      <c r="BAJ19" s="4"/>
      <c r="BAK19" s="4"/>
      <c r="BAL19" s="4"/>
      <c r="BAM19" s="4"/>
      <c r="BAN19" s="4"/>
      <c r="BAO19" s="4"/>
      <c r="BAP19" s="4"/>
      <c r="BAQ19" s="4"/>
      <c r="BAR19" s="4"/>
      <c r="BAS19" s="4"/>
      <c r="BAT19" s="4"/>
      <c r="BAU19" s="4"/>
      <c r="BAV19" s="4"/>
      <c r="BAW19" s="4"/>
      <c r="BAX19" s="4"/>
      <c r="BAY19" s="4"/>
      <c r="BAZ19" s="4"/>
      <c r="BBA19" s="4"/>
      <c r="BBB19" s="4"/>
      <c r="BBC19" s="4"/>
      <c r="BBD19" s="4"/>
      <c r="BBE19" s="4"/>
      <c r="BBF19" s="4"/>
      <c r="BBG19" s="4"/>
      <c r="BBH19" s="4"/>
      <c r="BBI19" s="4"/>
      <c r="BBJ19" s="4"/>
      <c r="BBK19" s="4"/>
      <c r="BBL19" s="4"/>
      <c r="BBM19" s="4"/>
      <c r="BBN19" s="4"/>
      <c r="BBO19" s="4"/>
      <c r="BBP19" s="4"/>
      <c r="BBQ19" s="4"/>
      <c r="BBR19" s="4"/>
      <c r="BBS19" s="4"/>
      <c r="BBT19" s="4"/>
      <c r="BBU19" s="4"/>
      <c r="BBV19" s="4"/>
      <c r="BBW19" s="4"/>
      <c r="BBX19" s="4"/>
      <c r="BBY19" s="4"/>
      <c r="BBZ19" s="4"/>
      <c r="BCA19" s="4"/>
      <c r="BCB19" s="4"/>
      <c r="BCC19" s="4"/>
      <c r="BCD19" s="4"/>
      <c r="BCE19" s="4"/>
      <c r="BCF19" s="4"/>
      <c r="BCG19" s="4"/>
      <c r="BCH19" s="4"/>
      <c r="BCI19" s="4"/>
      <c r="BCJ19" s="4"/>
      <c r="BCK19" s="4"/>
      <c r="BCL19" s="4"/>
      <c r="BCM19" s="4"/>
      <c r="BCN19" s="4"/>
      <c r="BCO19" s="4"/>
      <c r="BCP19" s="4"/>
      <c r="BCQ19" s="4"/>
      <c r="BCR19" s="4"/>
      <c r="BCS19" s="4"/>
      <c r="BCT19" s="4"/>
      <c r="BCU19" s="4"/>
      <c r="BCV19" s="4"/>
      <c r="BCW19" s="4"/>
      <c r="BCX19" s="4"/>
      <c r="BCY19" s="4"/>
      <c r="BCZ19" s="4"/>
      <c r="BDA19" s="4"/>
      <c r="BDB19" s="4"/>
      <c r="BDC19" s="4"/>
      <c r="BDD19" s="4"/>
      <c r="BDE19" s="4"/>
      <c r="BDF19" s="4"/>
      <c r="BDG19" s="4"/>
      <c r="BDH19" s="4"/>
      <c r="BDI19" s="4"/>
      <c r="BDJ19" s="4"/>
      <c r="BDK19" s="4"/>
      <c r="BDL19" s="4"/>
      <c r="BDM19" s="4"/>
      <c r="BDN19" s="4"/>
      <c r="BDO19" s="4"/>
      <c r="BDP19" s="4"/>
      <c r="BDQ19" s="4"/>
      <c r="BDR19" s="4"/>
      <c r="BDS19" s="4"/>
      <c r="BDT19" s="4"/>
      <c r="BDU19" s="4"/>
      <c r="BDV19" s="4"/>
      <c r="BDW19" s="4"/>
      <c r="BDX19" s="4"/>
      <c r="BDY19" s="4"/>
      <c r="BDZ19" s="4"/>
      <c r="BEA19" s="4"/>
      <c r="BEB19" s="4"/>
      <c r="BEC19" s="4"/>
      <c r="BED19" s="4"/>
      <c r="BEE19" s="4"/>
      <c r="BEF19" s="4"/>
      <c r="BEG19" s="4"/>
      <c r="BEH19" s="4"/>
      <c r="BEI19" s="4"/>
      <c r="BEJ19" s="4"/>
      <c r="BEK19" s="4"/>
      <c r="BEL19" s="4"/>
      <c r="BEM19" s="4"/>
      <c r="BEN19" s="4"/>
      <c r="BEO19" s="4"/>
      <c r="BEP19" s="4"/>
      <c r="BEQ19" s="4"/>
      <c r="BER19" s="4"/>
      <c r="BES19" s="4"/>
      <c r="BET19" s="4"/>
      <c r="BEU19" s="4"/>
      <c r="BEV19" s="4"/>
      <c r="BEW19" s="4"/>
      <c r="BEX19" s="4"/>
      <c r="BEY19" s="4"/>
      <c r="BEZ19" s="4"/>
      <c r="BFA19" s="4"/>
      <c r="BFB19" s="4"/>
      <c r="BFC19" s="4"/>
      <c r="BFD19" s="4"/>
      <c r="BFE19" s="4"/>
      <c r="BFF19" s="4"/>
      <c r="BFG19" s="4"/>
      <c r="BFH19" s="4"/>
      <c r="BFI19" s="4"/>
      <c r="BFJ19" s="4"/>
      <c r="BFK19" s="4"/>
      <c r="BFL19" s="4"/>
      <c r="BFM19" s="4"/>
      <c r="BFN19" s="4"/>
      <c r="BFO19" s="4"/>
      <c r="BFP19" s="4"/>
      <c r="BFQ19" s="4"/>
      <c r="BFR19" s="4"/>
      <c r="BFS19" s="4"/>
      <c r="BFT19" s="4"/>
      <c r="BFU19" s="4"/>
      <c r="BFV19" s="4"/>
      <c r="BFW19" s="4"/>
      <c r="BFX19" s="4"/>
      <c r="BFY19" s="4"/>
      <c r="BFZ19" s="4"/>
      <c r="BGA19" s="4"/>
      <c r="BGB19" s="4"/>
      <c r="BGC19" s="4"/>
      <c r="BGD19" s="4"/>
      <c r="BGE19" s="4"/>
      <c r="BGF19" s="4"/>
      <c r="BGG19" s="4"/>
      <c r="BGH19" s="4"/>
      <c r="BGI19" s="4"/>
      <c r="BGJ19" s="4"/>
      <c r="BGK19" s="4"/>
      <c r="BGL19" s="4"/>
      <c r="BGM19" s="4"/>
      <c r="BGN19" s="4"/>
      <c r="BGO19" s="4"/>
      <c r="BGP19" s="4"/>
      <c r="BGQ19" s="4"/>
      <c r="BGR19" s="4"/>
      <c r="BGS19" s="4"/>
      <c r="BGT19" s="4"/>
      <c r="BGU19" s="4"/>
      <c r="BGV19" s="4"/>
      <c r="BGW19" s="4"/>
      <c r="BGX19" s="4"/>
      <c r="BGY19" s="4"/>
      <c r="BGZ19" s="4"/>
      <c r="BHA19" s="4"/>
      <c r="BHB19" s="4"/>
      <c r="BHC19" s="4"/>
      <c r="BHD19" s="4"/>
      <c r="BHE19" s="4"/>
      <c r="BHF19" s="4"/>
      <c r="BHG19" s="4"/>
      <c r="BHH19" s="4"/>
      <c r="BHI19" s="4"/>
      <c r="BHJ19" s="4"/>
      <c r="BHK19" s="4"/>
      <c r="BHL19" s="4"/>
      <c r="BHM19" s="4"/>
      <c r="BHN19" s="4"/>
      <c r="BHO19" s="4"/>
      <c r="BHP19" s="4"/>
      <c r="BHQ19" s="4"/>
      <c r="BHR19" s="4"/>
      <c r="BHS19" s="4"/>
      <c r="BHT19" s="4"/>
      <c r="BHU19" s="4"/>
      <c r="BHV19" s="4"/>
      <c r="BHW19" s="4"/>
      <c r="BHX19" s="4"/>
      <c r="BHY19" s="4"/>
      <c r="BHZ19" s="4"/>
      <c r="BIA19" s="4"/>
      <c r="BIB19" s="4"/>
      <c r="BIC19" s="4"/>
      <c r="BID19" s="4"/>
      <c r="BIE19" s="4"/>
      <c r="BIF19" s="4"/>
      <c r="BIG19" s="4"/>
      <c r="BIH19" s="4"/>
      <c r="BII19" s="4"/>
      <c r="BIJ19" s="4"/>
      <c r="BIK19" s="4"/>
      <c r="BIL19" s="4"/>
      <c r="BIM19" s="4"/>
      <c r="BIN19" s="4"/>
      <c r="BIO19" s="4"/>
      <c r="BIP19" s="4"/>
      <c r="BIQ19" s="4"/>
      <c r="BIR19" s="4"/>
      <c r="BIS19" s="4"/>
      <c r="BIT19" s="4"/>
      <c r="BIU19" s="4"/>
      <c r="BIV19" s="4"/>
      <c r="BIW19" s="4"/>
      <c r="BIX19" s="4"/>
      <c r="BIY19" s="4"/>
      <c r="BIZ19" s="4"/>
      <c r="BJA19" s="4"/>
      <c r="BJB19" s="4"/>
      <c r="BJC19" s="4"/>
      <c r="BJD19" s="4"/>
      <c r="BJE19" s="4"/>
      <c r="BJF19" s="4"/>
      <c r="BJG19" s="4"/>
      <c r="BJH19" s="4"/>
      <c r="BJI19" s="4"/>
      <c r="BJJ19" s="4"/>
      <c r="BJK19" s="4"/>
      <c r="BJL19" s="4"/>
      <c r="BJM19" s="4"/>
      <c r="BJN19" s="4"/>
      <c r="BJO19" s="4"/>
      <c r="BJP19" s="4"/>
      <c r="BJQ19" s="4"/>
      <c r="BJR19" s="4"/>
      <c r="BJS19" s="4"/>
      <c r="BJT19" s="4"/>
      <c r="BJU19" s="4"/>
      <c r="BJV19" s="4"/>
      <c r="BJW19" s="4"/>
      <c r="BJX19" s="4"/>
      <c r="BJY19" s="4"/>
      <c r="BJZ19" s="4"/>
      <c r="BKA19" s="4"/>
      <c r="BKB19" s="4"/>
      <c r="BKC19" s="4"/>
      <c r="BKD19" s="4"/>
      <c r="BKE19" s="4"/>
      <c r="BKF19" s="4"/>
      <c r="BKG19" s="4"/>
      <c r="BKH19" s="4"/>
      <c r="BKI19" s="4"/>
      <c r="BKJ19" s="4"/>
      <c r="BKK19" s="4"/>
      <c r="BKL19" s="4"/>
      <c r="BKM19" s="4"/>
      <c r="BKN19" s="4"/>
      <c r="BKO19" s="4"/>
      <c r="BKP19" s="4"/>
      <c r="BKQ19" s="4"/>
      <c r="BKR19" s="4"/>
      <c r="BKS19" s="4"/>
      <c r="BKT19" s="4"/>
      <c r="BKU19" s="4"/>
      <c r="BKV19" s="4"/>
      <c r="BKW19" s="4"/>
      <c r="BKX19" s="4"/>
      <c r="BKY19" s="4"/>
      <c r="BKZ19" s="4"/>
      <c r="BLA19" s="4"/>
      <c r="BLB19" s="4"/>
      <c r="BLC19" s="4"/>
      <c r="BLD19" s="4"/>
      <c r="BLE19" s="4"/>
      <c r="BLF19" s="4"/>
      <c r="BLG19" s="4"/>
      <c r="BLH19" s="4"/>
      <c r="BLI19" s="4"/>
      <c r="BLJ19" s="4"/>
      <c r="BLK19" s="4"/>
      <c r="BLL19" s="4"/>
      <c r="BLM19" s="4"/>
      <c r="BLN19" s="4"/>
      <c r="BLO19" s="4"/>
      <c r="BLP19" s="4"/>
      <c r="BLQ19" s="4"/>
      <c r="BLR19" s="4"/>
      <c r="BLS19" s="4"/>
      <c r="BLT19" s="4"/>
      <c r="BLU19" s="4"/>
      <c r="BLV19" s="4"/>
      <c r="BLW19" s="4"/>
      <c r="BLX19" s="4"/>
      <c r="BLY19" s="4"/>
      <c r="BLZ19" s="4"/>
      <c r="BMA19" s="4"/>
      <c r="BMB19" s="4"/>
      <c r="BMC19" s="4"/>
      <c r="BMD19" s="4"/>
      <c r="BME19" s="4"/>
      <c r="BMF19" s="4"/>
      <c r="BMG19" s="4"/>
      <c r="BMH19" s="4"/>
      <c r="BMI19" s="4"/>
      <c r="BMJ19" s="4"/>
      <c r="BMK19" s="4"/>
      <c r="BML19" s="4"/>
      <c r="BMM19" s="4"/>
      <c r="BMN19" s="4"/>
      <c r="BMO19" s="4"/>
      <c r="BMP19" s="4"/>
      <c r="BMQ19" s="4"/>
      <c r="BMR19" s="4"/>
      <c r="BMS19" s="4"/>
      <c r="BMT19" s="4"/>
      <c r="BMU19" s="4"/>
      <c r="BMV19" s="4"/>
      <c r="BMW19" s="4"/>
      <c r="BMX19" s="4"/>
      <c r="BMY19" s="4"/>
      <c r="BMZ19" s="4"/>
      <c r="BNA19" s="4"/>
      <c r="BNB19" s="4"/>
      <c r="BNC19" s="4"/>
      <c r="BND19" s="4"/>
      <c r="BNE19" s="4"/>
      <c r="BNF19" s="4"/>
      <c r="BNG19" s="4"/>
      <c r="BNH19" s="4"/>
      <c r="BNI19" s="4"/>
      <c r="BNJ19" s="4"/>
      <c r="BNK19" s="4"/>
      <c r="BNL19" s="4"/>
      <c r="BNM19" s="4"/>
      <c r="BNN19" s="4"/>
      <c r="BNO19" s="4"/>
      <c r="BNP19" s="4"/>
      <c r="BNQ19" s="4"/>
      <c r="BNR19" s="4"/>
      <c r="BNS19" s="4"/>
      <c r="BNT19" s="4"/>
      <c r="BNU19" s="4"/>
      <c r="BNV19" s="4"/>
      <c r="BNW19" s="4"/>
      <c r="BNX19" s="4"/>
      <c r="BNY19" s="4"/>
      <c r="BNZ19" s="4"/>
      <c r="BOA19" s="4"/>
      <c r="BOB19" s="4"/>
      <c r="BOC19" s="4"/>
      <c r="BOD19" s="4"/>
      <c r="BOE19" s="4"/>
      <c r="BOF19" s="4"/>
      <c r="BOG19" s="4"/>
      <c r="BOH19" s="4"/>
      <c r="BOI19" s="4"/>
      <c r="BOJ19" s="4"/>
      <c r="BOK19" s="4"/>
      <c r="BOL19" s="4"/>
      <c r="BOM19" s="4"/>
      <c r="BON19" s="4"/>
      <c r="BOO19" s="4"/>
      <c r="BOP19" s="4"/>
      <c r="BOQ19" s="4"/>
      <c r="BOR19" s="4"/>
      <c r="BOS19" s="4"/>
      <c r="BOT19" s="4"/>
      <c r="BOU19" s="4"/>
      <c r="BOV19" s="4"/>
      <c r="BOW19" s="4"/>
      <c r="BOX19" s="4"/>
      <c r="BOY19" s="4"/>
      <c r="BOZ19" s="4"/>
      <c r="BPA19" s="60"/>
    </row>
    <row r="20" s="5" customFormat="1" ht="60" customHeight="1" spans="1:1024 1025:1769">
      <c r="A20" s="47" t="s">
        <v>72</v>
      </c>
      <c r="B20" s="48" t="s">
        <v>1278</v>
      </c>
      <c r="C20" s="48" t="s">
        <v>1279</v>
      </c>
      <c r="D20" s="49" t="s">
        <v>1280</v>
      </c>
      <c r="E20" s="56"/>
      <c r="F20" s="51">
        <v>46175</v>
      </c>
      <c r="G20" s="57" t="s">
        <v>7</v>
      </c>
      <c r="H20" s="56"/>
      <c r="J20" s="5" t="s">
        <v>1254</v>
      </c>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c r="AGL20" s="4"/>
      <c r="AGM20" s="4"/>
      <c r="AGN20" s="4"/>
      <c r="AGO20" s="4"/>
      <c r="AGP20" s="4"/>
      <c r="AGQ20" s="4"/>
      <c r="AGR20" s="4"/>
      <c r="AGS20" s="4"/>
      <c r="AGT20" s="4"/>
      <c r="AGU20" s="4"/>
      <c r="AGV20" s="4"/>
      <c r="AGW20" s="4"/>
      <c r="AGX20" s="4"/>
      <c r="AGY20" s="4"/>
      <c r="AGZ20" s="4"/>
      <c r="AHA20" s="4"/>
      <c r="AHB20" s="4"/>
      <c r="AHC20" s="4"/>
      <c r="AHD20" s="4"/>
      <c r="AHE20" s="4"/>
      <c r="AHF20" s="4"/>
      <c r="AHG20" s="4"/>
      <c r="AHH20" s="4"/>
      <c r="AHI20" s="4"/>
      <c r="AHJ20" s="4"/>
      <c r="AHK20" s="4"/>
      <c r="AHL20" s="4"/>
      <c r="AHM20" s="4"/>
      <c r="AHN20" s="4"/>
      <c r="AHO20" s="4"/>
      <c r="AHP20" s="4"/>
      <c r="AHQ20" s="4"/>
      <c r="AHR20" s="4"/>
      <c r="AHS20" s="4"/>
      <c r="AHT20" s="4"/>
      <c r="AHU20" s="4"/>
      <c r="AHV20" s="4"/>
      <c r="AHW20" s="4"/>
      <c r="AHX20" s="4"/>
      <c r="AHY20" s="4"/>
      <c r="AHZ20" s="4"/>
      <c r="AIA20" s="4"/>
      <c r="AIB20" s="4"/>
      <c r="AIC20" s="4"/>
      <c r="AID20" s="4"/>
      <c r="AIE20" s="4"/>
      <c r="AIF20" s="4"/>
      <c r="AIG20" s="4"/>
      <c r="AIH20" s="4"/>
      <c r="AII20" s="4"/>
      <c r="AIJ20" s="4"/>
      <c r="AIK20" s="4"/>
      <c r="AIL20" s="4"/>
      <c r="AIM20" s="4"/>
      <c r="AIN20" s="4"/>
      <c r="AIO20" s="4"/>
      <c r="AIP20" s="4"/>
      <c r="AIQ20" s="4"/>
      <c r="AIR20" s="4"/>
      <c r="AIS20" s="4"/>
      <c r="AIT20" s="4"/>
      <c r="AIU20" s="4"/>
      <c r="AIV20" s="4"/>
      <c r="AIW20" s="4"/>
      <c r="AIX20" s="4"/>
      <c r="AIY20" s="4"/>
      <c r="AIZ20" s="4"/>
      <c r="AJA20" s="4"/>
      <c r="AJB20" s="4"/>
      <c r="AJC20" s="4"/>
      <c r="AJD20" s="4"/>
      <c r="AJE20" s="4"/>
      <c r="AJF20" s="4"/>
      <c r="AJG20" s="4"/>
      <c r="AJH20" s="4"/>
      <c r="AJI20" s="4"/>
      <c r="AJJ20" s="4"/>
      <c r="AJK20" s="4"/>
      <c r="AJL20" s="4"/>
      <c r="AJM20" s="4"/>
      <c r="AJN20" s="4"/>
      <c r="AJO20" s="4"/>
      <c r="AJP20" s="4"/>
      <c r="AJQ20" s="4"/>
      <c r="AJR20" s="4"/>
      <c r="AJS20" s="4"/>
      <c r="AJT20" s="4"/>
      <c r="AJU20" s="4"/>
      <c r="AJV20" s="4"/>
      <c r="AJW20" s="4"/>
      <c r="AJX20" s="4"/>
      <c r="AJY20" s="4"/>
      <c r="AJZ20" s="4"/>
      <c r="AKA20" s="4"/>
      <c r="AKB20" s="4"/>
      <c r="AKC20" s="4"/>
      <c r="AKD20" s="4"/>
      <c r="AKE20" s="4"/>
      <c r="AKF20" s="4"/>
      <c r="AKG20" s="4"/>
      <c r="AKH20" s="4"/>
      <c r="AKI20" s="4"/>
      <c r="AKJ20" s="4"/>
      <c r="AKK20" s="4"/>
      <c r="AKL20" s="4"/>
      <c r="AKM20" s="4"/>
      <c r="AKN20" s="4"/>
      <c r="AKO20" s="4"/>
      <c r="AKP20" s="4"/>
      <c r="AKQ20" s="4"/>
      <c r="AKR20" s="4"/>
      <c r="AKS20" s="4"/>
      <c r="AKT20" s="4"/>
      <c r="AKU20" s="4"/>
      <c r="AKV20" s="4"/>
      <c r="AKW20" s="4"/>
      <c r="AKX20" s="4"/>
      <c r="AKY20" s="4"/>
      <c r="AKZ20" s="4"/>
      <c r="ALA20" s="4"/>
      <c r="ALB20" s="4"/>
      <c r="ALC20" s="4"/>
      <c r="ALD20" s="4"/>
      <c r="ALE20" s="4"/>
      <c r="ALF20" s="4"/>
      <c r="ALG20" s="4"/>
      <c r="ALH20" s="4"/>
      <c r="ALI20" s="4"/>
      <c r="ALJ20" s="4"/>
      <c r="ALK20" s="4"/>
      <c r="ALL20" s="4"/>
      <c r="ALM20" s="4"/>
      <c r="ALN20" s="4"/>
      <c r="ALO20" s="4"/>
      <c r="ALP20" s="4"/>
      <c r="ALQ20" s="4"/>
      <c r="ALR20" s="4"/>
      <c r="ALS20" s="4"/>
      <c r="ALT20" s="4"/>
      <c r="ALU20" s="4"/>
      <c r="ALV20" s="4"/>
      <c r="ALW20" s="4"/>
      <c r="ALX20" s="4"/>
      <c r="ALY20" s="4"/>
      <c r="ALZ20" s="4"/>
      <c r="AMA20" s="4"/>
      <c r="AMB20" s="4"/>
      <c r="AMC20" s="4"/>
      <c r="AMD20" s="4"/>
      <c r="AME20" s="4"/>
      <c r="AMF20" s="4"/>
      <c r="AMG20" s="4"/>
      <c r="AMH20" s="4"/>
      <c r="AMI20" s="4"/>
      <c r="AMJ20" s="4"/>
      <c r="AMK20" s="4"/>
      <c r="AML20" s="4"/>
      <c r="AMM20" s="4"/>
      <c r="AMN20" s="4"/>
      <c r="AMO20" s="4"/>
      <c r="AMP20" s="4"/>
      <c r="AMQ20" s="4"/>
      <c r="AMR20" s="4"/>
      <c r="AMS20" s="4"/>
      <c r="AMT20" s="4"/>
      <c r="AMU20" s="4"/>
      <c r="AMV20" s="4"/>
      <c r="AMW20" s="4"/>
      <c r="AMX20" s="4"/>
      <c r="AMY20" s="4"/>
      <c r="AMZ20" s="4"/>
      <c r="ANA20" s="4"/>
      <c r="ANB20" s="4"/>
      <c r="ANC20" s="4"/>
      <c r="AND20" s="4"/>
      <c r="ANE20" s="4"/>
      <c r="ANF20" s="4"/>
      <c r="ANG20" s="4"/>
      <c r="ANH20" s="4"/>
      <c r="ANI20" s="4"/>
      <c r="ANJ20" s="4"/>
      <c r="ANK20" s="4"/>
      <c r="ANL20" s="4"/>
      <c r="ANM20" s="4"/>
      <c r="ANN20" s="4"/>
      <c r="ANO20" s="4"/>
      <c r="ANP20" s="4"/>
      <c r="ANQ20" s="4"/>
      <c r="ANR20" s="4"/>
      <c r="ANS20" s="4"/>
      <c r="ANT20" s="4"/>
      <c r="ANU20" s="4"/>
      <c r="ANV20" s="4"/>
      <c r="ANW20" s="4"/>
      <c r="ANX20" s="4"/>
      <c r="ANY20" s="4"/>
      <c r="ANZ20" s="4"/>
      <c r="AOA20" s="4"/>
      <c r="AOB20" s="4"/>
      <c r="AOC20" s="4"/>
      <c r="AOD20" s="4"/>
      <c r="AOE20" s="4"/>
      <c r="AOF20" s="4"/>
      <c r="AOG20" s="4"/>
      <c r="AOH20" s="4"/>
      <c r="AOI20" s="4"/>
      <c r="AOJ20" s="4"/>
      <c r="AOK20" s="4"/>
      <c r="AOL20" s="4"/>
      <c r="AOM20" s="4"/>
      <c r="AON20" s="4"/>
      <c r="AOO20" s="4"/>
      <c r="AOP20" s="4"/>
      <c r="AOQ20" s="4"/>
      <c r="AOR20" s="4"/>
      <c r="AOS20" s="4"/>
      <c r="AOT20" s="4"/>
      <c r="AOU20" s="4"/>
      <c r="AOV20" s="4"/>
      <c r="AOW20" s="4"/>
      <c r="AOX20" s="4"/>
      <c r="AOY20" s="4"/>
      <c r="AOZ20" s="4"/>
      <c r="APA20" s="4"/>
      <c r="APB20" s="4"/>
      <c r="APC20" s="4"/>
      <c r="APD20" s="4"/>
      <c r="APE20" s="4"/>
      <c r="APF20" s="4"/>
      <c r="APG20" s="4"/>
      <c r="APH20" s="4"/>
      <c r="API20" s="4"/>
      <c r="APJ20" s="4"/>
      <c r="APK20" s="4"/>
      <c r="APL20" s="4"/>
      <c r="APM20" s="4"/>
      <c r="APN20" s="4"/>
      <c r="APO20" s="4"/>
      <c r="APP20" s="4"/>
      <c r="APQ20" s="4"/>
      <c r="APR20" s="4"/>
      <c r="APS20" s="4"/>
      <c r="APT20" s="4"/>
      <c r="APU20" s="4"/>
      <c r="APV20" s="4"/>
      <c r="APW20" s="4"/>
      <c r="APX20" s="4"/>
      <c r="APY20" s="4"/>
      <c r="APZ20" s="4"/>
      <c r="AQA20" s="4"/>
      <c r="AQB20" s="4"/>
      <c r="AQC20" s="4"/>
      <c r="AQD20" s="4"/>
      <c r="AQE20" s="4"/>
      <c r="AQF20" s="4"/>
      <c r="AQG20" s="4"/>
      <c r="AQH20" s="4"/>
      <c r="AQI20" s="4"/>
      <c r="AQJ20" s="4"/>
      <c r="AQK20" s="4"/>
      <c r="AQL20" s="4"/>
      <c r="AQM20" s="4"/>
      <c r="AQN20" s="4"/>
      <c r="AQO20" s="4"/>
      <c r="AQP20" s="4"/>
      <c r="AQQ20" s="4"/>
      <c r="AQR20" s="4"/>
      <c r="AQS20" s="4"/>
      <c r="AQT20" s="4"/>
      <c r="AQU20" s="4"/>
      <c r="AQV20" s="4"/>
      <c r="AQW20" s="4"/>
      <c r="AQX20" s="4"/>
      <c r="AQY20" s="4"/>
      <c r="AQZ20" s="4"/>
      <c r="ARA20" s="4"/>
      <c r="ARB20" s="4"/>
      <c r="ARC20" s="4"/>
      <c r="ARD20" s="4"/>
      <c r="ARE20" s="4"/>
      <c r="ARF20" s="4"/>
      <c r="ARG20" s="4"/>
      <c r="ARH20" s="4"/>
      <c r="ARI20" s="4"/>
      <c r="ARJ20" s="4"/>
      <c r="ARK20" s="4"/>
      <c r="ARL20" s="4"/>
      <c r="ARM20" s="4"/>
      <c r="ARN20" s="4"/>
      <c r="ARO20" s="4"/>
      <c r="ARP20" s="4"/>
      <c r="ARQ20" s="4"/>
      <c r="ARR20" s="4"/>
      <c r="ARS20" s="4"/>
      <c r="ART20" s="4"/>
      <c r="ARU20" s="4"/>
      <c r="ARV20" s="4"/>
      <c r="ARW20" s="4"/>
      <c r="ARX20" s="4"/>
      <c r="ARY20" s="4"/>
      <c r="ARZ20" s="4"/>
      <c r="ASA20" s="4"/>
      <c r="ASB20" s="4"/>
      <c r="ASC20" s="4"/>
      <c r="ASD20" s="4"/>
      <c r="ASE20" s="4"/>
      <c r="ASF20" s="4"/>
      <c r="ASG20" s="4"/>
      <c r="ASH20" s="4"/>
      <c r="ASI20" s="4"/>
      <c r="ASJ20" s="4"/>
      <c r="ASK20" s="4"/>
      <c r="ASL20" s="4"/>
      <c r="ASM20" s="4"/>
      <c r="ASN20" s="4"/>
      <c r="ASO20" s="4"/>
      <c r="ASP20" s="4"/>
      <c r="ASQ20" s="4"/>
      <c r="ASR20" s="4"/>
      <c r="ASS20" s="4"/>
      <c r="AST20" s="4"/>
      <c r="ASU20" s="4"/>
      <c r="ASV20" s="4"/>
      <c r="ASW20" s="4"/>
      <c r="ASX20" s="4"/>
      <c r="ASY20" s="4"/>
      <c r="ASZ20" s="4"/>
      <c r="ATA20" s="4"/>
      <c r="ATB20" s="4"/>
      <c r="ATC20" s="4"/>
      <c r="ATD20" s="4"/>
      <c r="ATE20" s="4"/>
      <c r="ATF20" s="4"/>
      <c r="ATG20" s="4"/>
      <c r="ATH20" s="4"/>
      <c r="ATI20" s="4"/>
      <c r="ATJ20" s="4"/>
      <c r="ATK20" s="4"/>
      <c r="ATL20" s="4"/>
      <c r="ATM20" s="4"/>
      <c r="ATN20" s="4"/>
      <c r="ATO20" s="4"/>
      <c r="ATP20" s="4"/>
      <c r="ATQ20" s="4"/>
      <c r="ATR20" s="4"/>
      <c r="ATS20" s="4"/>
      <c r="ATT20" s="4"/>
      <c r="ATU20" s="4"/>
      <c r="ATV20" s="4"/>
      <c r="ATW20" s="4"/>
      <c r="ATX20" s="4"/>
      <c r="ATY20" s="4"/>
      <c r="ATZ20" s="4"/>
      <c r="AUA20" s="4"/>
      <c r="AUB20" s="4"/>
      <c r="AUC20" s="4"/>
      <c r="AUD20" s="4"/>
      <c r="AUE20" s="4"/>
      <c r="AUF20" s="4"/>
      <c r="AUG20" s="4"/>
      <c r="AUH20" s="4"/>
      <c r="AUI20" s="4"/>
      <c r="AUJ20" s="4"/>
      <c r="AUK20" s="4"/>
      <c r="AUL20" s="4"/>
      <c r="AUM20" s="4"/>
      <c r="AUN20" s="4"/>
      <c r="AUO20" s="4"/>
      <c r="AUP20" s="4"/>
      <c r="AUQ20" s="4"/>
      <c r="AUR20" s="4"/>
      <c r="AUS20" s="4"/>
      <c r="AUT20" s="4"/>
      <c r="AUU20" s="4"/>
      <c r="AUV20" s="4"/>
      <c r="AUW20" s="4"/>
      <c r="AUX20" s="4"/>
      <c r="AUY20" s="4"/>
      <c r="AUZ20" s="4"/>
      <c r="AVA20" s="4"/>
      <c r="AVB20" s="4"/>
      <c r="AVC20" s="4"/>
      <c r="AVD20" s="4"/>
      <c r="AVE20" s="4"/>
      <c r="AVF20" s="4"/>
      <c r="AVG20" s="4"/>
      <c r="AVH20" s="4"/>
      <c r="AVI20" s="4"/>
      <c r="AVJ20" s="4"/>
      <c r="AVK20" s="4"/>
      <c r="AVL20" s="4"/>
      <c r="AVM20" s="4"/>
      <c r="AVN20" s="4"/>
      <c r="AVO20" s="4"/>
      <c r="AVP20" s="4"/>
      <c r="AVQ20" s="4"/>
      <c r="AVR20" s="4"/>
      <c r="AVS20" s="4"/>
      <c r="AVT20" s="4"/>
      <c r="AVU20" s="4"/>
      <c r="AVV20" s="4"/>
      <c r="AVW20" s="4"/>
      <c r="AVX20" s="4"/>
      <c r="AVY20" s="4"/>
      <c r="AVZ20" s="4"/>
      <c r="AWA20" s="4"/>
      <c r="AWB20" s="4"/>
      <c r="AWC20" s="4"/>
      <c r="AWD20" s="4"/>
      <c r="AWE20" s="4"/>
      <c r="AWF20" s="4"/>
      <c r="AWG20" s="4"/>
      <c r="AWH20" s="4"/>
      <c r="AWI20" s="4"/>
      <c r="AWJ20" s="4"/>
      <c r="AWK20" s="4"/>
      <c r="AWL20" s="4"/>
      <c r="AWM20" s="4"/>
      <c r="AWN20" s="4"/>
      <c r="AWO20" s="4"/>
      <c r="AWP20" s="4"/>
      <c r="AWQ20" s="4"/>
      <c r="AWR20" s="4"/>
      <c r="AWS20" s="4"/>
      <c r="AWT20" s="4"/>
      <c r="AWU20" s="4"/>
      <c r="AWV20" s="4"/>
      <c r="AWW20" s="4"/>
      <c r="AWX20" s="4"/>
      <c r="AWY20" s="4"/>
      <c r="AWZ20" s="4"/>
      <c r="AXA20" s="4"/>
      <c r="AXB20" s="4"/>
      <c r="AXC20" s="4"/>
      <c r="AXD20" s="4"/>
      <c r="AXE20" s="4"/>
      <c r="AXF20" s="4"/>
      <c r="AXG20" s="4"/>
      <c r="AXH20" s="4"/>
      <c r="AXI20" s="4"/>
      <c r="AXJ20" s="4"/>
      <c r="AXK20" s="4"/>
      <c r="AXL20" s="4"/>
      <c r="AXM20" s="4"/>
      <c r="AXN20" s="4"/>
      <c r="AXO20" s="4"/>
      <c r="AXP20" s="4"/>
      <c r="AXQ20" s="4"/>
      <c r="AXR20" s="4"/>
      <c r="AXS20" s="4"/>
      <c r="AXT20" s="4"/>
      <c r="AXU20" s="4"/>
      <c r="AXV20" s="4"/>
      <c r="AXW20" s="4"/>
      <c r="AXX20" s="4"/>
      <c r="AXY20" s="4"/>
      <c r="AXZ20" s="4"/>
      <c r="AYA20" s="4"/>
      <c r="AYB20" s="4"/>
      <c r="AYC20" s="4"/>
      <c r="AYD20" s="4"/>
      <c r="AYE20" s="4"/>
      <c r="AYF20" s="4"/>
      <c r="AYG20" s="4"/>
      <c r="AYH20" s="4"/>
      <c r="AYI20" s="4"/>
      <c r="AYJ20" s="4"/>
      <c r="AYK20" s="4"/>
      <c r="AYL20" s="4"/>
      <c r="AYM20" s="4"/>
      <c r="AYN20" s="4"/>
      <c r="AYO20" s="4"/>
      <c r="AYP20" s="4"/>
      <c r="AYQ20" s="4"/>
      <c r="AYR20" s="4"/>
      <c r="AYS20" s="4"/>
      <c r="AYT20" s="4"/>
      <c r="AYU20" s="4"/>
      <c r="AYV20" s="4"/>
      <c r="AYW20" s="4"/>
      <c r="AYX20" s="4"/>
      <c r="AYY20" s="4"/>
      <c r="AYZ20" s="4"/>
      <c r="AZA20" s="4"/>
      <c r="AZB20" s="4"/>
      <c r="AZC20" s="4"/>
      <c r="AZD20" s="4"/>
      <c r="AZE20" s="4"/>
      <c r="AZF20" s="4"/>
      <c r="AZG20" s="4"/>
      <c r="AZH20" s="4"/>
      <c r="AZI20" s="4"/>
      <c r="AZJ20" s="4"/>
      <c r="AZK20" s="4"/>
      <c r="AZL20" s="4"/>
      <c r="AZM20" s="4"/>
      <c r="AZN20" s="4"/>
      <c r="AZO20" s="4"/>
      <c r="AZP20" s="4"/>
      <c r="AZQ20" s="4"/>
      <c r="AZR20" s="4"/>
      <c r="AZS20" s="4"/>
      <c r="AZT20" s="4"/>
      <c r="AZU20" s="4"/>
      <c r="AZV20" s="4"/>
      <c r="AZW20" s="4"/>
      <c r="AZX20" s="4"/>
      <c r="AZY20" s="4"/>
      <c r="AZZ20" s="4"/>
      <c r="BAA20" s="4"/>
      <c r="BAB20" s="4"/>
      <c r="BAC20" s="4"/>
      <c r="BAD20" s="4"/>
      <c r="BAE20" s="4"/>
      <c r="BAF20" s="4"/>
      <c r="BAG20" s="4"/>
      <c r="BAH20" s="4"/>
      <c r="BAI20" s="4"/>
      <c r="BAJ20" s="4"/>
      <c r="BAK20" s="4"/>
      <c r="BAL20" s="4"/>
      <c r="BAM20" s="4"/>
      <c r="BAN20" s="4"/>
      <c r="BAO20" s="4"/>
      <c r="BAP20" s="4"/>
      <c r="BAQ20" s="4"/>
      <c r="BAR20" s="4"/>
      <c r="BAS20" s="4"/>
      <c r="BAT20" s="4"/>
      <c r="BAU20" s="4"/>
      <c r="BAV20" s="4"/>
      <c r="BAW20" s="4"/>
      <c r="BAX20" s="4"/>
      <c r="BAY20" s="4"/>
      <c r="BAZ20" s="4"/>
      <c r="BBA20" s="4"/>
      <c r="BBB20" s="4"/>
      <c r="BBC20" s="4"/>
      <c r="BBD20" s="4"/>
      <c r="BBE20" s="4"/>
      <c r="BBF20" s="4"/>
      <c r="BBG20" s="4"/>
      <c r="BBH20" s="4"/>
      <c r="BBI20" s="4"/>
      <c r="BBJ20" s="4"/>
      <c r="BBK20" s="4"/>
      <c r="BBL20" s="4"/>
      <c r="BBM20" s="4"/>
      <c r="BBN20" s="4"/>
      <c r="BBO20" s="4"/>
      <c r="BBP20" s="4"/>
      <c r="BBQ20" s="4"/>
      <c r="BBR20" s="4"/>
      <c r="BBS20" s="4"/>
      <c r="BBT20" s="4"/>
      <c r="BBU20" s="4"/>
      <c r="BBV20" s="4"/>
      <c r="BBW20" s="4"/>
      <c r="BBX20" s="4"/>
      <c r="BBY20" s="4"/>
      <c r="BBZ20" s="4"/>
      <c r="BCA20" s="4"/>
      <c r="BCB20" s="4"/>
      <c r="BCC20" s="4"/>
      <c r="BCD20" s="4"/>
      <c r="BCE20" s="4"/>
      <c r="BCF20" s="4"/>
      <c r="BCG20" s="4"/>
      <c r="BCH20" s="4"/>
      <c r="BCI20" s="4"/>
      <c r="BCJ20" s="4"/>
      <c r="BCK20" s="4"/>
      <c r="BCL20" s="4"/>
      <c r="BCM20" s="4"/>
      <c r="BCN20" s="4"/>
      <c r="BCO20" s="4"/>
      <c r="BCP20" s="4"/>
      <c r="BCQ20" s="4"/>
      <c r="BCR20" s="4"/>
      <c r="BCS20" s="4"/>
      <c r="BCT20" s="4"/>
      <c r="BCU20" s="4"/>
      <c r="BCV20" s="4"/>
      <c r="BCW20" s="4"/>
      <c r="BCX20" s="4"/>
      <c r="BCY20" s="4"/>
      <c r="BCZ20" s="4"/>
      <c r="BDA20" s="4"/>
      <c r="BDB20" s="4"/>
      <c r="BDC20" s="4"/>
      <c r="BDD20" s="4"/>
      <c r="BDE20" s="4"/>
      <c r="BDF20" s="4"/>
      <c r="BDG20" s="4"/>
      <c r="BDH20" s="4"/>
      <c r="BDI20" s="4"/>
      <c r="BDJ20" s="4"/>
      <c r="BDK20" s="4"/>
      <c r="BDL20" s="4"/>
      <c r="BDM20" s="4"/>
      <c r="BDN20" s="4"/>
      <c r="BDO20" s="4"/>
      <c r="BDP20" s="4"/>
      <c r="BDQ20" s="4"/>
      <c r="BDR20" s="4"/>
      <c r="BDS20" s="4"/>
      <c r="BDT20" s="4"/>
      <c r="BDU20" s="4"/>
      <c r="BDV20" s="4"/>
      <c r="BDW20" s="4"/>
      <c r="BDX20" s="4"/>
      <c r="BDY20" s="4"/>
      <c r="BDZ20" s="4"/>
      <c r="BEA20" s="4"/>
      <c r="BEB20" s="4"/>
      <c r="BEC20" s="4"/>
      <c r="BED20" s="4"/>
      <c r="BEE20" s="4"/>
      <c r="BEF20" s="4"/>
      <c r="BEG20" s="4"/>
      <c r="BEH20" s="4"/>
      <c r="BEI20" s="4"/>
      <c r="BEJ20" s="4"/>
      <c r="BEK20" s="4"/>
      <c r="BEL20" s="4"/>
      <c r="BEM20" s="4"/>
      <c r="BEN20" s="4"/>
      <c r="BEO20" s="4"/>
      <c r="BEP20" s="4"/>
      <c r="BEQ20" s="4"/>
      <c r="BER20" s="4"/>
      <c r="BES20" s="4"/>
      <c r="BET20" s="4"/>
      <c r="BEU20" s="4"/>
      <c r="BEV20" s="4"/>
      <c r="BEW20" s="4"/>
      <c r="BEX20" s="4"/>
      <c r="BEY20" s="4"/>
      <c r="BEZ20" s="4"/>
      <c r="BFA20" s="4"/>
      <c r="BFB20" s="4"/>
      <c r="BFC20" s="4"/>
      <c r="BFD20" s="4"/>
      <c r="BFE20" s="4"/>
      <c r="BFF20" s="4"/>
      <c r="BFG20" s="4"/>
      <c r="BFH20" s="4"/>
      <c r="BFI20" s="4"/>
      <c r="BFJ20" s="4"/>
      <c r="BFK20" s="4"/>
      <c r="BFL20" s="4"/>
      <c r="BFM20" s="4"/>
      <c r="BFN20" s="4"/>
      <c r="BFO20" s="4"/>
      <c r="BFP20" s="4"/>
      <c r="BFQ20" s="4"/>
      <c r="BFR20" s="4"/>
      <c r="BFS20" s="4"/>
      <c r="BFT20" s="4"/>
      <c r="BFU20" s="4"/>
      <c r="BFV20" s="4"/>
      <c r="BFW20" s="4"/>
      <c r="BFX20" s="4"/>
      <c r="BFY20" s="4"/>
      <c r="BFZ20" s="4"/>
      <c r="BGA20" s="4"/>
      <c r="BGB20" s="4"/>
      <c r="BGC20" s="4"/>
      <c r="BGD20" s="4"/>
      <c r="BGE20" s="4"/>
      <c r="BGF20" s="4"/>
      <c r="BGG20" s="4"/>
      <c r="BGH20" s="4"/>
      <c r="BGI20" s="4"/>
      <c r="BGJ20" s="4"/>
      <c r="BGK20" s="4"/>
      <c r="BGL20" s="4"/>
      <c r="BGM20" s="4"/>
      <c r="BGN20" s="4"/>
      <c r="BGO20" s="4"/>
      <c r="BGP20" s="4"/>
      <c r="BGQ20" s="4"/>
      <c r="BGR20" s="4"/>
      <c r="BGS20" s="4"/>
      <c r="BGT20" s="4"/>
      <c r="BGU20" s="4"/>
      <c r="BGV20" s="4"/>
      <c r="BGW20" s="4"/>
      <c r="BGX20" s="4"/>
      <c r="BGY20" s="4"/>
      <c r="BGZ20" s="4"/>
      <c r="BHA20" s="4"/>
      <c r="BHB20" s="4"/>
      <c r="BHC20" s="4"/>
      <c r="BHD20" s="4"/>
      <c r="BHE20" s="4"/>
      <c r="BHF20" s="4"/>
      <c r="BHG20" s="4"/>
      <c r="BHH20" s="4"/>
      <c r="BHI20" s="4"/>
      <c r="BHJ20" s="4"/>
      <c r="BHK20" s="4"/>
      <c r="BHL20" s="4"/>
      <c r="BHM20" s="4"/>
      <c r="BHN20" s="4"/>
      <c r="BHO20" s="4"/>
      <c r="BHP20" s="4"/>
      <c r="BHQ20" s="4"/>
      <c r="BHR20" s="4"/>
      <c r="BHS20" s="4"/>
      <c r="BHT20" s="4"/>
      <c r="BHU20" s="4"/>
      <c r="BHV20" s="4"/>
      <c r="BHW20" s="4"/>
      <c r="BHX20" s="4"/>
      <c r="BHY20" s="4"/>
      <c r="BHZ20" s="4"/>
      <c r="BIA20" s="4"/>
      <c r="BIB20" s="4"/>
      <c r="BIC20" s="4"/>
      <c r="BID20" s="4"/>
      <c r="BIE20" s="4"/>
      <c r="BIF20" s="4"/>
      <c r="BIG20" s="4"/>
      <c r="BIH20" s="4"/>
      <c r="BII20" s="4"/>
      <c r="BIJ20" s="4"/>
      <c r="BIK20" s="4"/>
      <c r="BIL20" s="4"/>
      <c r="BIM20" s="4"/>
      <c r="BIN20" s="4"/>
      <c r="BIO20" s="4"/>
      <c r="BIP20" s="4"/>
      <c r="BIQ20" s="4"/>
      <c r="BIR20" s="4"/>
      <c r="BIS20" s="4"/>
      <c r="BIT20" s="4"/>
      <c r="BIU20" s="4"/>
      <c r="BIV20" s="4"/>
      <c r="BIW20" s="4"/>
      <c r="BIX20" s="4"/>
      <c r="BIY20" s="4"/>
      <c r="BIZ20" s="4"/>
      <c r="BJA20" s="4"/>
      <c r="BJB20" s="4"/>
      <c r="BJC20" s="4"/>
      <c r="BJD20" s="4"/>
      <c r="BJE20" s="4"/>
      <c r="BJF20" s="4"/>
      <c r="BJG20" s="4"/>
      <c r="BJH20" s="4"/>
      <c r="BJI20" s="4"/>
      <c r="BJJ20" s="4"/>
      <c r="BJK20" s="4"/>
      <c r="BJL20" s="4"/>
      <c r="BJM20" s="4"/>
      <c r="BJN20" s="4"/>
      <c r="BJO20" s="4"/>
      <c r="BJP20" s="4"/>
      <c r="BJQ20" s="4"/>
      <c r="BJR20" s="4"/>
      <c r="BJS20" s="4"/>
      <c r="BJT20" s="4"/>
      <c r="BJU20" s="4"/>
      <c r="BJV20" s="4"/>
      <c r="BJW20" s="4"/>
      <c r="BJX20" s="4"/>
      <c r="BJY20" s="4"/>
      <c r="BJZ20" s="4"/>
      <c r="BKA20" s="4"/>
      <c r="BKB20" s="4"/>
      <c r="BKC20" s="4"/>
      <c r="BKD20" s="4"/>
      <c r="BKE20" s="4"/>
      <c r="BKF20" s="4"/>
      <c r="BKG20" s="4"/>
      <c r="BKH20" s="4"/>
      <c r="BKI20" s="4"/>
      <c r="BKJ20" s="4"/>
      <c r="BKK20" s="4"/>
      <c r="BKL20" s="4"/>
      <c r="BKM20" s="4"/>
      <c r="BKN20" s="4"/>
      <c r="BKO20" s="4"/>
      <c r="BKP20" s="4"/>
      <c r="BKQ20" s="4"/>
      <c r="BKR20" s="4"/>
      <c r="BKS20" s="4"/>
      <c r="BKT20" s="4"/>
      <c r="BKU20" s="4"/>
      <c r="BKV20" s="4"/>
      <c r="BKW20" s="4"/>
      <c r="BKX20" s="4"/>
      <c r="BKY20" s="4"/>
      <c r="BKZ20" s="4"/>
      <c r="BLA20" s="4"/>
      <c r="BLB20" s="4"/>
      <c r="BLC20" s="4"/>
      <c r="BLD20" s="4"/>
      <c r="BLE20" s="4"/>
      <c r="BLF20" s="4"/>
      <c r="BLG20" s="4"/>
      <c r="BLH20" s="4"/>
      <c r="BLI20" s="4"/>
      <c r="BLJ20" s="4"/>
      <c r="BLK20" s="4"/>
      <c r="BLL20" s="4"/>
      <c r="BLM20" s="4"/>
      <c r="BLN20" s="4"/>
      <c r="BLO20" s="4"/>
      <c r="BLP20" s="4"/>
      <c r="BLQ20" s="4"/>
      <c r="BLR20" s="4"/>
      <c r="BLS20" s="4"/>
      <c r="BLT20" s="4"/>
      <c r="BLU20" s="4"/>
      <c r="BLV20" s="4"/>
      <c r="BLW20" s="4"/>
      <c r="BLX20" s="4"/>
      <c r="BLY20" s="4"/>
      <c r="BLZ20" s="4"/>
      <c r="BMA20" s="4"/>
      <c r="BMB20" s="4"/>
      <c r="BMC20" s="4"/>
      <c r="BMD20" s="4"/>
      <c r="BME20" s="4"/>
      <c r="BMF20" s="4"/>
      <c r="BMG20" s="4"/>
      <c r="BMH20" s="4"/>
      <c r="BMI20" s="4"/>
      <c r="BMJ20" s="4"/>
      <c r="BMK20" s="4"/>
      <c r="BML20" s="4"/>
      <c r="BMM20" s="4"/>
      <c r="BMN20" s="4"/>
      <c r="BMO20" s="4"/>
      <c r="BMP20" s="4"/>
      <c r="BMQ20" s="4"/>
      <c r="BMR20" s="4"/>
      <c r="BMS20" s="4"/>
      <c r="BMT20" s="4"/>
      <c r="BMU20" s="4"/>
      <c r="BMV20" s="4"/>
      <c r="BMW20" s="4"/>
      <c r="BMX20" s="4"/>
      <c r="BMY20" s="4"/>
      <c r="BMZ20" s="4"/>
      <c r="BNA20" s="4"/>
      <c r="BNB20" s="4"/>
      <c r="BNC20" s="4"/>
      <c r="BND20" s="4"/>
      <c r="BNE20" s="4"/>
      <c r="BNF20" s="4"/>
      <c r="BNG20" s="4"/>
      <c r="BNH20" s="4"/>
      <c r="BNI20" s="4"/>
      <c r="BNJ20" s="4"/>
      <c r="BNK20" s="4"/>
      <c r="BNL20" s="4"/>
      <c r="BNM20" s="4"/>
      <c r="BNN20" s="4"/>
      <c r="BNO20" s="4"/>
      <c r="BNP20" s="4"/>
      <c r="BNQ20" s="4"/>
      <c r="BNR20" s="4"/>
      <c r="BNS20" s="4"/>
      <c r="BNT20" s="4"/>
      <c r="BNU20" s="4"/>
      <c r="BNV20" s="4"/>
      <c r="BNW20" s="4"/>
      <c r="BNX20" s="4"/>
      <c r="BNY20" s="4"/>
      <c r="BNZ20" s="4"/>
      <c r="BOA20" s="4"/>
      <c r="BOB20" s="4"/>
      <c r="BOC20" s="4"/>
      <c r="BOD20" s="4"/>
      <c r="BOE20" s="4"/>
      <c r="BOF20" s="4"/>
      <c r="BOG20" s="4"/>
      <c r="BOH20" s="4"/>
      <c r="BOI20" s="4"/>
      <c r="BOJ20" s="4"/>
      <c r="BOK20" s="4"/>
      <c r="BOL20" s="4"/>
      <c r="BOM20" s="4"/>
      <c r="BON20" s="4"/>
      <c r="BOO20" s="4"/>
      <c r="BOP20" s="4"/>
      <c r="BOQ20" s="4"/>
      <c r="BOR20" s="4"/>
      <c r="BOS20" s="4"/>
      <c r="BOT20" s="4"/>
      <c r="BOU20" s="4"/>
      <c r="BOV20" s="4"/>
      <c r="BOW20" s="4"/>
      <c r="BOX20" s="4"/>
      <c r="BOY20" s="4"/>
      <c r="BOZ20" s="4"/>
      <c r="BPA20" s="60"/>
    </row>
    <row r="21" s="5" customFormat="1" ht="36" customHeight="1" spans="1:1024 1025:1769">
      <c r="A21" s="61" t="s">
        <v>1281</v>
      </c>
      <c r="B21" s="62"/>
      <c r="C21" s="62"/>
      <c r="D21" s="62"/>
      <c r="E21" s="62"/>
      <c r="F21" s="62"/>
      <c r="G21" s="62"/>
      <c r="H21" s="62"/>
      <c r="I21" s="62"/>
      <c r="J21" s="63"/>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c r="AMG21" s="4"/>
      <c r="AMH21" s="4"/>
      <c r="AMI21" s="4"/>
      <c r="AMJ21" s="4"/>
      <c r="AMK21" s="4"/>
      <c r="AML21" s="4"/>
      <c r="AMM21" s="4"/>
      <c r="AMN21" s="4"/>
      <c r="AMO21" s="4"/>
      <c r="AMP21" s="4"/>
      <c r="AMQ21" s="4"/>
      <c r="AMR21" s="4"/>
      <c r="AMS21" s="4"/>
      <c r="AMT21" s="4"/>
      <c r="AMU21" s="4"/>
      <c r="AMV21" s="4"/>
      <c r="AMW21" s="4"/>
      <c r="AMX21" s="4"/>
      <c r="AMY21" s="4"/>
      <c r="AMZ21" s="4"/>
      <c r="ANA21" s="4"/>
      <c r="ANB21" s="4"/>
      <c r="ANC21" s="4"/>
      <c r="AND21" s="4"/>
      <c r="ANE21" s="4"/>
      <c r="ANF21" s="4"/>
      <c r="ANG21" s="4"/>
      <c r="ANH21" s="4"/>
      <c r="ANI21" s="4"/>
      <c r="ANJ21" s="4"/>
      <c r="ANK21" s="4"/>
      <c r="ANL21" s="4"/>
      <c r="ANM21" s="4"/>
      <c r="ANN21" s="4"/>
      <c r="ANO21" s="4"/>
      <c r="ANP21" s="4"/>
      <c r="ANQ21" s="4"/>
      <c r="ANR21" s="4"/>
      <c r="ANS21" s="4"/>
      <c r="ANT21" s="4"/>
      <c r="ANU21" s="4"/>
      <c r="ANV21" s="4"/>
      <c r="ANW21" s="4"/>
      <c r="ANX21" s="4"/>
      <c r="ANY21" s="4"/>
      <c r="ANZ21" s="4"/>
      <c r="AOA21" s="4"/>
      <c r="AOB21" s="4"/>
      <c r="AOC21" s="4"/>
      <c r="AOD21" s="4"/>
      <c r="AOE21" s="4"/>
      <c r="AOF21" s="4"/>
      <c r="AOG21" s="4"/>
      <c r="AOH21" s="4"/>
      <c r="AOI21" s="4"/>
      <c r="AOJ21" s="4"/>
      <c r="AOK21" s="4"/>
      <c r="AOL21" s="4"/>
      <c r="AOM21" s="4"/>
      <c r="AON21" s="4"/>
      <c r="AOO21" s="4"/>
      <c r="AOP21" s="4"/>
      <c r="AOQ21" s="4"/>
      <c r="AOR21" s="4"/>
      <c r="AOS21" s="4"/>
      <c r="AOT21" s="4"/>
      <c r="AOU21" s="4"/>
      <c r="AOV21" s="4"/>
      <c r="AOW21" s="4"/>
      <c r="AOX21" s="4"/>
      <c r="AOY21" s="4"/>
      <c r="AOZ21" s="4"/>
      <c r="APA21" s="4"/>
      <c r="APB21" s="4"/>
      <c r="APC21" s="4"/>
      <c r="APD21" s="4"/>
      <c r="APE21" s="4"/>
      <c r="APF21" s="4"/>
      <c r="APG21" s="4"/>
      <c r="APH21" s="4"/>
      <c r="API21" s="4"/>
      <c r="APJ21" s="4"/>
      <c r="APK21" s="4"/>
      <c r="APL21" s="4"/>
      <c r="APM21" s="4"/>
      <c r="APN21" s="4"/>
      <c r="APO21" s="4"/>
      <c r="APP21" s="4"/>
      <c r="APQ21" s="4"/>
      <c r="APR21" s="4"/>
      <c r="APS21" s="4"/>
      <c r="APT21" s="4"/>
      <c r="APU21" s="4"/>
      <c r="APV21" s="4"/>
      <c r="APW21" s="4"/>
      <c r="APX21" s="4"/>
      <c r="APY21" s="4"/>
      <c r="APZ21" s="4"/>
      <c r="AQA21" s="4"/>
      <c r="AQB21" s="4"/>
      <c r="AQC21" s="4"/>
      <c r="AQD21" s="4"/>
      <c r="AQE21" s="4"/>
      <c r="AQF21" s="4"/>
      <c r="AQG21" s="4"/>
      <c r="AQH21" s="4"/>
      <c r="AQI21" s="4"/>
      <c r="AQJ21" s="4"/>
      <c r="AQK21" s="4"/>
      <c r="AQL21" s="4"/>
      <c r="AQM21" s="4"/>
      <c r="AQN21" s="4"/>
      <c r="AQO21" s="4"/>
      <c r="AQP21" s="4"/>
      <c r="AQQ21" s="4"/>
      <c r="AQR21" s="4"/>
      <c r="AQS21" s="4"/>
      <c r="AQT21" s="4"/>
      <c r="AQU21" s="4"/>
      <c r="AQV21" s="4"/>
      <c r="AQW21" s="4"/>
      <c r="AQX21" s="4"/>
      <c r="AQY21" s="4"/>
      <c r="AQZ21" s="4"/>
      <c r="ARA21" s="4"/>
      <c r="ARB21" s="4"/>
      <c r="ARC21" s="4"/>
      <c r="ARD21" s="4"/>
      <c r="ARE21" s="4"/>
      <c r="ARF21" s="4"/>
      <c r="ARG21" s="4"/>
      <c r="ARH21" s="4"/>
      <c r="ARI21" s="4"/>
      <c r="ARJ21" s="4"/>
      <c r="ARK21" s="4"/>
      <c r="ARL21" s="4"/>
      <c r="ARM21" s="4"/>
      <c r="ARN21" s="4"/>
      <c r="ARO21" s="4"/>
      <c r="ARP21" s="4"/>
      <c r="ARQ21" s="4"/>
      <c r="ARR21" s="4"/>
      <c r="ARS21" s="4"/>
      <c r="ART21" s="4"/>
      <c r="ARU21" s="4"/>
      <c r="ARV21" s="4"/>
      <c r="ARW21" s="4"/>
      <c r="ARX21" s="4"/>
      <c r="ARY21" s="4"/>
      <c r="ARZ21" s="4"/>
      <c r="ASA21" s="4"/>
      <c r="ASB21" s="4"/>
      <c r="ASC21" s="4"/>
      <c r="ASD21" s="4"/>
      <c r="ASE21" s="4"/>
      <c r="ASF21" s="4"/>
      <c r="ASG21" s="4"/>
      <c r="ASH21" s="4"/>
      <c r="ASI21" s="4"/>
      <c r="ASJ21" s="4"/>
      <c r="ASK21" s="4"/>
      <c r="ASL21" s="4"/>
      <c r="ASM21" s="4"/>
      <c r="ASN21" s="4"/>
      <c r="ASO21" s="4"/>
      <c r="ASP21" s="4"/>
      <c r="ASQ21" s="4"/>
      <c r="ASR21" s="4"/>
      <c r="ASS21" s="4"/>
      <c r="AST21" s="4"/>
      <c r="ASU21" s="4"/>
      <c r="ASV21" s="4"/>
      <c r="ASW21" s="4"/>
      <c r="ASX21" s="4"/>
      <c r="ASY21" s="4"/>
      <c r="ASZ21" s="4"/>
      <c r="ATA21" s="4"/>
      <c r="ATB21" s="4"/>
      <c r="ATC21" s="4"/>
      <c r="ATD21" s="4"/>
      <c r="ATE21" s="4"/>
      <c r="ATF21" s="4"/>
      <c r="ATG21" s="4"/>
      <c r="ATH21" s="4"/>
      <c r="ATI21" s="4"/>
      <c r="ATJ21" s="4"/>
      <c r="ATK21" s="4"/>
      <c r="ATL21" s="4"/>
      <c r="ATM21" s="4"/>
      <c r="ATN21" s="4"/>
      <c r="ATO21" s="4"/>
      <c r="ATP21" s="4"/>
      <c r="ATQ21" s="4"/>
      <c r="ATR21" s="4"/>
      <c r="ATS21" s="4"/>
      <c r="ATT21" s="4"/>
      <c r="ATU21" s="4"/>
      <c r="ATV21" s="4"/>
      <c r="ATW21" s="4"/>
      <c r="ATX21" s="4"/>
      <c r="ATY21" s="4"/>
      <c r="ATZ21" s="4"/>
      <c r="AUA21" s="4"/>
      <c r="AUB21" s="4"/>
      <c r="AUC21" s="4"/>
      <c r="AUD21" s="4"/>
      <c r="AUE21" s="4"/>
      <c r="AUF21" s="4"/>
      <c r="AUG21" s="4"/>
      <c r="AUH21" s="4"/>
      <c r="AUI21" s="4"/>
      <c r="AUJ21" s="4"/>
      <c r="AUK21" s="4"/>
      <c r="AUL21" s="4"/>
      <c r="AUM21" s="4"/>
      <c r="AUN21" s="4"/>
      <c r="AUO21" s="4"/>
      <c r="AUP21" s="4"/>
      <c r="AUQ21" s="4"/>
      <c r="AUR21" s="4"/>
      <c r="AUS21" s="4"/>
      <c r="AUT21" s="4"/>
      <c r="AUU21" s="4"/>
      <c r="AUV21" s="4"/>
      <c r="AUW21" s="4"/>
      <c r="AUX21" s="4"/>
      <c r="AUY21" s="4"/>
      <c r="AUZ21" s="4"/>
      <c r="AVA21" s="4"/>
      <c r="AVB21" s="4"/>
      <c r="AVC21" s="4"/>
      <c r="AVD21" s="4"/>
      <c r="AVE21" s="4"/>
      <c r="AVF21" s="4"/>
      <c r="AVG21" s="4"/>
      <c r="AVH21" s="4"/>
      <c r="AVI21" s="4"/>
      <c r="AVJ21" s="4"/>
      <c r="AVK21" s="4"/>
      <c r="AVL21" s="4"/>
      <c r="AVM21" s="4"/>
      <c r="AVN21" s="4"/>
      <c r="AVO21" s="4"/>
      <c r="AVP21" s="4"/>
      <c r="AVQ21" s="4"/>
      <c r="AVR21" s="4"/>
      <c r="AVS21" s="4"/>
      <c r="AVT21" s="4"/>
      <c r="AVU21" s="4"/>
      <c r="AVV21" s="4"/>
      <c r="AVW21" s="4"/>
      <c r="AVX21" s="4"/>
      <c r="AVY21" s="4"/>
      <c r="AVZ21" s="4"/>
      <c r="AWA21" s="4"/>
      <c r="AWB21" s="4"/>
      <c r="AWC21" s="4"/>
      <c r="AWD21" s="4"/>
      <c r="AWE21" s="4"/>
      <c r="AWF21" s="4"/>
      <c r="AWG21" s="4"/>
      <c r="AWH21" s="4"/>
      <c r="AWI21" s="4"/>
      <c r="AWJ21" s="4"/>
      <c r="AWK21" s="4"/>
      <c r="AWL21" s="4"/>
      <c r="AWM21" s="4"/>
      <c r="AWN21" s="4"/>
      <c r="AWO21" s="4"/>
      <c r="AWP21" s="4"/>
      <c r="AWQ21" s="4"/>
      <c r="AWR21" s="4"/>
      <c r="AWS21" s="4"/>
      <c r="AWT21" s="4"/>
      <c r="AWU21" s="4"/>
      <c r="AWV21" s="4"/>
      <c r="AWW21" s="4"/>
      <c r="AWX21" s="4"/>
      <c r="AWY21" s="4"/>
      <c r="AWZ21" s="4"/>
      <c r="AXA21" s="4"/>
      <c r="AXB21" s="4"/>
      <c r="AXC21" s="4"/>
      <c r="AXD21" s="4"/>
      <c r="AXE21" s="4"/>
      <c r="AXF21" s="4"/>
      <c r="AXG21" s="4"/>
      <c r="AXH21" s="4"/>
      <c r="AXI21" s="4"/>
      <c r="AXJ21" s="4"/>
      <c r="AXK21" s="4"/>
      <c r="AXL21" s="4"/>
      <c r="AXM21" s="4"/>
      <c r="AXN21" s="4"/>
      <c r="AXO21" s="4"/>
      <c r="AXP21" s="4"/>
      <c r="AXQ21" s="4"/>
      <c r="AXR21" s="4"/>
      <c r="AXS21" s="4"/>
      <c r="AXT21" s="4"/>
      <c r="AXU21" s="4"/>
      <c r="AXV21" s="4"/>
      <c r="AXW21" s="4"/>
      <c r="AXX21" s="4"/>
      <c r="AXY21" s="4"/>
      <c r="AXZ21" s="4"/>
      <c r="AYA21" s="4"/>
      <c r="AYB21" s="4"/>
      <c r="AYC21" s="4"/>
      <c r="AYD21" s="4"/>
      <c r="AYE21" s="4"/>
      <c r="AYF21" s="4"/>
      <c r="AYG21" s="4"/>
      <c r="AYH21" s="4"/>
      <c r="AYI21" s="4"/>
      <c r="AYJ21" s="4"/>
      <c r="AYK21" s="4"/>
      <c r="AYL21" s="4"/>
      <c r="AYM21" s="4"/>
      <c r="AYN21" s="4"/>
      <c r="AYO21" s="4"/>
      <c r="AYP21" s="4"/>
      <c r="AYQ21" s="4"/>
      <c r="AYR21" s="4"/>
      <c r="AYS21" s="4"/>
      <c r="AYT21" s="4"/>
      <c r="AYU21" s="4"/>
      <c r="AYV21" s="4"/>
      <c r="AYW21" s="4"/>
      <c r="AYX21" s="4"/>
      <c r="AYY21" s="4"/>
      <c r="AYZ21" s="4"/>
      <c r="AZA21" s="4"/>
      <c r="AZB21" s="4"/>
      <c r="AZC21" s="4"/>
      <c r="AZD21" s="4"/>
      <c r="AZE21" s="4"/>
      <c r="AZF21" s="4"/>
      <c r="AZG21" s="4"/>
      <c r="AZH21" s="4"/>
      <c r="AZI21" s="4"/>
      <c r="AZJ21" s="4"/>
      <c r="AZK21" s="4"/>
      <c r="AZL21" s="4"/>
      <c r="AZM21" s="4"/>
      <c r="AZN21" s="4"/>
      <c r="AZO21" s="4"/>
      <c r="AZP21" s="4"/>
      <c r="AZQ21" s="4"/>
      <c r="AZR21" s="4"/>
      <c r="AZS21" s="4"/>
      <c r="AZT21" s="4"/>
      <c r="AZU21" s="4"/>
      <c r="AZV21" s="4"/>
      <c r="AZW21" s="4"/>
      <c r="AZX21" s="4"/>
      <c r="AZY21" s="4"/>
      <c r="AZZ21" s="4"/>
      <c r="BAA21" s="4"/>
      <c r="BAB21" s="4"/>
      <c r="BAC21" s="4"/>
      <c r="BAD21" s="4"/>
      <c r="BAE21" s="4"/>
      <c r="BAF21" s="4"/>
      <c r="BAG21" s="4"/>
      <c r="BAH21" s="4"/>
      <c r="BAI21" s="4"/>
      <c r="BAJ21" s="4"/>
      <c r="BAK21" s="4"/>
      <c r="BAL21" s="4"/>
      <c r="BAM21" s="4"/>
      <c r="BAN21" s="4"/>
      <c r="BAO21" s="4"/>
      <c r="BAP21" s="4"/>
      <c r="BAQ21" s="4"/>
      <c r="BAR21" s="4"/>
      <c r="BAS21" s="4"/>
      <c r="BAT21" s="4"/>
      <c r="BAU21" s="4"/>
      <c r="BAV21" s="4"/>
      <c r="BAW21" s="4"/>
      <c r="BAX21" s="4"/>
      <c r="BAY21" s="4"/>
      <c r="BAZ21" s="4"/>
      <c r="BBA21" s="4"/>
      <c r="BBB21" s="4"/>
      <c r="BBC21" s="4"/>
      <c r="BBD21" s="4"/>
      <c r="BBE21" s="4"/>
      <c r="BBF21" s="4"/>
      <c r="BBG21" s="4"/>
      <c r="BBH21" s="4"/>
      <c r="BBI21" s="4"/>
      <c r="BBJ21" s="4"/>
      <c r="BBK21" s="4"/>
      <c r="BBL21" s="4"/>
      <c r="BBM21" s="4"/>
      <c r="BBN21" s="4"/>
      <c r="BBO21" s="4"/>
      <c r="BBP21" s="4"/>
      <c r="BBQ21" s="4"/>
      <c r="BBR21" s="4"/>
      <c r="BBS21" s="4"/>
      <c r="BBT21" s="4"/>
      <c r="BBU21" s="4"/>
      <c r="BBV21" s="4"/>
      <c r="BBW21" s="4"/>
      <c r="BBX21" s="4"/>
      <c r="BBY21" s="4"/>
      <c r="BBZ21" s="4"/>
      <c r="BCA21" s="4"/>
      <c r="BCB21" s="4"/>
      <c r="BCC21" s="4"/>
      <c r="BCD21" s="4"/>
      <c r="BCE21" s="4"/>
      <c r="BCF21" s="4"/>
      <c r="BCG21" s="4"/>
      <c r="BCH21" s="4"/>
      <c r="BCI21" s="4"/>
      <c r="BCJ21" s="4"/>
      <c r="BCK21" s="4"/>
      <c r="BCL21" s="4"/>
      <c r="BCM21" s="4"/>
      <c r="BCN21" s="4"/>
      <c r="BCO21" s="4"/>
      <c r="BCP21" s="4"/>
      <c r="BCQ21" s="4"/>
      <c r="BCR21" s="4"/>
      <c r="BCS21" s="4"/>
      <c r="BCT21" s="4"/>
      <c r="BCU21" s="4"/>
      <c r="BCV21" s="4"/>
      <c r="BCW21" s="4"/>
      <c r="BCX21" s="4"/>
      <c r="BCY21" s="4"/>
      <c r="BCZ21" s="4"/>
      <c r="BDA21" s="4"/>
      <c r="BDB21" s="4"/>
      <c r="BDC21" s="4"/>
      <c r="BDD21" s="4"/>
      <c r="BDE21" s="4"/>
      <c r="BDF21" s="4"/>
      <c r="BDG21" s="4"/>
      <c r="BDH21" s="4"/>
      <c r="BDI21" s="4"/>
      <c r="BDJ21" s="4"/>
      <c r="BDK21" s="4"/>
      <c r="BDL21" s="4"/>
      <c r="BDM21" s="4"/>
      <c r="BDN21" s="4"/>
      <c r="BDO21" s="4"/>
      <c r="BDP21" s="4"/>
      <c r="BDQ21" s="4"/>
      <c r="BDR21" s="4"/>
      <c r="BDS21" s="4"/>
      <c r="BDT21" s="4"/>
      <c r="BDU21" s="4"/>
      <c r="BDV21" s="4"/>
      <c r="BDW21" s="4"/>
      <c r="BDX21" s="4"/>
      <c r="BDY21" s="4"/>
      <c r="BDZ21" s="4"/>
      <c r="BEA21" s="4"/>
      <c r="BEB21" s="4"/>
      <c r="BEC21" s="4"/>
      <c r="BED21" s="4"/>
      <c r="BEE21" s="4"/>
      <c r="BEF21" s="4"/>
      <c r="BEG21" s="4"/>
      <c r="BEH21" s="4"/>
      <c r="BEI21" s="4"/>
      <c r="BEJ21" s="4"/>
      <c r="BEK21" s="4"/>
      <c r="BEL21" s="4"/>
      <c r="BEM21" s="4"/>
      <c r="BEN21" s="4"/>
      <c r="BEO21" s="4"/>
      <c r="BEP21" s="4"/>
      <c r="BEQ21" s="4"/>
      <c r="BER21" s="4"/>
      <c r="BES21" s="4"/>
      <c r="BET21" s="4"/>
      <c r="BEU21" s="4"/>
      <c r="BEV21" s="4"/>
      <c r="BEW21" s="4"/>
      <c r="BEX21" s="4"/>
      <c r="BEY21" s="4"/>
      <c r="BEZ21" s="4"/>
      <c r="BFA21" s="4"/>
      <c r="BFB21" s="4"/>
      <c r="BFC21" s="4"/>
      <c r="BFD21" s="4"/>
      <c r="BFE21" s="4"/>
      <c r="BFF21" s="4"/>
      <c r="BFG21" s="4"/>
      <c r="BFH21" s="4"/>
      <c r="BFI21" s="4"/>
      <c r="BFJ21" s="4"/>
      <c r="BFK21" s="4"/>
      <c r="BFL21" s="4"/>
      <c r="BFM21" s="4"/>
      <c r="BFN21" s="4"/>
      <c r="BFO21" s="4"/>
      <c r="BFP21" s="4"/>
      <c r="BFQ21" s="4"/>
      <c r="BFR21" s="4"/>
      <c r="BFS21" s="4"/>
      <c r="BFT21" s="4"/>
      <c r="BFU21" s="4"/>
      <c r="BFV21" s="4"/>
      <c r="BFW21" s="4"/>
      <c r="BFX21" s="4"/>
      <c r="BFY21" s="4"/>
      <c r="BFZ21" s="4"/>
      <c r="BGA21" s="4"/>
      <c r="BGB21" s="4"/>
      <c r="BGC21" s="4"/>
      <c r="BGD21" s="4"/>
      <c r="BGE21" s="4"/>
      <c r="BGF21" s="4"/>
      <c r="BGG21" s="4"/>
      <c r="BGH21" s="4"/>
      <c r="BGI21" s="4"/>
      <c r="BGJ21" s="4"/>
      <c r="BGK21" s="4"/>
      <c r="BGL21" s="4"/>
      <c r="BGM21" s="4"/>
      <c r="BGN21" s="4"/>
      <c r="BGO21" s="4"/>
      <c r="BGP21" s="4"/>
      <c r="BGQ21" s="4"/>
      <c r="BGR21" s="4"/>
      <c r="BGS21" s="4"/>
      <c r="BGT21" s="4"/>
      <c r="BGU21" s="4"/>
      <c r="BGV21" s="4"/>
      <c r="BGW21" s="4"/>
      <c r="BGX21" s="4"/>
      <c r="BGY21" s="4"/>
      <c r="BGZ21" s="4"/>
      <c r="BHA21" s="4"/>
      <c r="BHB21" s="4"/>
      <c r="BHC21" s="4"/>
      <c r="BHD21" s="4"/>
      <c r="BHE21" s="4"/>
      <c r="BHF21" s="4"/>
      <c r="BHG21" s="4"/>
      <c r="BHH21" s="4"/>
      <c r="BHI21" s="4"/>
      <c r="BHJ21" s="4"/>
      <c r="BHK21" s="4"/>
      <c r="BHL21" s="4"/>
      <c r="BHM21" s="4"/>
      <c r="BHN21" s="4"/>
      <c r="BHO21" s="4"/>
      <c r="BHP21" s="4"/>
      <c r="BHQ21" s="4"/>
      <c r="BHR21" s="4"/>
      <c r="BHS21" s="4"/>
      <c r="BHT21" s="4"/>
      <c r="BHU21" s="4"/>
      <c r="BHV21" s="4"/>
      <c r="BHW21" s="4"/>
      <c r="BHX21" s="4"/>
      <c r="BHY21" s="4"/>
      <c r="BHZ21" s="4"/>
      <c r="BIA21" s="4"/>
      <c r="BIB21" s="4"/>
      <c r="BIC21" s="4"/>
      <c r="BID21" s="4"/>
      <c r="BIE21" s="4"/>
      <c r="BIF21" s="4"/>
      <c r="BIG21" s="4"/>
      <c r="BIH21" s="4"/>
      <c r="BII21" s="4"/>
      <c r="BIJ21" s="4"/>
      <c r="BIK21" s="4"/>
      <c r="BIL21" s="4"/>
      <c r="BIM21" s="4"/>
      <c r="BIN21" s="4"/>
      <c r="BIO21" s="4"/>
      <c r="BIP21" s="4"/>
      <c r="BIQ21" s="4"/>
      <c r="BIR21" s="4"/>
      <c r="BIS21" s="4"/>
      <c r="BIT21" s="4"/>
      <c r="BIU21" s="4"/>
      <c r="BIV21" s="4"/>
      <c r="BIW21" s="4"/>
      <c r="BIX21" s="4"/>
      <c r="BIY21" s="4"/>
      <c r="BIZ21" s="4"/>
      <c r="BJA21" s="4"/>
      <c r="BJB21" s="4"/>
      <c r="BJC21" s="4"/>
      <c r="BJD21" s="4"/>
      <c r="BJE21" s="4"/>
      <c r="BJF21" s="4"/>
      <c r="BJG21" s="4"/>
      <c r="BJH21" s="4"/>
      <c r="BJI21" s="4"/>
      <c r="BJJ21" s="4"/>
      <c r="BJK21" s="4"/>
      <c r="BJL21" s="4"/>
      <c r="BJM21" s="4"/>
      <c r="BJN21" s="4"/>
      <c r="BJO21" s="4"/>
      <c r="BJP21" s="4"/>
      <c r="BJQ21" s="4"/>
      <c r="BJR21" s="4"/>
      <c r="BJS21" s="4"/>
      <c r="BJT21" s="4"/>
      <c r="BJU21" s="4"/>
      <c r="BJV21" s="4"/>
      <c r="BJW21" s="4"/>
      <c r="BJX21" s="4"/>
      <c r="BJY21" s="4"/>
      <c r="BJZ21" s="4"/>
      <c r="BKA21" s="4"/>
      <c r="BKB21" s="4"/>
      <c r="BKC21" s="4"/>
      <c r="BKD21" s="4"/>
      <c r="BKE21" s="4"/>
      <c r="BKF21" s="4"/>
      <c r="BKG21" s="4"/>
      <c r="BKH21" s="4"/>
      <c r="BKI21" s="4"/>
      <c r="BKJ21" s="4"/>
      <c r="BKK21" s="4"/>
      <c r="BKL21" s="4"/>
      <c r="BKM21" s="4"/>
      <c r="BKN21" s="4"/>
      <c r="BKO21" s="4"/>
      <c r="BKP21" s="4"/>
      <c r="BKQ21" s="4"/>
      <c r="BKR21" s="4"/>
      <c r="BKS21" s="4"/>
      <c r="BKT21" s="4"/>
      <c r="BKU21" s="4"/>
      <c r="BKV21" s="4"/>
      <c r="BKW21" s="4"/>
      <c r="BKX21" s="4"/>
      <c r="BKY21" s="4"/>
      <c r="BKZ21" s="4"/>
      <c r="BLA21" s="4"/>
      <c r="BLB21" s="4"/>
      <c r="BLC21" s="4"/>
      <c r="BLD21" s="4"/>
      <c r="BLE21" s="4"/>
      <c r="BLF21" s="4"/>
      <c r="BLG21" s="4"/>
      <c r="BLH21" s="4"/>
      <c r="BLI21" s="4"/>
      <c r="BLJ21" s="4"/>
      <c r="BLK21" s="4"/>
      <c r="BLL21" s="4"/>
      <c r="BLM21" s="4"/>
      <c r="BLN21" s="4"/>
      <c r="BLO21" s="4"/>
      <c r="BLP21" s="4"/>
      <c r="BLQ21" s="4"/>
      <c r="BLR21" s="4"/>
      <c r="BLS21" s="4"/>
      <c r="BLT21" s="4"/>
      <c r="BLU21" s="4"/>
      <c r="BLV21" s="4"/>
      <c r="BLW21" s="4"/>
      <c r="BLX21" s="4"/>
      <c r="BLY21" s="4"/>
      <c r="BLZ21" s="4"/>
      <c r="BMA21" s="4"/>
      <c r="BMB21" s="4"/>
      <c r="BMC21" s="4"/>
      <c r="BMD21" s="4"/>
      <c r="BME21" s="4"/>
      <c r="BMF21" s="4"/>
      <c r="BMG21" s="4"/>
      <c r="BMH21" s="4"/>
      <c r="BMI21" s="4"/>
      <c r="BMJ21" s="4"/>
      <c r="BMK21" s="4"/>
      <c r="BML21" s="4"/>
      <c r="BMM21" s="4"/>
      <c r="BMN21" s="4"/>
      <c r="BMO21" s="4"/>
      <c r="BMP21" s="4"/>
      <c r="BMQ21" s="4"/>
      <c r="BMR21" s="4"/>
      <c r="BMS21" s="4"/>
      <c r="BMT21" s="4"/>
      <c r="BMU21" s="4"/>
      <c r="BMV21" s="4"/>
      <c r="BMW21" s="4"/>
      <c r="BMX21" s="4"/>
      <c r="BMY21" s="4"/>
      <c r="BMZ21" s="4"/>
      <c r="BNA21" s="4"/>
      <c r="BNB21" s="4"/>
      <c r="BNC21" s="4"/>
      <c r="BND21" s="4"/>
      <c r="BNE21" s="4"/>
      <c r="BNF21" s="4"/>
      <c r="BNG21" s="4"/>
      <c r="BNH21" s="4"/>
      <c r="BNI21" s="4"/>
      <c r="BNJ21" s="4"/>
      <c r="BNK21" s="4"/>
      <c r="BNL21" s="4"/>
      <c r="BNM21" s="4"/>
      <c r="BNN21" s="4"/>
      <c r="BNO21" s="4"/>
      <c r="BNP21" s="4"/>
      <c r="BNQ21" s="4"/>
      <c r="BNR21" s="4"/>
      <c r="BNS21" s="4"/>
      <c r="BNT21" s="4"/>
      <c r="BNU21" s="4"/>
      <c r="BNV21" s="4"/>
      <c r="BNW21" s="4"/>
      <c r="BNX21" s="4"/>
      <c r="BNY21" s="4"/>
      <c r="BNZ21" s="4"/>
      <c r="BOA21" s="4"/>
      <c r="BOB21" s="4"/>
      <c r="BOC21" s="4"/>
      <c r="BOD21" s="4"/>
      <c r="BOE21" s="4"/>
      <c r="BOF21" s="4"/>
      <c r="BOG21" s="4"/>
      <c r="BOH21" s="4"/>
      <c r="BOI21" s="4"/>
      <c r="BOJ21" s="4"/>
      <c r="BOK21" s="4"/>
      <c r="BOL21" s="4"/>
      <c r="BOM21" s="4"/>
      <c r="BON21" s="4"/>
      <c r="BOO21" s="4"/>
      <c r="BOP21" s="4"/>
      <c r="BOQ21" s="4"/>
      <c r="BOR21" s="4"/>
      <c r="BOS21" s="4"/>
      <c r="BOT21" s="4"/>
      <c r="BOU21" s="4"/>
      <c r="BOV21" s="4"/>
      <c r="BOW21" s="4"/>
      <c r="BOX21" s="4"/>
      <c r="BOY21" s="4"/>
      <c r="BOZ21" s="4"/>
      <c r="BPA21" s="60"/>
    </row>
    <row r="22" s="5" customFormat="1" ht="60" customHeight="1" spans="1:1024 1025:1769">
      <c r="A22" s="47" t="s">
        <v>76</v>
      </c>
      <c r="B22" s="48" t="s">
        <v>1282</v>
      </c>
      <c r="C22" s="48" t="s">
        <v>1283</v>
      </c>
      <c r="D22" s="49" t="s">
        <v>1284</v>
      </c>
      <c r="E22" s="56"/>
      <c r="F22" s="51">
        <v>46175</v>
      </c>
      <c r="G22" s="64" t="s">
        <v>7</v>
      </c>
      <c r="H22" s="56"/>
      <c r="J22" s="5" t="s">
        <v>1254</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c r="YI22" s="4"/>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c r="ADQ22" s="4"/>
      <c r="ADR22" s="4"/>
      <c r="ADS22" s="4"/>
      <c r="ADT22" s="4"/>
      <c r="ADU22" s="4"/>
      <c r="ADV22" s="4"/>
      <c r="ADW22" s="4"/>
      <c r="ADX22" s="4"/>
      <c r="ADY22" s="4"/>
      <c r="ADZ22" s="4"/>
      <c r="AEA22" s="4"/>
      <c r="AEB22" s="4"/>
      <c r="AEC22" s="4"/>
      <c r="AED22" s="4"/>
      <c r="AEE22" s="4"/>
      <c r="AEF22" s="4"/>
      <c r="AEG22" s="4"/>
      <c r="AEH22" s="4"/>
      <c r="AEI22" s="4"/>
      <c r="AEJ22" s="4"/>
      <c r="AEK22" s="4"/>
      <c r="AEL22" s="4"/>
      <c r="AEM22" s="4"/>
      <c r="AEN22" s="4"/>
      <c r="AEO22" s="4"/>
      <c r="AEP22" s="4"/>
      <c r="AEQ22" s="4"/>
      <c r="AER22" s="4"/>
      <c r="AES22" s="4"/>
      <c r="AET22" s="4"/>
      <c r="AEU22" s="4"/>
      <c r="AEV22" s="4"/>
      <c r="AEW22" s="4"/>
      <c r="AEX22" s="4"/>
      <c r="AEY22" s="4"/>
      <c r="AEZ22" s="4"/>
      <c r="AFA22" s="4"/>
      <c r="AFB22" s="4"/>
      <c r="AFC22" s="4"/>
      <c r="AFD22" s="4"/>
      <c r="AFE22" s="4"/>
      <c r="AFF22" s="4"/>
      <c r="AFG22" s="4"/>
      <c r="AFH22" s="4"/>
      <c r="AFI22" s="4"/>
      <c r="AFJ22" s="4"/>
      <c r="AFK22" s="4"/>
      <c r="AFL22" s="4"/>
      <c r="AFM22" s="4"/>
      <c r="AFN22" s="4"/>
      <c r="AFO22" s="4"/>
      <c r="AFP22" s="4"/>
      <c r="AFQ22" s="4"/>
      <c r="AFR22" s="4"/>
      <c r="AFS22" s="4"/>
      <c r="AFT22" s="4"/>
      <c r="AFU22" s="4"/>
      <c r="AFV22" s="4"/>
      <c r="AFW22" s="4"/>
      <c r="AFX22" s="4"/>
      <c r="AFY22" s="4"/>
      <c r="AFZ22" s="4"/>
      <c r="AGA22" s="4"/>
      <c r="AGB22" s="4"/>
      <c r="AGC22" s="4"/>
      <c r="AGD22" s="4"/>
      <c r="AGE22" s="4"/>
      <c r="AGF22" s="4"/>
      <c r="AGG22" s="4"/>
      <c r="AGH22" s="4"/>
      <c r="AGI22" s="4"/>
      <c r="AGJ22" s="4"/>
      <c r="AGK22" s="4"/>
      <c r="AGL22" s="4"/>
      <c r="AGM22" s="4"/>
      <c r="AGN22" s="4"/>
      <c r="AGO22" s="4"/>
      <c r="AGP22" s="4"/>
      <c r="AGQ22" s="4"/>
      <c r="AGR22" s="4"/>
      <c r="AGS22" s="4"/>
      <c r="AGT22" s="4"/>
      <c r="AGU22" s="4"/>
      <c r="AGV22" s="4"/>
      <c r="AGW22" s="4"/>
      <c r="AGX22" s="4"/>
      <c r="AGY22" s="4"/>
      <c r="AGZ22" s="4"/>
      <c r="AHA22" s="4"/>
      <c r="AHB22" s="4"/>
      <c r="AHC22" s="4"/>
      <c r="AHD22" s="4"/>
      <c r="AHE22" s="4"/>
      <c r="AHF22" s="4"/>
      <c r="AHG22" s="4"/>
      <c r="AHH22" s="4"/>
      <c r="AHI22" s="4"/>
      <c r="AHJ22" s="4"/>
      <c r="AHK22" s="4"/>
      <c r="AHL22" s="4"/>
      <c r="AHM22" s="4"/>
      <c r="AHN22" s="4"/>
      <c r="AHO22" s="4"/>
      <c r="AHP22" s="4"/>
      <c r="AHQ22" s="4"/>
      <c r="AHR22" s="4"/>
      <c r="AHS22" s="4"/>
      <c r="AHT22" s="4"/>
      <c r="AHU22" s="4"/>
      <c r="AHV22" s="4"/>
      <c r="AHW22" s="4"/>
      <c r="AHX22" s="4"/>
      <c r="AHY22" s="4"/>
      <c r="AHZ22" s="4"/>
      <c r="AIA22" s="4"/>
      <c r="AIB22" s="4"/>
      <c r="AIC22" s="4"/>
      <c r="AID22" s="4"/>
      <c r="AIE22" s="4"/>
      <c r="AIF22" s="4"/>
      <c r="AIG22" s="4"/>
      <c r="AIH22" s="4"/>
      <c r="AII22" s="4"/>
      <c r="AIJ22" s="4"/>
      <c r="AIK22" s="4"/>
      <c r="AIL22" s="4"/>
      <c r="AIM22" s="4"/>
      <c r="AIN22" s="4"/>
      <c r="AIO22" s="4"/>
      <c r="AIP22" s="4"/>
      <c r="AIQ22" s="4"/>
      <c r="AIR22" s="4"/>
      <c r="AIS22" s="4"/>
      <c r="AIT22" s="4"/>
      <c r="AIU22" s="4"/>
      <c r="AIV22" s="4"/>
      <c r="AIW22" s="4"/>
      <c r="AIX22" s="4"/>
      <c r="AIY22" s="4"/>
      <c r="AIZ22" s="4"/>
      <c r="AJA22" s="4"/>
      <c r="AJB22" s="4"/>
      <c r="AJC22" s="4"/>
      <c r="AJD22" s="4"/>
      <c r="AJE22" s="4"/>
      <c r="AJF22" s="4"/>
      <c r="AJG22" s="4"/>
      <c r="AJH22" s="4"/>
      <c r="AJI22" s="4"/>
      <c r="AJJ22" s="4"/>
      <c r="AJK22" s="4"/>
      <c r="AJL22" s="4"/>
      <c r="AJM22" s="4"/>
      <c r="AJN22" s="4"/>
      <c r="AJO22" s="4"/>
      <c r="AJP22" s="4"/>
      <c r="AJQ22" s="4"/>
      <c r="AJR22" s="4"/>
      <c r="AJS22" s="4"/>
      <c r="AJT22" s="4"/>
      <c r="AJU22" s="4"/>
      <c r="AJV22" s="4"/>
      <c r="AJW22" s="4"/>
      <c r="AJX22" s="4"/>
      <c r="AJY22" s="4"/>
      <c r="AJZ22" s="4"/>
      <c r="AKA22" s="4"/>
      <c r="AKB22" s="4"/>
      <c r="AKC22" s="4"/>
      <c r="AKD22" s="4"/>
      <c r="AKE22" s="4"/>
      <c r="AKF22" s="4"/>
      <c r="AKG22" s="4"/>
      <c r="AKH22" s="4"/>
      <c r="AKI22" s="4"/>
      <c r="AKJ22" s="4"/>
      <c r="AKK22" s="4"/>
      <c r="AKL22" s="4"/>
      <c r="AKM22" s="4"/>
      <c r="AKN22" s="4"/>
      <c r="AKO22" s="4"/>
      <c r="AKP22" s="4"/>
      <c r="AKQ22" s="4"/>
      <c r="AKR22" s="4"/>
      <c r="AKS22" s="4"/>
      <c r="AKT22" s="4"/>
      <c r="AKU22" s="4"/>
      <c r="AKV22" s="4"/>
      <c r="AKW22" s="4"/>
      <c r="AKX22" s="4"/>
      <c r="AKY22" s="4"/>
      <c r="AKZ22" s="4"/>
      <c r="ALA22" s="4"/>
      <c r="ALB22" s="4"/>
      <c r="ALC22" s="4"/>
      <c r="ALD22" s="4"/>
      <c r="ALE22" s="4"/>
      <c r="ALF22" s="4"/>
      <c r="ALG22" s="4"/>
      <c r="ALH22" s="4"/>
      <c r="ALI22" s="4"/>
      <c r="ALJ22" s="4"/>
      <c r="ALK22" s="4"/>
      <c r="ALL22" s="4"/>
      <c r="ALM22" s="4"/>
      <c r="ALN22" s="4"/>
      <c r="ALO22" s="4"/>
      <c r="ALP22" s="4"/>
      <c r="ALQ22" s="4"/>
      <c r="ALR22" s="4"/>
      <c r="ALS22" s="4"/>
      <c r="ALT22" s="4"/>
      <c r="ALU22" s="4"/>
      <c r="ALV22" s="4"/>
      <c r="ALW22" s="4"/>
      <c r="ALX22" s="4"/>
      <c r="ALY22" s="4"/>
      <c r="ALZ22" s="4"/>
      <c r="AMA22" s="4"/>
      <c r="AMB22" s="4"/>
      <c r="AMC22" s="4"/>
      <c r="AMD22" s="4"/>
      <c r="AME22" s="4"/>
      <c r="AMF22" s="4"/>
      <c r="AMG22" s="4"/>
      <c r="AMH22" s="4"/>
      <c r="AMI22" s="4"/>
      <c r="AMJ22" s="4"/>
      <c r="AMK22" s="4"/>
      <c r="AML22" s="4"/>
      <c r="AMM22" s="4"/>
      <c r="AMN22" s="4"/>
      <c r="AMO22" s="4"/>
      <c r="AMP22" s="4"/>
      <c r="AMQ22" s="4"/>
      <c r="AMR22" s="4"/>
      <c r="AMS22" s="4"/>
      <c r="AMT22" s="4"/>
      <c r="AMU22" s="4"/>
      <c r="AMV22" s="4"/>
      <c r="AMW22" s="4"/>
      <c r="AMX22" s="4"/>
      <c r="AMY22" s="4"/>
      <c r="AMZ22" s="4"/>
      <c r="ANA22" s="4"/>
      <c r="ANB22" s="4"/>
      <c r="ANC22" s="4"/>
      <c r="AND22" s="4"/>
      <c r="ANE22" s="4"/>
      <c r="ANF22" s="4"/>
      <c r="ANG22" s="4"/>
      <c r="ANH22" s="4"/>
      <c r="ANI22" s="4"/>
      <c r="ANJ22" s="4"/>
      <c r="ANK22" s="4"/>
      <c r="ANL22" s="4"/>
      <c r="ANM22" s="4"/>
      <c r="ANN22" s="4"/>
      <c r="ANO22" s="4"/>
      <c r="ANP22" s="4"/>
      <c r="ANQ22" s="4"/>
      <c r="ANR22" s="4"/>
      <c r="ANS22" s="4"/>
      <c r="ANT22" s="4"/>
      <c r="ANU22" s="4"/>
      <c r="ANV22" s="4"/>
      <c r="ANW22" s="4"/>
      <c r="ANX22" s="4"/>
      <c r="ANY22" s="4"/>
      <c r="ANZ22" s="4"/>
      <c r="AOA22" s="4"/>
      <c r="AOB22" s="4"/>
      <c r="AOC22" s="4"/>
      <c r="AOD22" s="4"/>
      <c r="AOE22" s="4"/>
      <c r="AOF22" s="4"/>
      <c r="AOG22" s="4"/>
      <c r="AOH22" s="4"/>
      <c r="AOI22" s="4"/>
      <c r="AOJ22" s="4"/>
      <c r="AOK22" s="4"/>
      <c r="AOL22" s="4"/>
      <c r="AOM22" s="4"/>
      <c r="AON22" s="4"/>
      <c r="AOO22" s="4"/>
      <c r="AOP22" s="4"/>
      <c r="AOQ22" s="4"/>
      <c r="AOR22" s="4"/>
      <c r="AOS22" s="4"/>
      <c r="AOT22" s="4"/>
      <c r="AOU22" s="4"/>
      <c r="AOV22" s="4"/>
      <c r="AOW22" s="4"/>
      <c r="AOX22" s="4"/>
      <c r="AOY22" s="4"/>
      <c r="AOZ22" s="4"/>
      <c r="APA22" s="4"/>
      <c r="APB22" s="4"/>
      <c r="APC22" s="4"/>
      <c r="APD22" s="4"/>
      <c r="APE22" s="4"/>
      <c r="APF22" s="4"/>
      <c r="APG22" s="4"/>
      <c r="APH22" s="4"/>
      <c r="API22" s="4"/>
      <c r="APJ22" s="4"/>
      <c r="APK22" s="4"/>
      <c r="APL22" s="4"/>
      <c r="APM22" s="4"/>
      <c r="APN22" s="4"/>
      <c r="APO22" s="4"/>
      <c r="APP22" s="4"/>
      <c r="APQ22" s="4"/>
      <c r="APR22" s="4"/>
      <c r="APS22" s="4"/>
      <c r="APT22" s="4"/>
      <c r="APU22" s="4"/>
      <c r="APV22" s="4"/>
      <c r="APW22" s="4"/>
      <c r="APX22" s="4"/>
      <c r="APY22" s="4"/>
      <c r="APZ22" s="4"/>
      <c r="AQA22" s="4"/>
      <c r="AQB22" s="4"/>
      <c r="AQC22" s="4"/>
      <c r="AQD22" s="4"/>
      <c r="AQE22" s="4"/>
      <c r="AQF22" s="4"/>
      <c r="AQG22" s="4"/>
      <c r="AQH22" s="4"/>
      <c r="AQI22" s="4"/>
      <c r="AQJ22" s="4"/>
      <c r="AQK22" s="4"/>
      <c r="AQL22" s="4"/>
      <c r="AQM22" s="4"/>
      <c r="AQN22" s="4"/>
      <c r="AQO22" s="4"/>
      <c r="AQP22" s="4"/>
      <c r="AQQ22" s="4"/>
      <c r="AQR22" s="4"/>
      <c r="AQS22" s="4"/>
      <c r="AQT22" s="4"/>
      <c r="AQU22" s="4"/>
      <c r="AQV22" s="4"/>
      <c r="AQW22" s="4"/>
      <c r="AQX22" s="4"/>
      <c r="AQY22" s="4"/>
      <c r="AQZ22" s="4"/>
      <c r="ARA22" s="4"/>
      <c r="ARB22" s="4"/>
      <c r="ARC22" s="4"/>
      <c r="ARD22" s="4"/>
      <c r="ARE22" s="4"/>
      <c r="ARF22" s="4"/>
      <c r="ARG22" s="4"/>
      <c r="ARH22" s="4"/>
      <c r="ARI22" s="4"/>
      <c r="ARJ22" s="4"/>
      <c r="ARK22" s="4"/>
      <c r="ARL22" s="4"/>
      <c r="ARM22" s="4"/>
      <c r="ARN22" s="4"/>
      <c r="ARO22" s="4"/>
      <c r="ARP22" s="4"/>
      <c r="ARQ22" s="4"/>
      <c r="ARR22" s="4"/>
      <c r="ARS22" s="4"/>
      <c r="ART22" s="4"/>
      <c r="ARU22" s="4"/>
      <c r="ARV22" s="4"/>
      <c r="ARW22" s="4"/>
      <c r="ARX22" s="4"/>
      <c r="ARY22" s="4"/>
      <c r="ARZ22" s="4"/>
      <c r="ASA22" s="4"/>
      <c r="ASB22" s="4"/>
      <c r="ASC22" s="4"/>
      <c r="ASD22" s="4"/>
      <c r="ASE22" s="4"/>
      <c r="ASF22" s="4"/>
      <c r="ASG22" s="4"/>
      <c r="ASH22" s="4"/>
      <c r="ASI22" s="4"/>
      <c r="ASJ22" s="4"/>
      <c r="ASK22" s="4"/>
      <c r="ASL22" s="4"/>
      <c r="ASM22" s="4"/>
      <c r="ASN22" s="4"/>
      <c r="ASO22" s="4"/>
      <c r="ASP22" s="4"/>
      <c r="ASQ22" s="4"/>
      <c r="ASR22" s="4"/>
      <c r="ASS22" s="4"/>
      <c r="AST22" s="4"/>
      <c r="ASU22" s="4"/>
      <c r="ASV22" s="4"/>
      <c r="ASW22" s="4"/>
      <c r="ASX22" s="4"/>
      <c r="ASY22" s="4"/>
      <c r="ASZ22" s="4"/>
      <c r="ATA22" s="4"/>
      <c r="ATB22" s="4"/>
      <c r="ATC22" s="4"/>
      <c r="ATD22" s="4"/>
      <c r="ATE22" s="4"/>
      <c r="ATF22" s="4"/>
      <c r="ATG22" s="4"/>
      <c r="ATH22" s="4"/>
      <c r="ATI22" s="4"/>
      <c r="ATJ22" s="4"/>
      <c r="ATK22" s="4"/>
      <c r="ATL22" s="4"/>
      <c r="ATM22" s="4"/>
      <c r="ATN22" s="4"/>
      <c r="ATO22" s="4"/>
      <c r="ATP22" s="4"/>
      <c r="ATQ22" s="4"/>
      <c r="ATR22" s="4"/>
      <c r="ATS22" s="4"/>
      <c r="ATT22" s="4"/>
      <c r="ATU22" s="4"/>
      <c r="ATV22" s="4"/>
      <c r="ATW22" s="4"/>
      <c r="ATX22" s="4"/>
      <c r="ATY22" s="4"/>
      <c r="ATZ22" s="4"/>
      <c r="AUA22" s="4"/>
      <c r="AUB22" s="4"/>
      <c r="AUC22" s="4"/>
      <c r="AUD22" s="4"/>
      <c r="AUE22" s="4"/>
      <c r="AUF22" s="4"/>
      <c r="AUG22" s="4"/>
      <c r="AUH22" s="4"/>
      <c r="AUI22" s="4"/>
      <c r="AUJ22" s="4"/>
      <c r="AUK22" s="4"/>
      <c r="AUL22" s="4"/>
      <c r="AUM22" s="4"/>
      <c r="AUN22" s="4"/>
      <c r="AUO22" s="4"/>
      <c r="AUP22" s="4"/>
      <c r="AUQ22" s="4"/>
      <c r="AUR22" s="4"/>
      <c r="AUS22" s="4"/>
      <c r="AUT22" s="4"/>
      <c r="AUU22" s="4"/>
      <c r="AUV22" s="4"/>
      <c r="AUW22" s="4"/>
      <c r="AUX22" s="4"/>
      <c r="AUY22" s="4"/>
      <c r="AUZ22" s="4"/>
      <c r="AVA22" s="4"/>
      <c r="AVB22" s="4"/>
      <c r="AVC22" s="4"/>
      <c r="AVD22" s="4"/>
      <c r="AVE22" s="4"/>
      <c r="AVF22" s="4"/>
      <c r="AVG22" s="4"/>
      <c r="AVH22" s="4"/>
      <c r="AVI22" s="4"/>
      <c r="AVJ22" s="4"/>
      <c r="AVK22" s="4"/>
      <c r="AVL22" s="4"/>
      <c r="AVM22" s="4"/>
      <c r="AVN22" s="4"/>
      <c r="AVO22" s="4"/>
      <c r="AVP22" s="4"/>
      <c r="AVQ22" s="4"/>
      <c r="AVR22" s="4"/>
      <c r="AVS22" s="4"/>
      <c r="AVT22" s="4"/>
      <c r="AVU22" s="4"/>
      <c r="AVV22" s="4"/>
      <c r="AVW22" s="4"/>
      <c r="AVX22" s="4"/>
      <c r="AVY22" s="4"/>
      <c r="AVZ22" s="4"/>
      <c r="AWA22" s="4"/>
      <c r="AWB22" s="4"/>
      <c r="AWC22" s="4"/>
      <c r="AWD22" s="4"/>
      <c r="AWE22" s="4"/>
      <c r="AWF22" s="4"/>
      <c r="AWG22" s="4"/>
      <c r="AWH22" s="4"/>
      <c r="AWI22" s="4"/>
      <c r="AWJ22" s="4"/>
      <c r="AWK22" s="4"/>
      <c r="AWL22" s="4"/>
      <c r="AWM22" s="4"/>
      <c r="AWN22" s="4"/>
      <c r="AWO22" s="4"/>
      <c r="AWP22" s="4"/>
      <c r="AWQ22" s="4"/>
      <c r="AWR22" s="4"/>
      <c r="AWS22" s="4"/>
      <c r="AWT22" s="4"/>
      <c r="AWU22" s="4"/>
      <c r="AWV22" s="4"/>
      <c r="AWW22" s="4"/>
      <c r="AWX22" s="4"/>
      <c r="AWY22" s="4"/>
      <c r="AWZ22" s="4"/>
      <c r="AXA22" s="4"/>
      <c r="AXB22" s="4"/>
      <c r="AXC22" s="4"/>
      <c r="AXD22" s="4"/>
      <c r="AXE22" s="4"/>
      <c r="AXF22" s="4"/>
      <c r="AXG22" s="4"/>
      <c r="AXH22" s="4"/>
      <c r="AXI22" s="4"/>
      <c r="AXJ22" s="4"/>
      <c r="AXK22" s="4"/>
      <c r="AXL22" s="4"/>
      <c r="AXM22" s="4"/>
      <c r="AXN22" s="4"/>
      <c r="AXO22" s="4"/>
      <c r="AXP22" s="4"/>
      <c r="AXQ22" s="4"/>
      <c r="AXR22" s="4"/>
      <c r="AXS22" s="4"/>
      <c r="AXT22" s="4"/>
      <c r="AXU22" s="4"/>
      <c r="AXV22" s="4"/>
      <c r="AXW22" s="4"/>
      <c r="AXX22" s="4"/>
      <c r="AXY22" s="4"/>
      <c r="AXZ22" s="4"/>
      <c r="AYA22" s="4"/>
      <c r="AYB22" s="4"/>
      <c r="AYC22" s="4"/>
      <c r="AYD22" s="4"/>
      <c r="AYE22" s="4"/>
      <c r="AYF22" s="4"/>
      <c r="AYG22" s="4"/>
      <c r="AYH22" s="4"/>
      <c r="AYI22" s="4"/>
      <c r="AYJ22" s="4"/>
      <c r="AYK22" s="4"/>
      <c r="AYL22" s="4"/>
      <c r="AYM22" s="4"/>
      <c r="AYN22" s="4"/>
      <c r="AYO22" s="4"/>
      <c r="AYP22" s="4"/>
      <c r="AYQ22" s="4"/>
      <c r="AYR22" s="4"/>
      <c r="AYS22" s="4"/>
      <c r="AYT22" s="4"/>
      <c r="AYU22" s="4"/>
      <c r="AYV22" s="4"/>
      <c r="AYW22" s="4"/>
      <c r="AYX22" s="4"/>
      <c r="AYY22" s="4"/>
      <c r="AYZ22" s="4"/>
      <c r="AZA22" s="4"/>
      <c r="AZB22" s="4"/>
      <c r="AZC22" s="4"/>
      <c r="AZD22" s="4"/>
      <c r="AZE22" s="4"/>
      <c r="AZF22" s="4"/>
      <c r="AZG22" s="4"/>
      <c r="AZH22" s="4"/>
      <c r="AZI22" s="4"/>
      <c r="AZJ22" s="4"/>
      <c r="AZK22" s="4"/>
      <c r="AZL22" s="4"/>
      <c r="AZM22" s="4"/>
      <c r="AZN22" s="4"/>
      <c r="AZO22" s="4"/>
      <c r="AZP22" s="4"/>
      <c r="AZQ22" s="4"/>
      <c r="AZR22" s="4"/>
      <c r="AZS22" s="4"/>
      <c r="AZT22" s="4"/>
      <c r="AZU22" s="4"/>
      <c r="AZV22" s="4"/>
      <c r="AZW22" s="4"/>
      <c r="AZX22" s="4"/>
      <c r="AZY22" s="4"/>
      <c r="AZZ22" s="4"/>
      <c r="BAA22" s="4"/>
      <c r="BAB22" s="4"/>
      <c r="BAC22" s="4"/>
      <c r="BAD22" s="4"/>
      <c r="BAE22" s="4"/>
      <c r="BAF22" s="4"/>
      <c r="BAG22" s="4"/>
      <c r="BAH22" s="4"/>
      <c r="BAI22" s="4"/>
      <c r="BAJ22" s="4"/>
      <c r="BAK22" s="4"/>
      <c r="BAL22" s="4"/>
      <c r="BAM22" s="4"/>
      <c r="BAN22" s="4"/>
      <c r="BAO22" s="4"/>
      <c r="BAP22" s="4"/>
      <c r="BAQ22" s="4"/>
      <c r="BAR22" s="4"/>
      <c r="BAS22" s="4"/>
      <c r="BAT22" s="4"/>
      <c r="BAU22" s="4"/>
      <c r="BAV22" s="4"/>
      <c r="BAW22" s="4"/>
      <c r="BAX22" s="4"/>
      <c r="BAY22" s="4"/>
      <c r="BAZ22" s="4"/>
      <c r="BBA22" s="4"/>
      <c r="BBB22" s="4"/>
      <c r="BBC22" s="4"/>
      <c r="BBD22" s="4"/>
      <c r="BBE22" s="4"/>
      <c r="BBF22" s="4"/>
      <c r="BBG22" s="4"/>
      <c r="BBH22" s="4"/>
      <c r="BBI22" s="4"/>
      <c r="BBJ22" s="4"/>
      <c r="BBK22" s="4"/>
      <c r="BBL22" s="4"/>
      <c r="BBM22" s="4"/>
      <c r="BBN22" s="4"/>
      <c r="BBO22" s="4"/>
      <c r="BBP22" s="4"/>
      <c r="BBQ22" s="4"/>
      <c r="BBR22" s="4"/>
      <c r="BBS22" s="4"/>
      <c r="BBT22" s="4"/>
      <c r="BBU22" s="4"/>
      <c r="BBV22" s="4"/>
      <c r="BBW22" s="4"/>
      <c r="BBX22" s="4"/>
      <c r="BBY22" s="4"/>
      <c r="BBZ22" s="4"/>
      <c r="BCA22" s="4"/>
      <c r="BCB22" s="4"/>
      <c r="BCC22" s="4"/>
      <c r="BCD22" s="4"/>
      <c r="BCE22" s="4"/>
      <c r="BCF22" s="4"/>
      <c r="BCG22" s="4"/>
      <c r="BCH22" s="4"/>
      <c r="BCI22" s="4"/>
      <c r="BCJ22" s="4"/>
      <c r="BCK22" s="4"/>
      <c r="BCL22" s="4"/>
      <c r="BCM22" s="4"/>
      <c r="BCN22" s="4"/>
      <c r="BCO22" s="4"/>
      <c r="BCP22" s="4"/>
      <c r="BCQ22" s="4"/>
      <c r="BCR22" s="4"/>
      <c r="BCS22" s="4"/>
      <c r="BCT22" s="4"/>
      <c r="BCU22" s="4"/>
      <c r="BCV22" s="4"/>
      <c r="BCW22" s="4"/>
      <c r="BCX22" s="4"/>
      <c r="BCY22" s="4"/>
      <c r="BCZ22" s="4"/>
      <c r="BDA22" s="4"/>
      <c r="BDB22" s="4"/>
      <c r="BDC22" s="4"/>
      <c r="BDD22" s="4"/>
      <c r="BDE22" s="4"/>
      <c r="BDF22" s="4"/>
      <c r="BDG22" s="4"/>
      <c r="BDH22" s="4"/>
      <c r="BDI22" s="4"/>
      <c r="BDJ22" s="4"/>
      <c r="BDK22" s="4"/>
      <c r="BDL22" s="4"/>
      <c r="BDM22" s="4"/>
      <c r="BDN22" s="4"/>
      <c r="BDO22" s="4"/>
      <c r="BDP22" s="4"/>
      <c r="BDQ22" s="4"/>
      <c r="BDR22" s="4"/>
      <c r="BDS22" s="4"/>
      <c r="BDT22" s="4"/>
      <c r="BDU22" s="4"/>
      <c r="BDV22" s="4"/>
      <c r="BDW22" s="4"/>
      <c r="BDX22" s="4"/>
      <c r="BDY22" s="4"/>
      <c r="BDZ22" s="4"/>
      <c r="BEA22" s="4"/>
      <c r="BEB22" s="4"/>
      <c r="BEC22" s="4"/>
      <c r="BED22" s="4"/>
      <c r="BEE22" s="4"/>
      <c r="BEF22" s="4"/>
      <c r="BEG22" s="4"/>
      <c r="BEH22" s="4"/>
      <c r="BEI22" s="4"/>
      <c r="BEJ22" s="4"/>
      <c r="BEK22" s="4"/>
      <c r="BEL22" s="4"/>
      <c r="BEM22" s="4"/>
      <c r="BEN22" s="4"/>
      <c r="BEO22" s="4"/>
      <c r="BEP22" s="4"/>
      <c r="BEQ22" s="4"/>
      <c r="BER22" s="4"/>
      <c r="BES22" s="4"/>
      <c r="BET22" s="4"/>
      <c r="BEU22" s="4"/>
      <c r="BEV22" s="4"/>
      <c r="BEW22" s="4"/>
      <c r="BEX22" s="4"/>
      <c r="BEY22" s="4"/>
      <c r="BEZ22" s="4"/>
      <c r="BFA22" s="4"/>
      <c r="BFB22" s="4"/>
      <c r="BFC22" s="4"/>
      <c r="BFD22" s="4"/>
      <c r="BFE22" s="4"/>
      <c r="BFF22" s="4"/>
      <c r="BFG22" s="4"/>
      <c r="BFH22" s="4"/>
      <c r="BFI22" s="4"/>
      <c r="BFJ22" s="4"/>
      <c r="BFK22" s="4"/>
      <c r="BFL22" s="4"/>
      <c r="BFM22" s="4"/>
      <c r="BFN22" s="4"/>
      <c r="BFO22" s="4"/>
      <c r="BFP22" s="4"/>
      <c r="BFQ22" s="4"/>
      <c r="BFR22" s="4"/>
      <c r="BFS22" s="4"/>
      <c r="BFT22" s="4"/>
      <c r="BFU22" s="4"/>
      <c r="BFV22" s="4"/>
      <c r="BFW22" s="4"/>
      <c r="BFX22" s="4"/>
      <c r="BFY22" s="4"/>
      <c r="BFZ22" s="4"/>
      <c r="BGA22" s="4"/>
      <c r="BGB22" s="4"/>
      <c r="BGC22" s="4"/>
      <c r="BGD22" s="4"/>
      <c r="BGE22" s="4"/>
      <c r="BGF22" s="4"/>
      <c r="BGG22" s="4"/>
      <c r="BGH22" s="4"/>
      <c r="BGI22" s="4"/>
      <c r="BGJ22" s="4"/>
      <c r="BGK22" s="4"/>
      <c r="BGL22" s="4"/>
      <c r="BGM22" s="4"/>
      <c r="BGN22" s="4"/>
      <c r="BGO22" s="4"/>
      <c r="BGP22" s="4"/>
      <c r="BGQ22" s="4"/>
      <c r="BGR22" s="4"/>
      <c r="BGS22" s="4"/>
      <c r="BGT22" s="4"/>
      <c r="BGU22" s="4"/>
      <c r="BGV22" s="4"/>
      <c r="BGW22" s="4"/>
      <c r="BGX22" s="4"/>
      <c r="BGY22" s="4"/>
      <c r="BGZ22" s="4"/>
      <c r="BHA22" s="4"/>
      <c r="BHB22" s="4"/>
      <c r="BHC22" s="4"/>
      <c r="BHD22" s="4"/>
      <c r="BHE22" s="4"/>
      <c r="BHF22" s="4"/>
      <c r="BHG22" s="4"/>
      <c r="BHH22" s="4"/>
      <c r="BHI22" s="4"/>
      <c r="BHJ22" s="4"/>
      <c r="BHK22" s="4"/>
      <c r="BHL22" s="4"/>
      <c r="BHM22" s="4"/>
      <c r="BHN22" s="4"/>
      <c r="BHO22" s="4"/>
      <c r="BHP22" s="4"/>
      <c r="BHQ22" s="4"/>
      <c r="BHR22" s="4"/>
      <c r="BHS22" s="4"/>
      <c r="BHT22" s="4"/>
      <c r="BHU22" s="4"/>
      <c r="BHV22" s="4"/>
      <c r="BHW22" s="4"/>
      <c r="BHX22" s="4"/>
      <c r="BHY22" s="4"/>
      <c r="BHZ22" s="4"/>
      <c r="BIA22" s="4"/>
      <c r="BIB22" s="4"/>
      <c r="BIC22" s="4"/>
      <c r="BID22" s="4"/>
      <c r="BIE22" s="4"/>
      <c r="BIF22" s="4"/>
      <c r="BIG22" s="4"/>
      <c r="BIH22" s="4"/>
      <c r="BII22" s="4"/>
      <c r="BIJ22" s="4"/>
      <c r="BIK22" s="4"/>
      <c r="BIL22" s="4"/>
      <c r="BIM22" s="4"/>
      <c r="BIN22" s="4"/>
      <c r="BIO22" s="4"/>
      <c r="BIP22" s="4"/>
      <c r="BIQ22" s="4"/>
      <c r="BIR22" s="4"/>
      <c r="BIS22" s="4"/>
      <c r="BIT22" s="4"/>
      <c r="BIU22" s="4"/>
      <c r="BIV22" s="4"/>
      <c r="BIW22" s="4"/>
      <c r="BIX22" s="4"/>
      <c r="BIY22" s="4"/>
      <c r="BIZ22" s="4"/>
      <c r="BJA22" s="4"/>
      <c r="BJB22" s="4"/>
      <c r="BJC22" s="4"/>
      <c r="BJD22" s="4"/>
      <c r="BJE22" s="4"/>
      <c r="BJF22" s="4"/>
      <c r="BJG22" s="4"/>
      <c r="BJH22" s="4"/>
      <c r="BJI22" s="4"/>
      <c r="BJJ22" s="4"/>
      <c r="BJK22" s="4"/>
      <c r="BJL22" s="4"/>
      <c r="BJM22" s="4"/>
      <c r="BJN22" s="4"/>
      <c r="BJO22" s="4"/>
      <c r="BJP22" s="4"/>
      <c r="BJQ22" s="4"/>
      <c r="BJR22" s="4"/>
      <c r="BJS22" s="4"/>
      <c r="BJT22" s="4"/>
      <c r="BJU22" s="4"/>
      <c r="BJV22" s="4"/>
      <c r="BJW22" s="4"/>
      <c r="BJX22" s="4"/>
      <c r="BJY22" s="4"/>
      <c r="BJZ22" s="4"/>
      <c r="BKA22" s="4"/>
      <c r="BKB22" s="4"/>
      <c r="BKC22" s="4"/>
      <c r="BKD22" s="4"/>
      <c r="BKE22" s="4"/>
      <c r="BKF22" s="4"/>
      <c r="BKG22" s="4"/>
      <c r="BKH22" s="4"/>
      <c r="BKI22" s="4"/>
      <c r="BKJ22" s="4"/>
      <c r="BKK22" s="4"/>
      <c r="BKL22" s="4"/>
      <c r="BKM22" s="4"/>
      <c r="BKN22" s="4"/>
      <c r="BKO22" s="4"/>
      <c r="BKP22" s="4"/>
      <c r="BKQ22" s="4"/>
      <c r="BKR22" s="4"/>
      <c r="BKS22" s="4"/>
      <c r="BKT22" s="4"/>
      <c r="BKU22" s="4"/>
      <c r="BKV22" s="4"/>
      <c r="BKW22" s="4"/>
      <c r="BKX22" s="4"/>
      <c r="BKY22" s="4"/>
      <c r="BKZ22" s="4"/>
      <c r="BLA22" s="4"/>
      <c r="BLB22" s="4"/>
      <c r="BLC22" s="4"/>
      <c r="BLD22" s="4"/>
      <c r="BLE22" s="4"/>
      <c r="BLF22" s="4"/>
      <c r="BLG22" s="4"/>
      <c r="BLH22" s="4"/>
      <c r="BLI22" s="4"/>
      <c r="BLJ22" s="4"/>
      <c r="BLK22" s="4"/>
      <c r="BLL22" s="4"/>
      <c r="BLM22" s="4"/>
      <c r="BLN22" s="4"/>
      <c r="BLO22" s="4"/>
      <c r="BLP22" s="4"/>
      <c r="BLQ22" s="4"/>
      <c r="BLR22" s="4"/>
      <c r="BLS22" s="4"/>
      <c r="BLT22" s="4"/>
      <c r="BLU22" s="4"/>
      <c r="BLV22" s="4"/>
      <c r="BLW22" s="4"/>
      <c r="BLX22" s="4"/>
      <c r="BLY22" s="4"/>
      <c r="BLZ22" s="4"/>
      <c r="BMA22" s="4"/>
      <c r="BMB22" s="4"/>
      <c r="BMC22" s="4"/>
      <c r="BMD22" s="4"/>
      <c r="BME22" s="4"/>
      <c r="BMF22" s="4"/>
      <c r="BMG22" s="4"/>
      <c r="BMH22" s="4"/>
      <c r="BMI22" s="4"/>
      <c r="BMJ22" s="4"/>
      <c r="BMK22" s="4"/>
      <c r="BML22" s="4"/>
      <c r="BMM22" s="4"/>
      <c r="BMN22" s="4"/>
      <c r="BMO22" s="4"/>
      <c r="BMP22" s="4"/>
      <c r="BMQ22" s="4"/>
      <c r="BMR22" s="4"/>
      <c r="BMS22" s="4"/>
      <c r="BMT22" s="4"/>
      <c r="BMU22" s="4"/>
      <c r="BMV22" s="4"/>
      <c r="BMW22" s="4"/>
      <c r="BMX22" s="4"/>
      <c r="BMY22" s="4"/>
      <c r="BMZ22" s="4"/>
      <c r="BNA22" s="4"/>
      <c r="BNB22" s="4"/>
      <c r="BNC22" s="4"/>
      <c r="BND22" s="4"/>
      <c r="BNE22" s="4"/>
      <c r="BNF22" s="4"/>
      <c r="BNG22" s="4"/>
      <c r="BNH22" s="4"/>
      <c r="BNI22" s="4"/>
      <c r="BNJ22" s="4"/>
      <c r="BNK22" s="4"/>
      <c r="BNL22" s="4"/>
      <c r="BNM22" s="4"/>
      <c r="BNN22" s="4"/>
      <c r="BNO22" s="4"/>
      <c r="BNP22" s="4"/>
      <c r="BNQ22" s="4"/>
      <c r="BNR22" s="4"/>
      <c r="BNS22" s="4"/>
      <c r="BNT22" s="4"/>
      <c r="BNU22" s="4"/>
      <c r="BNV22" s="4"/>
      <c r="BNW22" s="4"/>
      <c r="BNX22" s="4"/>
      <c r="BNY22" s="4"/>
      <c r="BNZ22" s="4"/>
      <c r="BOA22" s="4"/>
      <c r="BOB22" s="4"/>
      <c r="BOC22" s="4"/>
      <c r="BOD22" s="4"/>
      <c r="BOE22" s="4"/>
      <c r="BOF22" s="4"/>
      <c r="BOG22" s="4"/>
      <c r="BOH22" s="4"/>
      <c r="BOI22" s="4"/>
      <c r="BOJ22" s="4"/>
      <c r="BOK22" s="4"/>
      <c r="BOL22" s="4"/>
      <c r="BOM22" s="4"/>
      <c r="BON22" s="4"/>
      <c r="BOO22" s="4"/>
      <c r="BOP22" s="4"/>
      <c r="BOQ22" s="4"/>
      <c r="BOR22" s="4"/>
      <c r="BOS22" s="4"/>
      <c r="BOT22" s="4"/>
      <c r="BOU22" s="4"/>
      <c r="BOV22" s="4"/>
      <c r="BOW22" s="4"/>
      <c r="BOX22" s="4"/>
      <c r="BOY22" s="4"/>
      <c r="BOZ22" s="4"/>
      <c r="BPA22" s="60"/>
    </row>
    <row r="23" s="5" customFormat="1" ht="60" customHeight="1" spans="1:1024 1025:1769">
      <c r="A23" s="47" t="s">
        <v>80</v>
      </c>
      <c r="B23" s="48" t="s">
        <v>1285</v>
      </c>
      <c r="C23" s="48" t="s">
        <v>1286</v>
      </c>
      <c r="D23" s="49" t="s">
        <v>1287</v>
      </c>
      <c r="E23" s="56"/>
      <c r="F23" s="51">
        <v>46175</v>
      </c>
      <c r="G23" s="65" t="s">
        <v>8</v>
      </c>
      <c r="H23" s="56" t="s">
        <v>1288</v>
      </c>
      <c r="I23" s="5" t="s">
        <v>1289</v>
      </c>
      <c r="J23" s="5" t="s">
        <v>1254</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c r="AMJ23" s="4"/>
      <c r="AMK23" s="4"/>
      <c r="AML23" s="4"/>
      <c r="AMM23" s="4"/>
      <c r="AMN23" s="4"/>
      <c r="AMO23" s="4"/>
      <c r="AMP23" s="4"/>
      <c r="AMQ23" s="4"/>
      <c r="AMR23" s="4"/>
      <c r="AMS23" s="4"/>
      <c r="AMT23" s="4"/>
      <c r="AMU23" s="4"/>
      <c r="AMV23" s="4"/>
      <c r="AMW23" s="4"/>
      <c r="AMX23" s="4"/>
      <c r="AMY23" s="4"/>
      <c r="AMZ23" s="4"/>
      <c r="ANA23" s="4"/>
      <c r="ANB23" s="4"/>
      <c r="ANC23" s="4"/>
      <c r="AND23" s="4"/>
      <c r="ANE23" s="4"/>
      <c r="ANF23" s="4"/>
      <c r="ANG23" s="4"/>
      <c r="ANH23" s="4"/>
      <c r="ANI23" s="4"/>
      <c r="ANJ23" s="4"/>
      <c r="ANK23" s="4"/>
      <c r="ANL23" s="4"/>
      <c r="ANM23" s="4"/>
      <c r="ANN23" s="4"/>
      <c r="ANO23" s="4"/>
      <c r="ANP23" s="4"/>
      <c r="ANQ23" s="4"/>
      <c r="ANR23" s="4"/>
      <c r="ANS23" s="4"/>
      <c r="ANT23" s="4"/>
      <c r="ANU23" s="4"/>
      <c r="ANV23" s="4"/>
      <c r="ANW23" s="4"/>
      <c r="ANX23" s="4"/>
      <c r="ANY23" s="4"/>
      <c r="ANZ23" s="4"/>
      <c r="AOA23" s="4"/>
      <c r="AOB23" s="4"/>
      <c r="AOC23" s="4"/>
      <c r="AOD23" s="4"/>
      <c r="AOE23" s="4"/>
      <c r="AOF23" s="4"/>
      <c r="AOG23" s="4"/>
      <c r="AOH23" s="4"/>
      <c r="AOI23" s="4"/>
      <c r="AOJ23" s="4"/>
      <c r="AOK23" s="4"/>
      <c r="AOL23" s="4"/>
      <c r="AOM23" s="4"/>
      <c r="AON23" s="4"/>
      <c r="AOO23" s="4"/>
      <c r="AOP23" s="4"/>
      <c r="AOQ23" s="4"/>
      <c r="AOR23" s="4"/>
      <c r="AOS23" s="4"/>
      <c r="AOT23" s="4"/>
      <c r="AOU23" s="4"/>
      <c r="AOV23" s="4"/>
      <c r="AOW23" s="4"/>
      <c r="AOX23" s="4"/>
      <c r="AOY23" s="4"/>
      <c r="AOZ23" s="4"/>
      <c r="APA23" s="4"/>
      <c r="APB23" s="4"/>
      <c r="APC23" s="4"/>
      <c r="APD23" s="4"/>
      <c r="APE23" s="4"/>
      <c r="APF23" s="4"/>
      <c r="APG23" s="4"/>
      <c r="APH23" s="4"/>
      <c r="API23" s="4"/>
      <c r="APJ23" s="4"/>
      <c r="APK23" s="4"/>
      <c r="APL23" s="4"/>
      <c r="APM23" s="4"/>
      <c r="APN23" s="4"/>
      <c r="APO23" s="4"/>
      <c r="APP23" s="4"/>
      <c r="APQ23" s="4"/>
      <c r="APR23" s="4"/>
      <c r="APS23" s="4"/>
      <c r="APT23" s="4"/>
      <c r="APU23" s="4"/>
      <c r="APV23" s="4"/>
      <c r="APW23" s="4"/>
      <c r="APX23" s="4"/>
      <c r="APY23" s="4"/>
      <c r="APZ23" s="4"/>
      <c r="AQA23" s="4"/>
      <c r="AQB23" s="4"/>
      <c r="AQC23" s="4"/>
      <c r="AQD23" s="4"/>
      <c r="AQE23" s="4"/>
      <c r="AQF23" s="4"/>
      <c r="AQG23" s="4"/>
      <c r="AQH23" s="4"/>
      <c r="AQI23" s="4"/>
      <c r="AQJ23" s="4"/>
      <c r="AQK23" s="4"/>
      <c r="AQL23" s="4"/>
      <c r="AQM23" s="4"/>
      <c r="AQN23" s="4"/>
      <c r="AQO23" s="4"/>
      <c r="AQP23" s="4"/>
      <c r="AQQ23" s="4"/>
      <c r="AQR23" s="4"/>
      <c r="AQS23" s="4"/>
      <c r="AQT23" s="4"/>
      <c r="AQU23" s="4"/>
      <c r="AQV23" s="4"/>
      <c r="AQW23" s="4"/>
      <c r="AQX23" s="4"/>
      <c r="AQY23" s="4"/>
      <c r="AQZ23" s="4"/>
      <c r="ARA23" s="4"/>
      <c r="ARB23" s="4"/>
      <c r="ARC23" s="4"/>
      <c r="ARD23" s="4"/>
      <c r="ARE23" s="4"/>
      <c r="ARF23" s="4"/>
      <c r="ARG23" s="4"/>
      <c r="ARH23" s="4"/>
      <c r="ARI23" s="4"/>
      <c r="ARJ23" s="4"/>
      <c r="ARK23" s="4"/>
      <c r="ARL23" s="4"/>
      <c r="ARM23" s="4"/>
      <c r="ARN23" s="4"/>
      <c r="ARO23" s="4"/>
      <c r="ARP23" s="4"/>
      <c r="ARQ23" s="4"/>
      <c r="ARR23" s="4"/>
      <c r="ARS23" s="4"/>
      <c r="ART23" s="4"/>
      <c r="ARU23" s="4"/>
      <c r="ARV23" s="4"/>
      <c r="ARW23" s="4"/>
      <c r="ARX23" s="4"/>
      <c r="ARY23" s="4"/>
      <c r="ARZ23" s="4"/>
      <c r="ASA23" s="4"/>
      <c r="ASB23" s="4"/>
      <c r="ASC23" s="4"/>
      <c r="ASD23" s="4"/>
      <c r="ASE23" s="4"/>
      <c r="ASF23" s="4"/>
      <c r="ASG23" s="4"/>
      <c r="ASH23" s="4"/>
      <c r="ASI23" s="4"/>
      <c r="ASJ23" s="4"/>
      <c r="ASK23" s="4"/>
      <c r="ASL23" s="4"/>
      <c r="ASM23" s="4"/>
      <c r="ASN23" s="4"/>
      <c r="ASO23" s="4"/>
      <c r="ASP23" s="4"/>
      <c r="ASQ23" s="4"/>
      <c r="ASR23" s="4"/>
      <c r="ASS23" s="4"/>
      <c r="AST23" s="4"/>
      <c r="ASU23" s="4"/>
      <c r="ASV23" s="4"/>
      <c r="ASW23" s="4"/>
      <c r="ASX23" s="4"/>
      <c r="ASY23" s="4"/>
      <c r="ASZ23" s="4"/>
      <c r="ATA23" s="4"/>
      <c r="ATB23" s="4"/>
      <c r="ATC23" s="4"/>
      <c r="ATD23" s="4"/>
      <c r="ATE23" s="4"/>
      <c r="ATF23" s="4"/>
      <c r="ATG23" s="4"/>
      <c r="ATH23" s="4"/>
      <c r="ATI23" s="4"/>
      <c r="ATJ23" s="4"/>
      <c r="ATK23" s="4"/>
      <c r="ATL23" s="4"/>
      <c r="ATM23" s="4"/>
      <c r="ATN23" s="4"/>
      <c r="ATO23" s="4"/>
      <c r="ATP23" s="4"/>
      <c r="ATQ23" s="4"/>
      <c r="ATR23" s="4"/>
      <c r="ATS23" s="4"/>
      <c r="ATT23" s="4"/>
      <c r="ATU23" s="4"/>
      <c r="ATV23" s="4"/>
      <c r="ATW23" s="4"/>
      <c r="ATX23" s="4"/>
      <c r="ATY23" s="4"/>
      <c r="ATZ23" s="4"/>
      <c r="AUA23" s="4"/>
      <c r="AUB23" s="4"/>
      <c r="AUC23" s="4"/>
      <c r="AUD23" s="4"/>
      <c r="AUE23" s="4"/>
      <c r="AUF23" s="4"/>
      <c r="AUG23" s="4"/>
      <c r="AUH23" s="4"/>
      <c r="AUI23" s="4"/>
      <c r="AUJ23" s="4"/>
      <c r="AUK23" s="4"/>
      <c r="AUL23" s="4"/>
      <c r="AUM23" s="4"/>
      <c r="AUN23" s="4"/>
      <c r="AUO23" s="4"/>
      <c r="AUP23" s="4"/>
      <c r="AUQ23" s="4"/>
      <c r="AUR23" s="4"/>
      <c r="AUS23" s="4"/>
      <c r="AUT23" s="4"/>
      <c r="AUU23" s="4"/>
      <c r="AUV23" s="4"/>
      <c r="AUW23" s="4"/>
      <c r="AUX23" s="4"/>
      <c r="AUY23" s="4"/>
      <c r="AUZ23" s="4"/>
      <c r="AVA23" s="4"/>
      <c r="AVB23" s="4"/>
      <c r="AVC23" s="4"/>
      <c r="AVD23" s="4"/>
      <c r="AVE23" s="4"/>
      <c r="AVF23" s="4"/>
      <c r="AVG23" s="4"/>
      <c r="AVH23" s="4"/>
      <c r="AVI23" s="4"/>
      <c r="AVJ23" s="4"/>
      <c r="AVK23" s="4"/>
      <c r="AVL23" s="4"/>
      <c r="AVM23" s="4"/>
      <c r="AVN23" s="4"/>
      <c r="AVO23" s="4"/>
      <c r="AVP23" s="4"/>
      <c r="AVQ23" s="4"/>
      <c r="AVR23" s="4"/>
      <c r="AVS23" s="4"/>
      <c r="AVT23" s="4"/>
      <c r="AVU23" s="4"/>
      <c r="AVV23" s="4"/>
      <c r="AVW23" s="4"/>
      <c r="AVX23" s="4"/>
      <c r="AVY23" s="4"/>
      <c r="AVZ23" s="4"/>
      <c r="AWA23" s="4"/>
      <c r="AWB23" s="4"/>
      <c r="AWC23" s="4"/>
      <c r="AWD23" s="4"/>
      <c r="AWE23" s="4"/>
      <c r="AWF23" s="4"/>
      <c r="AWG23" s="4"/>
      <c r="AWH23" s="4"/>
      <c r="AWI23" s="4"/>
      <c r="AWJ23" s="4"/>
      <c r="AWK23" s="4"/>
      <c r="AWL23" s="4"/>
      <c r="AWM23" s="4"/>
      <c r="AWN23" s="4"/>
      <c r="AWO23" s="4"/>
      <c r="AWP23" s="4"/>
      <c r="AWQ23" s="4"/>
      <c r="AWR23" s="4"/>
      <c r="AWS23" s="4"/>
      <c r="AWT23" s="4"/>
      <c r="AWU23" s="4"/>
      <c r="AWV23" s="4"/>
      <c r="AWW23" s="4"/>
      <c r="AWX23" s="4"/>
      <c r="AWY23" s="4"/>
      <c r="AWZ23" s="4"/>
      <c r="AXA23" s="4"/>
      <c r="AXB23" s="4"/>
      <c r="AXC23" s="4"/>
      <c r="AXD23" s="4"/>
      <c r="AXE23" s="4"/>
      <c r="AXF23" s="4"/>
      <c r="AXG23" s="4"/>
      <c r="AXH23" s="4"/>
      <c r="AXI23" s="4"/>
      <c r="AXJ23" s="4"/>
      <c r="AXK23" s="4"/>
      <c r="AXL23" s="4"/>
      <c r="AXM23" s="4"/>
      <c r="AXN23" s="4"/>
      <c r="AXO23" s="4"/>
      <c r="AXP23" s="4"/>
      <c r="AXQ23" s="4"/>
      <c r="AXR23" s="4"/>
      <c r="AXS23" s="4"/>
      <c r="AXT23" s="4"/>
      <c r="AXU23" s="4"/>
      <c r="AXV23" s="4"/>
      <c r="AXW23" s="4"/>
      <c r="AXX23" s="4"/>
      <c r="AXY23" s="4"/>
      <c r="AXZ23" s="4"/>
      <c r="AYA23" s="4"/>
      <c r="AYB23" s="4"/>
      <c r="AYC23" s="4"/>
      <c r="AYD23" s="4"/>
      <c r="AYE23" s="4"/>
      <c r="AYF23" s="4"/>
      <c r="AYG23" s="4"/>
      <c r="AYH23" s="4"/>
      <c r="AYI23" s="4"/>
      <c r="AYJ23" s="4"/>
      <c r="AYK23" s="4"/>
      <c r="AYL23" s="4"/>
      <c r="AYM23" s="4"/>
      <c r="AYN23" s="4"/>
      <c r="AYO23" s="4"/>
      <c r="AYP23" s="4"/>
      <c r="AYQ23" s="4"/>
      <c r="AYR23" s="4"/>
      <c r="AYS23" s="4"/>
      <c r="AYT23" s="4"/>
      <c r="AYU23" s="4"/>
      <c r="AYV23" s="4"/>
      <c r="AYW23" s="4"/>
      <c r="AYX23" s="4"/>
      <c r="AYY23" s="4"/>
      <c r="AYZ23" s="4"/>
      <c r="AZA23" s="4"/>
      <c r="AZB23" s="4"/>
      <c r="AZC23" s="4"/>
      <c r="AZD23" s="4"/>
      <c r="AZE23" s="4"/>
      <c r="AZF23" s="4"/>
      <c r="AZG23" s="4"/>
      <c r="AZH23" s="4"/>
      <c r="AZI23" s="4"/>
      <c r="AZJ23" s="4"/>
      <c r="AZK23" s="4"/>
      <c r="AZL23" s="4"/>
      <c r="AZM23" s="4"/>
      <c r="AZN23" s="4"/>
      <c r="AZO23" s="4"/>
      <c r="AZP23" s="4"/>
      <c r="AZQ23" s="4"/>
      <c r="AZR23" s="4"/>
      <c r="AZS23" s="4"/>
      <c r="AZT23" s="4"/>
      <c r="AZU23" s="4"/>
      <c r="AZV23" s="4"/>
      <c r="AZW23" s="4"/>
      <c r="AZX23" s="4"/>
      <c r="AZY23" s="4"/>
      <c r="AZZ23" s="4"/>
      <c r="BAA23" s="4"/>
      <c r="BAB23" s="4"/>
      <c r="BAC23" s="4"/>
      <c r="BAD23" s="4"/>
      <c r="BAE23" s="4"/>
      <c r="BAF23" s="4"/>
      <c r="BAG23" s="4"/>
      <c r="BAH23" s="4"/>
      <c r="BAI23" s="4"/>
      <c r="BAJ23" s="4"/>
      <c r="BAK23" s="4"/>
      <c r="BAL23" s="4"/>
      <c r="BAM23" s="4"/>
      <c r="BAN23" s="4"/>
      <c r="BAO23" s="4"/>
      <c r="BAP23" s="4"/>
      <c r="BAQ23" s="4"/>
      <c r="BAR23" s="4"/>
      <c r="BAS23" s="4"/>
      <c r="BAT23" s="4"/>
      <c r="BAU23" s="4"/>
      <c r="BAV23" s="4"/>
      <c r="BAW23" s="4"/>
      <c r="BAX23" s="4"/>
      <c r="BAY23" s="4"/>
      <c r="BAZ23" s="4"/>
      <c r="BBA23" s="4"/>
      <c r="BBB23" s="4"/>
      <c r="BBC23" s="4"/>
      <c r="BBD23" s="4"/>
      <c r="BBE23" s="4"/>
      <c r="BBF23" s="4"/>
      <c r="BBG23" s="4"/>
      <c r="BBH23" s="4"/>
      <c r="BBI23" s="4"/>
      <c r="BBJ23" s="4"/>
      <c r="BBK23" s="4"/>
      <c r="BBL23" s="4"/>
      <c r="BBM23" s="4"/>
      <c r="BBN23" s="4"/>
      <c r="BBO23" s="4"/>
      <c r="BBP23" s="4"/>
      <c r="BBQ23" s="4"/>
      <c r="BBR23" s="4"/>
      <c r="BBS23" s="4"/>
      <c r="BBT23" s="4"/>
      <c r="BBU23" s="4"/>
      <c r="BBV23" s="4"/>
      <c r="BBW23" s="4"/>
      <c r="BBX23" s="4"/>
      <c r="BBY23" s="4"/>
      <c r="BBZ23" s="4"/>
      <c r="BCA23" s="4"/>
      <c r="BCB23" s="4"/>
      <c r="BCC23" s="4"/>
      <c r="BCD23" s="4"/>
      <c r="BCE23" s="4"/>
      <c r="BCF23" s="4"/>
      <c r="BCG23" s="4"/>
      <c r="BCH23" s="4"/>
      <c r="BCI23" s="4"/>
      <c r="BCJ23" s="4"/>
      <c r="BCK23" s="4"/>
      <c r="BCL23" s="4"/>
      <c r="BCM23" s="4"/>
      <c r="BCN23" s="4"/>
      <c r="BCO23" s="4"/>
      <c r="BCP23" s="4"/>
      <c r="BCQ23" s="4"/>
      <c r="BCR23" s="4"/>
      <c r="BCS23" s="4"/>
      <c r="BCT23" s="4"/>
      <c r="BCU23" s="4"/>
      <c r="BCV23" s="4"/>
      <c r="BCW23" s="4"/>
      <c r="BCX23" s="4"/>
      <c r="BCY23" s="4"/>
      <c r="BCZ23" s="4"/>
      <c r="BDA23" s="4"/>
      <c r="BDB23" s="4"/>
      <c r="BDC23" s="4"/>
      <c r="BDD23" s="4"/>
      <c r="BDE23" s="4"/>
      <c r="BDF23" s="4"/>
      <c r="BDG23" s="4"/>
      <c r="BDH23" s="4"/>
      <c r="BDI23" s="4"/>
      <c r="BDJ23" s="4"/>
      <c r="BDK23" s="4"/>
      <c r="BDL23" s="4"/>
      <c r="BDM23" s="4"/>
      <c r="BDN23" s="4"/>
      <c r="BDO23" s="4"/>
      <c r="BDP23" s="4"/>
      <c r="BDQ23" s="4"/>
      <c r="BDR23" s="4"/>
      <c r="BDS23" s="4"/>
      <c r="BDT23" s="4"/>
      <c r="BDU23" s="4"/>
      <c r="BDV23" s="4"/>
      <c r="BDW23" s="4"/>
      <c r="BDX23" s="4"/>
      <c r="BDY23" s="4"/>
      <c r="BDZ23" s="4"/>
      <c r="BEA23" s="4"/>
      <c r="BEB23" s="4"/>
      <c r="BEC23" s="4"/>
      <c r="BED23" s="4"/>
      <c r="BEE23" s="4"/>
      <c r="BEF23" s="4"/>
      <c r="BEG23" s="4"/>
      <c r="BEH23" s="4"/>
      <c r="BEI23" s="4"/>
      <c r="BEJ23" s="4"/>
      <c r="BEK23" s="4"/>
      <c r="BEL23" s="4"/>
      <c r="BEM23" s="4"/>
      <c r="BEN23" s="4"/>
      <c r="BEO23" s="4"/>
      <c r="BEP23" s="4"/>
      <c r="BEQ23" s="4"/>
      <c r="BER23" s="4"/>
      <c r="BES23" s="4"/>
      <c r="BET23" s="4"/>
      <c r="BEU23" s="4"/>
      <c r="BEV23" s="4"/>
      <c r="BEW23" s="4"/>
      <c r="BEX23" s="4"/>
      <c r="BEY23" s="4"/>
      <c r="BEZ23" s="4"/>
      <c r="BFA23" s="4"/>
      <c r="BFB23" s="4"/>
      <c r="BFC23" s="4"/>
      <c r="BFD23" s="4"/>
      <c r="BFE23" s="4"/>
      <c r="BFF23" s="4"/>
      <c r="BFG23" s="4"/>
      <c r="BFH23" s="4"/>
      <c r="BFI23" s="4"/>
      <c r="BFJ23" s="4"/>
      <c r="BFK23" s="4"/>
      <c r="BFL23" s="4"/>
      <c r="BFM23" s="4"/>
      <c r="BFN23" s="4"/>
      <c r="BFO23" s="4"/>
      <c r="BFP23" s="4"/>
      <c r="BFQ23" s="4"/>
      <c r="BFR23" s="4"/>
      <c r="BFS23" s="4"/>
      <c r="BFT23" s="4"/>
      <c r="BFU23" s="4"/>
      <c r="BFV23" s="4"/>
      <c r="BFW23" s="4"/>
      <c r="BFX23" s="4"/>
      <c r="BFY23" s="4"/>
      <c r="BFZ23" s="4"/>
      <c r="BGA23" s="4"/>
      <c r="BGB23" s="4"/>
      <c r="BGC23" s="4"/>
      <c r="BGD23" s="4"/>
      <c r="BGE23" s="4"/>
      <c r="BGF23" s="4"/>
      <c r="BGG23" s="4"/>
      <c r="BGH23" s="4"/>
      <c r="BGI23" s="4"/>
      <c r="BGJ23" s="4"/>
      <c r="BGK23" s="4"/>
      <c r="BGL23" s="4"/>
      <c r="BGM23" s="4"/>
      <c r="BGN23" s="4"/>
      <c r="BGO23" s="4"/>
      <c r="BGP23" s="4"/>
      <c r="BGQ23" s="4"/>
      <c r="BGR23" s="4"/>
      <c r="BGS23" s="4"/>
      <c r="BGT23" s="4"/>
      <c r="BGU23" s="4"/>
      <c r="BGV23" s="4"/>
      <c r="BGW23" s="4"/>
      <c r="BGX23" s="4"/>
      <c r="BGY23" s="4"/>
      <c r="BGZ23" s="4"/>
      <c r="BHA23" s="4"/>
      <c r="BHB23" s="4"/>
      <c r="BHC23" s="4"/>
      <c r="BHD23" s="4"/>
      <c r="BHE23" s="4"/>
      <c r="BHF23" s="4"/>
      <c r="BHG23" s="4"/>
      <c r="BHH23" s="4"/>
      <c r="BHI23" s="4"/>
      <c r="BHJ23" s="4"/>
      <c r="BHK23" s="4"/>
      <c r="BHL23" s="4"/>
      <c r="BHM23" s="4"/>
      <c r="BHN23" s="4"/>
      <c r="BHO23" s="4"/>
      <c r="BHP23" s="4"/>
      <c r="BHQ23" s="4"/>
      <c r="BHR23" s="4"/>
      <c r="BHS23" s="4"/>
      <c r="BHT23" s="4"/>
      <c r="BHU23" s="4"/>
      <c r="BHV23" s="4"/>
      <c r="BHW23" s="4"/>
      <c r="BHX23" s="4"/>
      <c r="BHY23" s="4"/>
      <c r="BHZ23" s="4"/>
      <c r="BIA23" s="4"/>
      <c r="BIB23" s="4"/>
      <c r="BIC23" s="4"/>
      <c r="BID23" s="4"/>
      <c r="BIE23" s="4"/>
      <c r="BIF23" s="4"/>
      <c r="BIG23" s="4"/>
      <c r="BIH23" s="4"/>
      <c r="BII23" s="4"/>
      <c r="BIJ23" s="4"/>
      <c r="BIK23" s="4"/>
      <c r="BIL23" s="4"/>
      <c r="BIM23" s="4"/>
      <c r="BIN23" s="4"/>
      <c r="BIO23" s="4"/>
      <c r="BIP23" s="4"/>
      <c r="BIQ23" s="4"/>
      <c r="BIR23" s="4"/>
      <c r="BIS23" s="4"/>
      <c r="BIT23" s="4"/>
      <c r="BIU23" s="4"/>
      <c r="BIV23" s="4"/>
      <c r="BIW23" s="4"/>
      <c r="BIX23" s="4"/>
      <c r="BIY23" s="4"/>
      <c r="BIZ23" s="4"/>
      <c r="BJA23" s="4"/>
      <c r="BJB23" s="4"/>
      <c r="BJC23" s="4"/>
      <c r="BJD23" s="4"/>
      <c r="BJE23" s="4"/>
      <c r="BJF23" s="4"/>
      <c r="BJG23" s="4"/>
      <c r="BJH23" s="4"/>
      <c r="BJI23" s="4"/>
      <c r="BJJ23" s="4"/>
      <c r="BJK23" s="4"/>
      <c r="BJL23" s="4"/>
      <c r="BJM23" s="4"/>
      <c r="BJN23" s="4"/>
      <c r="BJO23" s="4"/>
      <c r="BJP23" s="4"/>
      <c r="BJQ23" s="4"/>
      <c r="BJR23" s="4"/>
      <c r="BJS23" s="4"/>
      <c r="BJT23" s="4"/>
      <c r="BJU23" s="4"/>
      <c r="BJV23" s="4"/>
      <c r="BJW23" s="4"/>
      <c r="BJX23" s="4"/>
      <c r="BJY23" s="4"/>
      <c r="BJZ23" s="4"/>
      <c r="BKA23" s="4"/>
      <c r="BKB23" s="4"/>
      <c r="BKC23" s="4"/>
      <c r="BKD23" s="4"/>
      <c r="BKE23" s="4"/>
      <c r="BKF23" s="4"/>
      <c r="BKG23" s="4"/>
      <c r="BKH23" s="4"/>
      <c r="BKI23" s="4"/>
      <c r="BKJ23" s="4"/>
      <c r="BKK23" s="4"/>
      <c r="BKL23" s="4"/>
      <c r="BKM23" s="4"/>
      <c r="BKN23" s="4"/>
      <c r="BKO23" s="4"/>
      <c r="BKP23" s="4"/>
      <c r="BKQ23" s="4"/>
      <c r="BKR23" s="4"/>
      <c r="BKS23" s="4"/>
      <c r="BKT23" s="4"/>
      <c r="BKU23" s="4"/>
      <c r="BKV23" s="4"/>
      <c r="BKW23" s="4"/>
      <c r="BKX23" s="4"/>
      <c r="BKY23" s="4"/>
      <c r="BKZ23" s="4"/>
      <c r="BLA23" s="4"/>
      <c r="BLB23" s="4"/>
      <c r="BLC23" s="4"/>
      <c r="BLD23" s="4"/>
      <c r="BLE23" s="4"/>
      <c r="BLF23" s="4"/>
      <c r="BLG23" s="4"/>
      <c r="BLH23" s="4"/>
      <c r="BLI23" s="4"/>
      <c r="BLJ23" s="4"/>
      <c r="BLK23" s="4"/>
      <c r="BLL23" s="4"/>
      <c r="BLM23" s="4"/>
      <c r="BLN23" s="4"/>
      <c r="BLO23" s="4"/>
      <c r="BLP23" s="4"/>
      <c r="BLQ23" s="4"/>
      <c r="BLR23" s="4"/>
      <c r="BLS23" s="4"/>
      <c r="BLT23" s="4"/>
      <c r="BLU23" s="4"/>
      <c r="BLV23" s="4"/>
      <c r="BLW23" s="4"/>
      <c r="BLX23" s="4"/>
      <c r="BLY23" s="4"/>
      <c r="BLZ23" s="4"/>
      <c r="BMA23" s="4"/>
      <c r="BMB23" s="4"/>
      <c r="BMC23" s="4"/>
      <c r="BMD23" s="4"/>
      <c r="BME23" s="4"/>
      <c r="BMF23" s="4"/>
      <c r="BMG23" s="4"/>
      <c r="BMH23" s="4"/>
      <c r="BMI23" s="4"/>
      <c r="BMJ23" s="4"/>
      <c r="BMK23" s="4"/>
      <c r="BML23" s="4"/>
      <c r="BMM23" s="4"/>
      <c r="BMN23" s="4"/>
      <c r="BMO23" s="4"/>
      <c r="BMP23" s="4"/>
      <c r="BMQ23" s="4"/>
      <c r="BMR23" s="4"/>
      <c r="BMS23" s="4"/>
      <c r="BMT23" s="4"/>
      <c r="BMU23" s="4"/>
      <c r="BMV23" s="4"/>
      <c r="BMW23" s="4"/>
      <c r="BMX23" s="4"/>
      <c r="BMY23" s="4"/>
      <c r="BMZ23" s="4"/>
      <c r="BNA23" s="4"/>
      <c r="BNB23" s="4"/>
      <c r="BNC23" s="4"/>
      <c r="BND23" s="4"/>
      <c r="BNE23" s="4"/>
      <c r="BNF23" s="4"/>
      <c r="BNG23" s="4"/>
      <c r="BNH23" s="4"/>
      <c r="BNI23" s="4"/>
      <c r="BNJ23" s="4"/>
      <c r="BNK23" s="4"/>
      <c r="BNL23" s="4"/>
      <c r="BNM23" s="4"/>
      <c r="BNN23" s="4"/>
      <c r="BNO23" s="4"/>
      <c r="BNP23" s="4"/>
      <c r="BNQ23" s="4"/>
      <c r="BNR23" s="4"/>
      <c r="BNS23" s="4"/>
      <c r="BNT23" s="4"/>
      <c r="BNU23" s="4"/>
      <c r="BNV23" s="4"/>
      <c r="BNW23" s="4"/>
      <c r="BNX23" s="4"/>
      <c r="BNY23" s="4"/>
      <c r="BNZ23" s="4"/>
      <c r="BOA23" s="4"/>
      <c r="BOB23" s="4"/>
      <c r="BOC23" s="4"/>
      <c r="BOD23" s="4"/>
      <c r="BOE23" s="4"/>
      <c r="BOF23" s="4"/>
      <c r="BOG23" s="4"/>
      <c r="BOH23" s="4"/>
      <c r="BOI23" s="4"/>
      <c r="BOJ23" s="4"/>
      <c r="BOK23" s="4"/>
      <c r="BOL23" s="4"/>
      <c r="BOM23" s="4"/>
      <c r="BON23" s="4"/>
      <c r="BOO23" s="4"/>
      <c r="BOP23" s="4"/>
      <c r="BOQ23" s="4"/>
      <c r="BOR23" s="4"/>
      <c r="BOS23" s="4"/>
      <c r="BOT23" s="4"/>
      <c r="BOU23" s="4"/>
      <c r="BOV23" s="4"/>
      <c r="BOW23" s="4"/>
      <c r="BOX23" s="4"/>
      <c r="BOY23" s="4"/>
      <c r="BOZ23" s="4"/>
      <c r="BPA23" s="60"/>
    </row>
    <row r="24" s="5" customFormat="1" ht="60" customHeight="1" spans="1:1024 1025:1769">
      <c r="A24" s="47" t="s">
        <v>84</v>
      </c>
      <c r="B24" s="48" t="s">
        <v>1290</v>
      </c>
      <c r="C24" s="48" t="s">
        <v>1291</v>
      </c>
      <c r="D24" s="49" t="s">
        <v>1292</v>
      </c>
      <c r="E24" s="56"/>
      <c r="F24" s="51">
        <v>46175</v>
      </c>
      <c r="G24" s="65" t="s">
        <v>8</v>
      </c>
      <c r="H24" s="56" t="s">
        <v>1293</v>
      </c>
      <c r="I24" s="5" t="s">
        <v>1294</v>
      </c>
      <c r="J24" s="5" t="s">
        <v>1254</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c r="WV24" s="4"/>
      <c r="WW24" s="4"/>
      <c r="WX24" s="4"/>
      <c r="WY24" s="4"/>
      <c r="WZ24" s="4"/>
      <c r="XA24" s="4"/>
      <c r="XB24" s="4"/>
      <c r="XC24" s="4"/>
      <c r="XD24" s="4"/>
      <c r="XE24" s="4"/>
      <c r="XF24" s="4"/>
      <c r="XG24" s="4"/>
      <c r="XH24" s="4"/>
      <c r="XI24" s="4"/>
      <c r="XJ24" s="4"/>
      <c r="XK24" s="4"/>
      <c r="XL24" s="4"/>
      <c r="XM24" s="4"/>
      <c r="XN24" s="4"/>
      <c r="XO24" s="4"/>
      <c r="XP24" s="4"/>
      <c r="XQ24" s="4"/>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c r="AFH24" s="4"/>
      <c r="AFI24" s="4"/>
      <c r="AFJ24" s="4"/>
      <c r="AFK24" s="4"/>
      <c r="AFL24" s="4"/>
      <c r="AFM24" s="4"/>
      <c r="AFN24" s="4"/>
      <c r="AFO24" s="4"/>
      <c r="AFP24" s="4"/>
      <c r="AFQ24" s="4"/>
      <c r="AFR24" s="4"/>
      <c r="AFS24" s="4"/>
      <c r="AFT24" s="4"/>
      <c r="AFU24" s="4"/>
      <c r="AFV24" s="4"/>
      <c r="AFW24" s="4"/>
      <c r="AFX24" s="4"/>
      <c r="AFY24" s="4"/>
      <c r="AFZ24" s="4"/>
      <c r="AGA24" s="4"/>
      <c r="AGB24" s="4"/>
      <c r="AGC24" s="4"/>
      <c r="AGD24" s="4"/>
      <c r="AGE24" s="4"/>
      <c r="AGF24" s="4"/>
      <c r="AGG24" s="4"/>
      <c r="AGH24" s="4"/>
      <c r="AGI24" s="4"/>
      <c r="AGJ24" s="4"/>
      <c r="AGK24" s="4"/>
      <c r="AGL24" s="4"/>
      <c r="AGM24" s="4"/>
      <c r="AGN24" s="4"/>
      <c r="AGO24" s="4"/>
      <c r="AGP24" s="4"/>
      <c r="AGQ24" s="4"/>
      <c r="AGR24" s="4"/>
      <c r="AGS24" s="4"/>
      <c r="AGT24" s="4"/>
      <c r="AGU24" s="4"/>
      <c r="AGV24" s="4"/>
      <c r="AGW24" s="4"/>
      <c r="AGX24" s="4"/>
      <c r="AGY24" s="4"/>
      <c r="AGZ24" s="4"/>
      <c r="AHA24" s="4"/>
      <c r="AHB24" s="4"/>
      <c r="AHC24" s="4"/>
      <c r="AHD24" s="4"/>
      <c r="AHE24" s="4"/>
      <c r="AHF24" s="4"/>
      <c r="AHG24" s="4"/>
      <c r="AHH24" s="4"/>
      <c r="AHI24" s="4"/>
      <c r="AHJ24" s="4"/>
      <c r="AHK24" s="4"/>
      <c r="AHL24" s="4"/>
      <c r="AHM24" s="4"/>
      <c r="AHN24" s="4"/>
      <c r="AHO24" s="4"/>
      <c r="AHP24" s="4"/>
      <c r="AHQ24" s="4"/>
      <c r="AHR24" s="4"/>
      <c r="AHS24" s="4"/>
      <c r="AHT24" s="4"/>
      <c r="AHU24" s="4"/>
      <c r="AHV24" s="4"/>
      <c r="AHW24" s="4"/>
      <c r="AHX24" s="4"/>
      <c r="AHY24" s="4"/>
      <c r="AHZ24" s="4"/>
      <c r="AIA24" s="4"/>
      <c r="AIB24" s="4"/>
      <c r="AIC24" s="4"/>
      <c r="AID24" s="4"/>
      <c r="AIE24" s="4"/>
      <c r="AIF24" s="4"/>
      <c r="AIG24" s="4"/>
      <c r="AIH24" s="4"/>
      <c r="AII24" s="4"/>
      <c r="AIJ24" s="4"/>
      <c r="AIK24" s="4"/>
      <c r="AIL24" s="4"/>
      <c r="AIM24" s="4"/>
      <c r="AIN24" s="4"/>
      <c r="AIO24" s="4"/>
      <c r="AIP24" s="4"/>
      <c r="AIQ24" s="4"/>
      <c r="AIR24" s="4"/>
      <c r="AIS24" s="4"/>
      <c r="AIT24" s="4"/>
      <c r="AIU24" s="4"/>
      <c r="AIV24" s="4"/>
      <c r="AIW24" s="4"/>
      <c r="AIX24" s="4"/>
      <c r="AIY24" s="4"/>
      <c r="AIZ24" s="4"/>
      <c r="AJA24" s="4"/>
      <c r="AJB24" s="4"/>
      <c r="AJC24" s="4"/>
      <c r="AJD24" s="4"/>
      <c r="AJE24" s="4"/>
      <c r="AJF24" s="4"/>
      <c r="AJG24" s="4"/>
      <c r="AJH24" s="4"/>
      <c r="AJI24" s="4"/>
      <c r="AJJ24" s="4"/>
      <c r="AJK24" s="4"/>
      <c r="AJL24" s="4"/>
      <c r="AJM24" s="4"/>
      <c r="AJN24" s="4"/>
      <c r="AJO24" s="4"/>
      <c r="AJP24" s="4"/>
      <c r="AJQ24" s="4"/>
      <c r="AJR24" s="4"/>
      <c r="AJS24" s="4"/>
      <c r="AJT24" s="4"/>
      <c r="AJU24" s="4"/>
      <c r="AJV24" s="4"/>
      <c r="AJW24" s="4"/>
      <c r="AJX24" s="4"/>
      <c r="AJY24" s="4"/>
      <c r="AJZ24" s="4"/>
      <c r="AKA24" s="4"/>
      <c r="AKB24" s="4"/>
      <c r="AKC24" s="4"/>
      <c r="AKD24" s="4"/>
      <c r="AKE24" s="4"/>
      <c r="AKF24" s="4"/>
      <c r="AKG24" s="4"/>
      <c r="AKH24" s="4"/>
      <c r="AKI24" s="4"/>
      <c r="AKJ24" s="4"/>
      <c r="AKK24" s="4"/>
      <c r="AKL24" s="4"/>
      <c r="AKM24" s="4"/>
      <c r="AKN24" s="4"/>
      <c r="AKO24" s="4"/>
      <c r="AKP24" s="4"/>
      <c r="AKQ24" s="4"/>
      <c r="AKR24" s="4"/>
      <c r="AKS24" s="4"/>
      <c r="AKT24" s="4"/>
      <c r="AKU24" s="4"/>
      <c r="AKV24" s="4"/>
      <c r="AKW24" s="4"/>
      <c r="AKX24" s="4"/>
      <c r="AKY24" s="4"/>
      <c r="AKZ24" s="4"/>
      <c r="ALA24" s="4"/>
      <c r="ALB24" s="4"/>
      <c r="ALC24" s="4"/>
      <c r="ALD24" s="4"/>
      <c r="ALE24" s="4"/>
      <c r="ALF24" s="4"/>
      <c r="ALG24" s="4"/>
      <c r="ALH24" s="4"/>
      <c r="ALI24" s="4"/>
      <c r="ALJ24" s="4"/>
      <c r="ALK24" s="4"/>
      <c r="ALL24" s="4"/>
      <c r="ALM24" s="4"/>
      <c r="ALN24" s="4"/>
      <c r="ALO24" s="4"/>
      <c r="ALP24" s="4"/>
      <c r="ALQ24" s="4"/>
      <c r="ALR24" s="4"/>
      <c r="ALS24" s="4"/>
      <c r="ALT24" s="4"/>
      <c r="ALU24" s="4"/>
      <c r="ALV24" s="4"/>
      <c r="ALW24" s="4"/>
      <c r="ALX24" s="4"/>
      <c r="ALY24" s="4"/>
      <c r="ALZ24" s="4"/>
      <c r="AMA24" s="4"/>
      <c r="AMB24" s="4"/>
      <c r="AMC24" s="4"/>
      <c r="AMD24" s="4"/>
      <c r="AME24" s="4"/>
      <c r="AMF24" s="4"/>
      <c r="AMG24" s="4"/>
      <c r="AMH24" s="4"/>
      <c r="AMI24" s="4"/>
      <c r="AMJ24" s="4"/>
      <c r="AMK24" s="4"/>
      <c r="AML24" s="4"/>
      <c r="AMM24" s="4"/>
      <c r="AMN24" s="4"/>
      <c r="AMO24" s="4"/>
      <c r="AMP24" s="4"/>
      <c r="AMQ24" s="4"/>
      <c r="AMR24" s="4"/>
      <c r="AMS24" s="4"/>
      <c r="AMT24" s="4"/>
      <c r="AMU24" s="4"/>
      <c r="AMV24" s="4"/>
      <c r="AMW24" s="4"/>
      <c r="AMX24" s="4"/>
      <c r="AMY24" s="4"/>
      <c r="AMZ24" s="4"/>
      <c r="ANA24" s="4"/>
      <c r="ANB24" s="4"/>
      <c r="ANC24" s="4"/>
      <c r="AND24" s="4"/>
      <c r="ANE24" s="4"/>
      <c r="ANF24" s="4"/>
      <c r="ANG24" s="4"/>
      <c r="ANH24" s="4"/>
      <c r="ANI24" s="4"/>
      <c r="ANJ24" s="4"/>
      <c r="ANK24" s="4"/>
      <c r="ANL24" s="4"/>
      <c r="ANM24" s="4"/>
      <c r="ANN24" s="4"/>
      <c r="ANO24" s="4"/>
      <c r="ANP24" s="4"/>
      <c r="ANQ24" s="4"/>
      <c r="ANR24" s="4"/>
      <c r="ANS24" s="4"/>
      <c r="ANT24" s="4"/>
      <c r="ANU24" s="4"/>
      <c r="ANV24" s="4"/>
      <c r="ANW24" s="4"/>
      <c r="ANX24" s="4"/>
      <c r="ANY24" s="4"/>
      <c r="ANZ24" s="4"/>
      <c r="AOA24" s="4"/>
      <c r="AOB24" s="4"/>
      <c r="AOC24" s="4"/>
      <c r="AOD24" s="4"/>
      <c r="AOE24" s="4"/>
      <c r="AOF24" s="4"/>
      <c r="AOG24" s="4"/>
      <c r="AOH24" s="4"/>
      <c r="AOI24" s="4"/>
      <c r="AOJ24" s="4"/>
      <c r="AOK24" s="4"/>
      <c r="AOL24" s="4"/>
      <c r="AOM24" s="4"/>
      <c r="AON24" s="4"/>
      <c r="AOO24" s="4"/>
      <c r="AOP24" s="4"/>
      <c r="AOQ24" s="4"/>
      <c r="AOR24" s="4"/>
      <c r="AOS24" s="4"/>
      <c r="AOT24" s="4"/>
      <c r="AOU24" s="4"/>
      <c r="AOV24" s="4"/>
      <c r="AOW24" s="4"/>
      <c r="AOX24" s="4"/>
      <c r="AOY24" s="4"/>
      <c r="AOZ24" s="4"/>
      <c r="APA24" s="4"/>
      <c r="APB24" s="4"/>
      <c r="APC24" s="4"/>
      <c r="APD24" s="4"/>
      <c r="APE24" s="4"/>
      <c r="APF24" s="4"/>
      <c r="APG24" s="4"/>
      <c r="APH24" s="4"/>
      <c r="API24" s="4"/>
      <c r="APJ24" s="4"/>
      <c r="APK24" s="4"/>
      <c r="APL24" s="4"/>
      <c r="APM24" s="4"/>
      <c r="APN24" s="4"/>
      <c r="APO24" s="4"/>
      <c r="APP24" s="4"/>
      <c r="APQ24" s="4"/>
      <c r="APR24" s="4"/>
      <c r="APS24" s="4"/>
      <c r="APT24" s="4"/>
      <c r="APU24" s="4"/>
      <c r="APV24" s="4"/>
      <c r="APW24" s="4"/>
      <c r="APX24" s="4"/>
      <c r="APY24" s="4"/>
      <c r="APZ24" s="4"/>
      <c r="AQA24" s="4"/>
      <c r="AQB24" s="4"/>
      <c r="AQC24" s="4"/>
      <c r="AQD24" s="4"/>
      <c r="AQE24" s="4"/>
      <c r="AQF24" s="4"/>
      <c r="AQG24" s="4"/>
      <c r="AQH24" s="4"/>
      <c r="AQI24" s="4"/>
      <c r="AQJ24" s="4"/>
      <c r="AQK24" s="4"/>
      <c r="AQL24" s="4"/>
      <c r="AQM24" s="4"/>
      <c r="AQN24" s="4"/>
      <c r="AQO24" s="4"/>
      <c r="AQP24" s="4"/>
      <c r="AQQ24" s="4"/>
      <c r="AQR24" s="4"/>
      <c r="AQS24" s="4"/>
      <c r="AQT24" s="4"/>
      <c r="AQU24" s="4"/>
      <c r="AQV24" s="4"/>
      <c r="AQW24" s="4"/>
      <c r="AQX24" s="4"/>
      <c r="AQY24" s="4"/>
      <c r="AQZ24" s="4"/>
      <c r="ARA24" s="4"/>
      <c r="ARB24" s="4"/>
      <c r="ARC24" s="4"/>
      <c r="ARD24" s="4"/>
      <c r="ARE24" s="4"/>
      <c r="ARF24" s="4"/>
      <c r="ARG24" s="4"/>
      <c r="ARH24" s="4"/>
      <c r="ARI24" s="4"/>
      <c r="ARJ24" s="4"/>
      <c r="ARK24" s="4"/>
      <c r="ARL24" s="4"/>
      <c r="ARM24" s="4"/>
      <c r="ARN24" s="4"/>
      <c r="ARO24" s="4"/>
      <c r="ARP24" s="4"/>
      <c r="ARQ24" s="4"/>
      <c r="ARR24" s="4"/>
      <c r="ARS24" s="4"/>
      <c r="ART24" s="4"/>
      <c r="ARU24" s="4"/>
      <c r="ARV24" s="4"/>
      <c r="ARW24" s="4"/>
      <c r="ARX24" s="4"/>
      <c r="ARY24" s="4"/>
      <c r="ARZ24" s="4"/>
      <c r="ASA24" s="4"/>
      <c r="ASB24" s="4"/>
      <c r="ASC24" s="4"/>
      <c r="ASD24" s="4"/>
      <c r="ASE24" s="4"/>
      <c r="ASF24" s="4"/>
      <c r="ASG24" s="4"/>
      <c r="ASH24" s="4"/>
      <c r="ASI24" s="4"/>
      <c r="ASJ24" s="4"/>
      <c r="ASK24" s="4"/>
      <c r="ASL24" s="4"/>
      <c r="ASM24" s="4"/>
      <c r="ASN24" s="4"/>
      <c r="ASO24" s="4"/>
      <c r="ASP24" s="4"/>
      <c r="ASQ24" s="4"/>
      <c r="ASR24" s="4"/>
      <c r="ASS24" s="4"/>
      <c r="AST24" s="4"/>
      <c r="ASU24" s="4"/>
      <c r="ASV24" s="4"/>
      <c r="ASW24" s="4"/>
      <c r="ASX24" s="4"/>
      <c r="ASY24" s="4"/>
      <c r="ASZ24" s="4"/>
      <c r="ATA24" s="4"/>
      <c r="ATB24" s="4"/>
      <c r="ATC24" s="4"/>
      <c r="ATD24" s="4"/>
      <c r="ATE24" s="4"/>
      <c r="ATF24" s="4"/>
      <c r="ATG24" s="4"/>
      <c r="ATH24" s="4"/>
      <c r="ATI24" s="4"/>
      <c r="ATJ24" s="4"/>
      <c r="ATK24" s="4"/>
      <c r="ATL24" s="4"/>
      <c r="ATM24" s="4"/>
      <c r="ATN24" s="4"/>
      <c r="ATO24" s="4"/>
      <c r="ATP24" s="4"/>
      <c r="ATQ24" s="4"/>
      <c r="ATR24" s="4"/>
      <c r="ATS24" s="4"/>
      <c r="ATT24" s="4"/>
      <c r="ATU24" s="4"/>
      <c r="ATV24" s="4"/>
      <c r="ATW24" s="4"/>
      <c r="ATX24" s="4"/>
      <c r="ATY24" s="4"/>
      <c r="ATZ24" s="4"/>
      <c r="AUA24" s="4"/>
      <c r="AUB24" s="4"/>
      <c r="AUC24" s="4"/>
      <c r="AUD24" s="4"/>
      <c r="AUE24" s="4"/>
      <c r="AUF24" s="4"/>
      <c r="AUG24" s="4"/>
      <c r="AUH24" s="4"/>
      <c r="AUI24" s="4"/>
      <c r="AUJ24" s="4"/>
      <c r="AUK24" s="4"/>
      <c r="AUL24" s="4"/>
      <c r="AUM24" s="4"/>
      <c r="AUN24" s="4"/>
      <c r="AUO24" s="4"/>
      <c r="AUP24" s="4"/>
      <c r="AUQ24" s="4"/>
      <c r="AUR24" s="4"/>
      <c r="AUS24" s="4"/>
      <c r="AUT24" s="4"/>
      <c r="AUU24" s="4"/>
      <c r="AUV24" s="4"/>
      <c r="AUW24" s="4"/>
      <c r="AUX24" s="4"/>
      <c r="AUY24" s="4"/>
      <c r="AUZ24" s="4"/>
      <c r="AVA24" s="4"/>
      <c r="AVB24" s="4"/>
      <c r="AVC24" s="4"/>
      <c r="AVD24" s="4"/>
      <c r="AVE24" s="4"/>
      <c r="AVF24" s="4"/>
      <c r="AVG24" s="4"/>
      <c r="AVH24" s="4"/>
      <c r="AVI24" s="4"/>
      <c r="AVJ24" s="4"/>
      <c r="AVK24" s="4"/>
      <c r="AVL24" s="4"/>
      <c r="AVM24" s="4"/>
      <c r="AVN24" s="4"/>
      <c r="AVO24" s="4"/>
      <c r="AVP24" s="4"/>
      <c r="AVQ24" s="4"/>
      <c r="AVR24" s="4"/>
      <c r="AVS24" s="4"/>
      <c r="AVT24" s="4"/>
      <c r="AVU24" s="4"/>
      <c r="AVV24" s="4"/>
      <c r="AVW24" s="4"/>
      <c r="AVX24" s="4"/>
      <c r="AVY24" s="4"/>
      <c r="AVZ24" s="4"/>
      <c r="AWA24" s="4"/>
      <c r="AWB24" s="4"/>
      <c r="AWC24" s="4"/>
      <c r="AWD24" s="4"/>
      <c r="AWE24" s="4"/>
      <c r="AWF24" s="4"/>
      <c r="AWG24" s="4"/>
      <c r="AWH24" s="4"/>
      <c r="AWI24" s="4"/>
      <c r="AWJ24" s="4"/>
      <c r="AWK24" s="4"/>
      <c r="AWL24" s="4"/>
      <c r="AWM24" s="4"/>
      <c r="AWN24" s="4"/>
      <c r="AWO24" s="4"/>
      <c r="AWP24" s="4"/>
      <c r="AWQ24" s="4"/>
      <c r="AWR24" s="4"/>
      <c r="AWS24" s="4"/>
      <c r="AWT24" s="4"/>
      <c r="AWU24" s="4"/>
      <c r="AWV24" s="4"/>
      <c r="AWW24" s="4"/>
      <c r="AWX24" s="4"/>
      <c r="AWY24" s="4"/>
      <c r="AWZ24" s="4"/>
      <c r="AXA24" s="4"/>
      <c r="AXB24" s="4"/>
      <c r="AXC24" s="4"/>
      <c r="AXD24" s="4"/>
      <c r="AXE24" s="4"/>
      <c r="AXF24" s="4"/>
      <c r="AXG24" s="4"/>
      <c r="AXH24" s="4"/>
      <c r="AXI24" s="4"/>
      <c r="AXJ24" s="4"/>
      <c r="AXK24" s="4"/>
      <c r="AXL24" s="4"/>
      <c r="AXM24" s="4"/>
      <c r="AXN24" s="4"/>
      <c r="AXO24" s="4"/>
      <c r="AXP24" s="4"/>
      <c r="AXQ24" s="4"/>
      <c r="AXR24" s="4"/>
      <c r="AXS24" s="4"/>
      <c r="AXT24" s="4"/>
      <c r="AXU24" s="4"/>
      <c r="AXV24" s="4"/>
      <c r="AXW24" s="4"/>
      <c r="AXX24" s="4"/>
      <c r="AXY24" s="4"/>
      <c r="AXZ24" s="4"/>
      <c r="AYA24" s="4"/>
      <c r="AYB24" s="4"/>
      <c r="AYC24" s="4"/>
      <c r="AYD24" s="4"/>
      <c r="AYE24" s="4"/>
      <c r="AYF24" s="4"/>
      <c r="AYG24" s="4"/>
      <c r="AYH24" s="4"/>
      <c r="AYI24" s="4"/>
      <c r="AYJ24" s="4"/>
      <c r="AYK24" s="4"/>
      <c r="AYL24" s="4"/>
      <c r="AYM24" s="4"/>
      <c r="AYN24" s="4"/>
      <c r="AYO24" s="4"/>
      <c r="AYP24" s="4"/>
      <c r="AYQ24" s="4"/>
      <c r="AYR24" s="4"/>
      <c r="AYS24" s="4"/>
      <c r="AYT24" s="4"/>
      <c r="AYU24" s="4"/>
      <c r="AYV24" s="4"/>
      <c r="AYW24" s="4"/>
      <c r="AYX24" s="4"/>
      <c r="AYY24" s="4"/>
      <c r="AYZ24" s="4"/>
      <c r="AZA24" s="4"/>
      <c r="AZB24" s="4"/>
      <c r="AZC24" s="4"/>
      <c r="AZD24" s="4"/>
      <c r="AZE24" s="4"/>
      <c r="AZF24" s="4"/>
      <c r="AZG24" s="4"/>
      <c r="AZH24" s="4"/>
      <c r="AZI24" s="4"/>
      <c r="AZJ24" s="4"/>
      <c r="AZK24" s="4"/>
      <c r="AZL24" s="4"/>
      <c r="AZM24" s="4"/>
      <c r="AZN24" s="4"/>
      <c r="AZO24" s="4"/>
      <c r="AZP24" s="4"/>
      <c r="AZQ24" s="4"/>
      <c r="AZR24" s="4"/>
      <c r="AZS24" s="4"/>
      <c r="AZT24" s="4"/>
      <c r="AZU24" s="4"/>
      <c r="AZV24" s="4"/>
      <c r="AZW24" s="4"/>
      <c r="AZX24" s="4"/>
      <c r="AZY24" s="4"/>
      <c r="AZZ24" s="4"/>
      <c r="BAA24" s="4"/>
      <c r="BAB24" s="4"/>
      <c r="BAC24" s="4"/>
      <c r="BAD24" s="4"/>
      <c r="BAE24" s="4"/>
      <c r="BAF24" s="4"/>
      <c r="BAG24" s="4"/>
      <c r="BAH24" s="4"/>
      <c r="BAI24" s="4"/>
      <c r="BAJ24" s="4"/>
      <c r="BAK24" s="4"/>
      <c r="BAL24" s="4"/>
      <c r="BAM24" s="4"/>
      <c r="BAN24" s="4"/>
      <c r="BAO24" s="4"/>
      <c r="BAP24" s="4"/>
      <c r="BAQ24" s="4"/>
      <c r="BAR24" s="4"/>
      <c r="BAS24" s="4"/>
      <c r="BAT24" s="4"/>
      <c r="BAU24" s="4"/>
      <c r="BAV24" s="4"/>
      <c r="BAW24" s="4"/>
      <c r="BAX24" s="4"/>
      <c r="BAY24" s="4"/>
      <c r="BAZ24" s="4"/>
      <c r="BBA24" s="4"/>
      <c r="BBB24" s="4"/>
      <c r="BBC24" s="4"/>
      <c r="BBD24" s="4"/>
      <c r="BBE24" s="4"/>
      <c r="BBF24" s="4"/>
      <c r="BBG24" s="4"/>
      <c r="BBH24" s="4"/>
      <c r="BBI24" s="4"/>
      <c r="BBJ24" s="4"/>
      <c r="BBK24" s="4"/>
      <c r="BBL24" s="4"/>
      <c r="BBM24" s="4"/>
      <c r="BBN24" s="4"/>
      <c r="BBO24" s="4"/>
      <c r="BBP24" s="4"/>
      <c r="BBQ24" s="4"/>
      <c r="BBR24" s="4"/>
      <c r="BBS24" s="4"/>
      <c r="BBT24" s="4"/>
      <c r="BBU24" s="4"/>
      <c r="BBV24" s="4"/>
      <c r="BBW24" s="4"/>
      <c r="BBX24" s="4"/>
      <c r="BBY24" s="4"/>
      <c r="BBZ24" s="4"/>
      <c r="BCA24" s="4"/>
      <c r="BCB24" s="4"/>
      <c r="BCC24" s="4"/>
      <c r="BCD24" s="4"/>
      <c r="BCE24" s="4"/>
      <c r="BCF24" s="4"/>
      <c r="BCG24" s="4"/>
      <c r="BCH24" s="4"/>
      <c r="BCI24" s="4"/>
      <c r="BCJ24" s="4"/>
      <c r="BCK24" s="4"/>
      <c r="BCL24" s="4"/>
      <c r="BCM24" s="4"/>
      <c r="BCN24" s="4"/>
      <c r="BCO24" s="4"/>
      <c r="BCP24" s="4"/>
      <c r="BCQ24" s="4"/>
      <c r="BCR24" s="4"/>
      <c r="BCS24" s="4"/>
      <c r="BCT24" s="4"/>
      <c r="BCU24" s="4"/>
      <c r="BCV24" s="4"/>
      <c r="BCW24" s="4"/>
      <c r="BCX24" s="4"/>
      <c r="BCY24" s="4"/>
      <c r="BCZ24" s="4"/>
      <c r="BDA24" s="4"/>
      <c r="BDB24" s="4"/>
      <c r="BDC24" s="4"/>
      <c r="BDD24" s="4"/>
      <c r="BDE24" s="4"/>
      <c r="BDF24" s="4"/>
      <c r="BDG24" s="4"/>
      <c r="BDH24" s="4"/>
      <c r="BDI24" s="4"/>
      <c r="BDJ24" s="4"/>
      <c r="BDK24" s="4"/>
      <c r="BDL24" s="4"/>
      <c r="BDM24" s="4"/>
      <c r="BDN24" s="4"/>
      <c r="BDO24" s="4"/>
      <c r="BDP24" s="4"/>
      <c r="BDQ24" s="4"/>
      <c r="BDR24" s="4"/>
      <c r="BDS24" s="4"/>
      <c r="BDT24" s="4"/>
      <c r="BDU24" s="4"/>
      <c r="BDV24" s="4"/>
      <c r="BDW24" s="4"/>
      <c r="BDX24" s="4"/>
      <c r="BDY24" s="4"/>
      <c r="BDZ24" s="4"/>
      <c r="BEA24" s="4"/>
      <c r="BEB24" s="4"/>
      <c r="BEC24" s="4"/>
      <c r="BED24" s="4"/>
      <c r="BEE24" s="4"/>
      <c r="BEF24" s="4"/>
      <c r="BEG24" s="4"/>
      <c r="BEH24" s="4"/>
      <c r="BEI24" s="4"/>
      <c r="BEJ24" s="4"/>
      <c r="BEK24" s="4"/>
      <c r="BEL24" s="4"/>
      <c r="BEM24" s="4"/>
      <c r="BEN24" s="4"/>
      <c r="BEO24" s="4"/>
      <c r="BEP24" s="4"/>
      <c r="BEQ24" s="4"/>
      <c r="BER24" s="4"/>
      <c r="BES24" s="4"/>
      <c r="BET24" s="4"/>
      <c r="BEU24" s="4"/>
      <c r="BEV24" s="4"/>
      <c r="BEW24" s="4"/>
      <c r="BEX24" s="4"/>
      <c r="BEY24" s="4"/>
      <c r="BEZ24" s="4"/>
      <c r="BFA24" s="4"/>
      <c r="BFB24" s="4"/>
      <c r="BFC24" s="4"/>
      <c r="BFD24" s="4"/>
      <c r="BFE24" s="4"/>
      <c r="BFF24" s="4"/>
      <c r="BFG24" s="4"/>
      <c r="BFH24" s="4"/>
      <c r="BFI24" s="4"/>
      <c r="BFJ24" s="4"/>
      <c r="BFK24" s="4"/>
      <c r="BFL24" s="4"/>
      <c r="BFM24" s="4"/>
      <c r="BFN24" s="4"/>
      <c r="BFO24" s="4"/>
      <c r="BFP24" s="4"/>
      <c r="BFQ24" s="4"/>
      <c r="BFR24" s="4"/>
      <c r="BFS24" s="4"/>
      <c r="BFT24" s="4"/>
      <c r="BFU24" s="4"/>
      <c r="BFV24" s="4"/>
      <c r="BFW24" s="4"/>
      <c r="BFX24" s="4"/>
      <c r="BFY24" s="4"/>
      <c r="BFZ24" s="4"/>
      <c r="BGA24" s="4"/>
      <c r="BGB24" s="4"/>
      <c r="BGC24" s="4"/>
      <c r="BGD24" s="4"/>
      <c r="BGE24" s="4"/>
      <c r="BGF24" s="4"/>
      <c r="BGG24" s="4"/>
      <c r="BGH24" s="4"/>
      <c r="BGI24" s="4"/>
      <c r="BGJ24" s="4"/>
      <c r="BGK24" s="4"/>
      <c r="BGL24" s="4"/>
      <c r="BGM24" s="4"/>
      <c r="BGN24" s="4"/>
      <c r="BGO24" s="4"/>
      <c r="BGP24" s="4"/>
      <c r="BGQ24" s="4"/>
      <c r="BGR24" s="4"/>
      <c r="BGS24" s="4"/>
      <c r="BGT24" s="4"/>
      <c r="BGU24" s="4"/>
      <c r="BGV24" s="4"/>
      <c r="BGW24" s="4"/>
      <c r="BGX24" s="4"/>
      <c r="BGY24" s="4"/>
      <c r="BGZ24" s="4"/>
      <c r="BHA24" s="4"/>
      <c r="BHB24" s="4"/>
      <c r="BHC24" s="4"/>
      <c r="BHD24" s="4"/>
      <c r="BHE24" s="4"/>
      <c r="BHF24" s="4"/>
      <c r="BHG24" s="4"/>
      <c r="BHH24" s="4"/>
      <c r="BHI24" s="4"/>
      <c r="BHJ24" s="4"/>
      <c r="BHK24" s="4"/>
      <c r="BHL24" s="4"/>
      <c r="BHM24" s="4"/>
      <c r="BHN24" s="4"/>
      <c r="BHO24" s="4"/>
      <c r="BHP24" s="4"/>
      <c r="BHQ24" s="4"/>
      <c r="BHR24" s="4"/>
      <c r="BHS24" s="4"/>
      <c r="BHT24" s="4"/>
      <c r="BHU24" s="4"/>
      <c r="BHV24" s="4"/>
      <c r="BHW24" s="4"/>
      <c r="BHX24" s="4"/>
      <c r="BHY24" s="4"/>
      <c r="BHZ24" s="4"/>
      <c r="BIA24" s="4"/>
      <c r="BIB24" s="4"/>
      <c r="BIC24" s="4"/>
      <c r="BID24" s="4"/>
      <c r="BIE24" s="4"/>
      <c r="BIF24" s="4"/>
      <c r="BIG24" s="4"/>
      <c r="BIH24" s="4"/>
      <c r="BII24" s="4"/>
      <c r="BIJ24" s="4"/>
      <c r="BIK24" s="4"/>
      <c r="BIL24" s="4"/>
      <c r="BIM24" s="4"/>
      <c r="BIN24" s="4"/>
      <c r="BIO24" s="4"/>
      <c r="BIP24" s="4"/>
      <c r="BIQ24" s="4"/>
      <c r="BIR24" s="4"/>
      <c r="BIS24" s="4"/>
      <c r="BIT24" s="4"/>
      <c r="BIU24" s="4"/>
      <c r="BIV24" s="4"/>
      <c r="BIW24" s="4"/>
      <c r="BIX24" s="4"/>
      <c r="BIY24" s="4"/>
      <c r="BIZ24" s="4"/>
      <c r="BJA24" s="4"/>
      <c r="BJB24" s="4"/>
      <c r="BJC24" s="4"/>
      <c r="BJD24" s="4"/>
      <c r="BJE24" s="4"/>
      <c r="BJF24" s="4"/>
      <c r="BJG24" s="4"/>
      <c r="BJH24" s="4"/>
      <c r="BJI24" s="4"/>
      <c r="BJJ24" s="4"/>
      <c r="BJK24" s="4"/>
      <c r="BJL24" s="4"/>
      <c r="BJM24" s="4"/>
      <c r="BJN24" s="4"/>
      <c r="BJO24" s="4"/>
      <c r="BJP24" s="4"/>
      <c r="BJQ24" s="4"/>
      <c r="BJR24" s="4"/>
      <c r="BJS24" s="4"/>
      <c r="BJT24" s="4"/>
      <c r="BJU24" s="4"/>
      <c r="BJV24" s="4"/>
      <c r="BJW24" s="4"/>
      <c r="BJX24" s="4"/>
      <c r="BJY24" s="4"/>
      <c r="BJZ24" s="4"/>
      <c r="BKA24" s="4"/>
      <c r="BKB24" s="4"/>
      <c r="BKC24" s="4"/>
      <c r="BKD24" s="4"/>
      <c r="BKE24" s="4"/>
      <c r="BKF24" s="4"/>
      <c r="BKG24" s="4"/>
      <c r="BKH24" s="4"/>
      <c r="BKI24" s="4"/>
      <c r="BKJ24" s="4"/>
      <c r="BKK24" s="4"/>
      <c r="BKL24" s="4"/>
      <c r="BKM24" s="4"/>
      <c r="BKN24" s="4"/>
      <c r="BKO24" s="4"/>
      <c r="BKP24" s="4"/>
      <c r="BKQ24" s="4"/>
      <c r="BKR24" s="4"/>
      <c r="BKS24" s="4"/>
      <c r="BKT24" s="4"/>
      <c r="BKU24" s="4"/>
      <c r="BKV24" s="4"/>
      <c r="BKW24" s="4"/>
      <c r="BKX24" s="4"/>
      <c r="BKY24" s="4"/>
      <c r="BKZ24" s="4"/>
      <c r="BLA24" s="4"/>
      <c r="BLB24" s="4"/>
      <c r="BLC24" s="4"/>
      <c r="BLD24" s="4"/>
      <c r="BLE24" s="4"/>
      <c r="BLF24" s="4"/>
      <c r="BLG24" s="4"/>
      <c r="BLH24" s="4"/>
      <c r="BLI24" s="4"/>
      <c r="BLJ24" s="4"/>
      <c r="BLK24" s="4"/>
      <c r="BLL24" s="4"/>
      <c r="BLM24" s="4"/>
      <c r="BLN24" s="4"/>
      <c r="BLO24" s="4"/>
      <c r="BLP24" s="4"/>
      <c r="BLQ24" s="4"/>
      <c r="BLR24" s="4"/>
      <c r="BLS24" s="4"/>
      <c r="BLT24" s="4"/>
      <c r="BLU24" s="4"/>
      <c r="BLV24" s="4"/>
      <c r="BLW24" s="4"/>
      <c r="BLX24" s="4"/>
      <c r="BLY24" s="4"/>
      <c r="BLZ24" s="4"/>
      <c r="BMA24" s="4"/>
      <c r="BMB24" s="4"/>
      <c r="BMC24" s="4"/>
      <c r="BMD24" s="4"/>
      <c r="BME24" s="4"/>
      <c r="BMF24" s="4"/>
      <c r="BMG24" s="4"/>
      <c r="BMH24" s="4"/>
      <c r="BMI24" s="4"/>
      <c r="BMJ24" s="4"/>
      <c r="BMK24" s="4"/>
      <c r="BML24" s="4"/>
      <c r="BMM24" s="4"/>
      <c r="BMN24" s="4"/>
      <c r="BMO24" s="4"/>
      <c r="BMP24" s="4"/>
      <c r="BMQ24" s="4"/>
      <c r="BMR24" s="4"/>
      <c r="BMS24" s="4"/>
      <c r="BMT24" s="4"/>
      <c r="BMU24" s="4"/>
      <c r="BMV24" s="4"/>
      <c r="BMW24" s="4"/>
      <c r="BMX24" s="4"/>
      <c r="BMY24" s="4"/>
      <c r="BMZ24" s="4"/>
      <c r="BNA24" s="4"/>
      <c r="BNB24" s="4"/>
      <c r="BNC24" s="4"/>
      <c r="BND24" s="4"/>
      <c r="BNE24" s="4"/>
      <c r="BNF24" s="4"/>
      <c r="BNG24" s="4"/>
      <c r="BNH24" s="4"/>
      <c r="BNI24" s="4"/>
      <c r="BNJ24" s="4"/>
      <c r="BNK24" s="4"/>
      <c r="BNL24" s="4"/>
      <c r="BNM24" s="4"/>
      <c r="BNN24" s="4"/>
      <c r="BNO24" s="4"/>
      <c r="BNP24" s="4"/>
      <c r="BNQ24" s="4"/>
      <c r="BNR24" s="4"/>
      <c r="BNS24" s="4"/>
      <c r="BNT24" s="4"/>
      <c r="BNU24" s="4"/>
      <c r="BNV24" s="4"/>
      <c r="BNW24" s="4"/>
      <c r="BNX24" s="4"/>
      <c r="BNY24" s="4"/>
      <c r="BNZ24" s="4"/>
      <c r="BOA24" s="4"/>
      <c r="BOB24" s="4"/>
      <c r="BOC24" s="4"/>
      <c r="BOD24" s="4"/>
      <c r="BOE24" s="4"/>
      <c r="BOF24" s="4"/>
      <c r="BOG24" s="4"/>
      <c r="BOH24" s="4"/>
      <c r="BOI24" s="4"/>
      <c r="BOJ24" s="4"/>
      <c r="BOK24" s="4"/>
      <c r="BOL24" s="4"/>
      <c r="BOM24" s="4"/>
      <c r="BON24" s="4"/>
      <c r="BOO24" s="4"/>
      <c r="BOP24" s="4"/>
      <c r="BOQ24" s="4"/>
      <c r="BOR24" s="4"/>
      <c r="BOS24" s="4"/>
      <c r="BOT24" s="4"/>
      <c r="BOU24" s="4"/>
      <c r="BOV24" s="4"/>
      <c r="BOW24" s="4"/>
      <c r="BOX24" s="4"/>
      <c r="BOY24" s="4"/>
      <c r="BOZ24" s="4"/>
      <c r="BPA24" s="60"/>
    </row>
    <row r="25" s="5" customFormat="1" ht="60" customHeight="1" spans="1:1024 1025:1769">
      <c r="A25" s="47" t="s">
        <v>88</v>
      </c>
      <c r="B25" s="48" t="s">
        <v>1295</v>
      </c>
      <c r="C25" s="48" t="s">
        <v>1296</v>
      </c>
      <c r="D25" s="49" t="s">
        <v>1297</v>
      </c>
      <c r="E25" s="56"/>
      <c r="F25" s="51">
        <v>46175</v>
      </c>
      <c r="G25" s="65" t="s">
        <v>8</v>
      </c>
      <c r="H25" s="56" t="s">
        <v>1298</v>
      </c>
      <c r="I25" s="5" t="s">
        <v>1299</v>
      </c>
      <c r="J25" s="5" t="s">
        <v>1254</v>
      </c>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c r="VE25" s="4"/>
      <c r="VF25" s="4"/>
      <c r="VG25" s="4"/>
      <c r="VH25" s="4"/>
      <c r="VI25" s="4"/>
      <c r="VJ25" s="4"/>
      <c r="VK25" s="4"/>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c r="XC25" s="4"/>
      <c r="XD25" s="4"/>
      <c r="XE25" s="4"/>
      <c r="XF25" s="4"/>
      <c r="XG25" s="4"/>
      <c r="XH25" s="4"/>
      <c r="XI25" s="4"/>
      <c r="XJ25" s="4"/>
      <c r="XK25" s="4"/>
      <c r="XL25" s="4"/>
      <c r="XM25" s="4"/>
      <c r="XN25" s="4"/>
      <c r="XO25" s="4"/>
      <c r="XP25" s="4"/>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c r="AGE25" s="4"/>
      <c r="AGF25" s="4"/>
      <c r="AGG25" s="4"/>
      <c r="AGH25" s="4"/>
      <c r="AGI25" s="4"/>
      <c r="AGJ25" s="4"/>
      <c r="AGK25" s="4"/>
      <c r="AGL25" s="4"/>
      <c r="AGM25" s="4"/>
      <c r="AGN25" s="4"/>
      <c r="AGO25" s="4"/>
      <c r="AGP25" s="4"/>
      <c r="AGQ25" s="4"/>
      <c r="AGR25" s="4"/>
      <c r="AGS25" s="4"/>
      <c r="AGT25" s="4"/>
      <c r="AGU25" s="4"/>
      <c r="AGV25" s="4"/>
      <c r="AGW25" s="4"/>
      <c r="AGX25" s="4"/>
      <c r="AGY25" s="4"/>
      <c r="AGZ25" s="4"/>
      <c r="AHA25" s="4"/>
      <c r="AHB25" s="4"/>
      <c r="AHC25" s="4"/>
      <c r="AHD25" s="4"/>
      <c r="AHE25" s="4"/>
      <c r="AHF25" s="4"/>
      <c r="AHG25" s="4"/>
      <c r="AHH25" s="4"/>
      <c r="AHI25" s="4"/>
      <c r="AHJ25" s="4"/>
      <c r="AHK25" s="4"/>
      <c r="AHL25" s="4"/>
      <c r="AHM25" s="4"/>
      <c r="AHN25" s="4"/>
      <c r="AHO25" s="4"/>
      <c r="AHP25" s="4"/>
      <c r="AHQ25" s="4"/>
      <c r="AHR25" s="4"/>
      <c r="AHS25" s="4"/>
      <c r="AHT25" s="4"/>
      <c r="AHU25" s="4"/>
      <c r="AHV25" s="4"/>
      <c r="AHW25" s="4"/>
      <c r="AHX25" s="4"/>
      <c r="AHY25" s="4"/>
      <c r="AHZ25" s="4"/>
      <c r="AIA25" s="4"/>
      <c r="AIB25" s="4"/>
      <c r="AIC25" s="4"/>
      <c r="AID25" s="4"/>
      <c r="AIE25" s="4"/>
      <c r="AIF25" s="4"/>
      <c r="AIG25" s="4"/>
      <c r="AIH25" s="4"/>
      <c r="AII25" s="4"/>
      <c r="AIJ25" s="4"/>
      <c r="AIK25" s="4"/>
      <c r="AIL25" s="4"/>
      <c r="AIM25" s="4"/>
      <c r="AIN25" s="4"/>
      <c r="AIO25" s="4"/>
      <c r="AIP25" s="4"/>
      <c r="AIQ25" s="4"/>
      <c r="AIR25" s="4"/>
      <c r="AIS25" s="4"/>
      <c r="AIT25" s="4"/>
      <c r="AIU25" s="4"/>
      <c r="AIV25" s="4"/>
      <c r="AIW25" s="4"/>
      <c r="AIX25" s="4"/>
      <c r="AIY25" s="4"/>
      <c r="AIZ25" s="4"/>
      <c r="AJA25" s="4"/>
      <c r="AJB25" s="4"/>
      <c r="AJC25" s="4"/>
      <c r="AJD25" s="4"/>
      <c r="AJE25" s="4"/>
      <c r="AJF25" s="4"/>
      <c r="AJG25" s="4"/>
      <c r="AJH25" s="4"/>
      <c r="AJI25" s="4"/>
      <c r="AJJ25" s="4"/>
      <c r="AJK25" s="4"/>
      <c r="AJL25" s="4"/>
      <c r="AJM25" s="4"/>
      <c r="AJN25" s="4"/>
      <c r="AJO25" s="4"/>
      <c r="AJP25" s="4"/>
      <c r="AJQ25" s="4"/>
      <c r="AJR25" s="4"/>
      <c r="AJS25" s="4"/>
      <c r="AJT25" s="4"/>
      <c r="AJU25" s="4"/>
      <c r="AJV25" s="4"/>
      <c r="AJW25" s="4"/>
      <c r="AJX25" s="4"/>
      <c r="AJY25" s="4"/>
      <c r="AJZ25" s="4"/>
      <c r="AKA25" s="4"/>
      <c r="AKB25" s="4"/>
      <c r="AKC25" s="4"/>
      <c r="AKD25" s="4"/>
      <c r="AKE25" s="4"/>
      <c r="AKF25" s="4"/>
      <c r="AKG25" s="4"/>
      <c r="AKH25" s="4"/>
      <c r="AKI25" s="4"/>
      <c r="AKJ25" s="4"/>
      <c r="AKK25" s="4"/>
      <c r="AKL25" s="4"/>
      <c r="AKM25" s="4"/>
      <c r="AKN25" s="4"/>
      <c r="AKO25" s="4"/>
      <c r="AKP25" s="4"/>
      <c r="AKQ25" s="4"/>
      <c r="AKR25" s="4"/>
      <c r="AKS25" s="4"/>
      <c r="AKT25" s="4"/>
      <c r="AKU25" s="4"/>
      <c r="AKV25" s="4"/>
      <c r="AKW25" s="4"/>
      <c r="AKX25" s="4"/>
      <c r="AKY25" s="4"/>
      <c r="AKZ25" s="4"/>
      <c r="ALA25" s="4"/>
      <c r="ALB25" s="4"/>
      <c r="ALC25" s="4"/>
      <c r="ALD25" s="4"/>
      <c r="ALE25" s="4"/>
      <c r="ALF25" s="4"/>
      <c r="ALG25" s="4"/>
      <c r="ALH25" s="4"/>
      <c r="ALI25" s="4"/>
      <c r="ALJ25" s="4"/>
      <c r="ALK25" s="4"/>
      <c r="ALL25" s="4"/>
      <c r="ALM25" s="4"/>
      <c r="ALN25" s="4"/>
      <c r="ALO25" s="4"/>
      <c r="ALP25" s="4"/>
      <c r="ALQ25" s="4"/>
      <c r="ALR25" s="4"/>
      <c r="ALS25" s="4"/>
      <c r="ALT25" s="4"/>
      <c r="ALU25" s="4"/>
      <c r="ALV25" s="4"/>
      <c r="ALW25" s="4"/>
      <c r="ALX25" s="4"/>
      <c r="ALY25" s="4"/>
      <c r="ALZ25" s="4"/>
      <c r="AMA25" s="4"/>
      <c r="AMB25" s="4"/>
      <c r="AMC25" s="4"/>
      <c r="AMD25" s="4"/>
      <c r="AME25" s="4"/>
      <c r="AMF25" s="4"/>
      <c r="AMG25" s="4"/>
      <c r="AMH25" s="4"/>
      <c r="AMI25" s="4"/>
      <c r="AMJ25" s="4"/>
      <c r="AMK25" s="4"/>
      <c r="AML25" s="4"/>
      <c r="AMM25" s="4"/>
      <c r="AMN25" s="4"/>
      <c r="AMO25" s="4"/>
      <c r="AMP25" s="4"/>
      <c r="AMQ25" s="4"/>
      <c r="AMR25" s="4"/>
      <c r="AMS25" s="4"/>
      <c r="AMT25" s="4"/>
      <c r="AMU25" s="4"/>
      <c r="AMV25" s="4"/>
      <c r="AMW25" s="4"/>
      <c r="AMX25" s="4"/>
      <c r="AMY25" s="4"/>
      <c r="AMZ25" s="4"/>
      <c r="ANA25" s="4"/>
      <c r="ANB25" s="4"/>
      <c r="ANC25" s="4"/>
      <c r="AND25" s="4"/>
      <c r="ANE25" s="4"/>
      <c r="ANF25" s="4"/>
      <c r="ANG25" s="4"/>
      <c r="ANH25" s="4"/>
      <c r="ANI25" s="4"/>
      <c r="ANJ25" s="4"/>
      <c r="ANK25" s="4"/>
      <c r="ANL25" s="4"/>
      <c r="ANM25" s="4"/>
      <c r="ANN25" s="4"/>
      <c r="ANO25" s="4"/>
      <c r="ANP25" s="4"/>
      <c r="ANQ25" s="4"/>
      <c r="ANR25" s="4"/>
      <c r="ANS25" s="4"/>
      <c r="ANT25" s="4"/>
      <c r="ANU25" s="4"/>
      <c r="ANV25" s="4"/>
      <c r="ANW25" s="4"/>
      <c r="ANX25" s="4"/>
      <c r="ANY25" s="4"/>
      <c r="ANZ25" s="4"/>
      <c r="AOA25" s="4"/>
      <c r="AOB25" s="4"/>
      <c r="AOC25" s="4"/>
      <c r="AOD25" s="4"/>
      <c r="AOE25" s="4"/>
      <c r="AOF25" s="4"/>
      <c r="AOG25" s="4"/>
      <c r="AOH25" s="4"/>
      <c r="AOI25" s="4"/>
      <c r="AOJ25" s="4"/>
      <c r="AOK25" s="4"/>
      <c r="AOL25" s="4"/>
      <c r="AOM25" s="4"/>
      <c r="AON25" s="4"/>
      <c r="AOO25" s="4"/>
      <c r="AOP25" s="4"/>
      <c r="AOQ25" s="4"/>
      <c r="AOR25" s="4"/>
      <c r="AOS25" s="4"/>
      <c r="AOT25" s="4"/>
      <c r="AOU25" s="4"/>
      <c r="AOV25" s="4"/>
      <c r="AOW25" s="4"/>
      <c r="AOX25" s="4"/>
      <c r="AOY25" s="4"/>
      <c r="AOZ25" s="4"/>
      <c r="APA25" s="4"/>
      <c r="APB25" s="4"/>
      <c r="APC25" s="4"/>
      <c r="APD25" s="4"/>
      <c r="APE25" s="4"/>
      <c r="APF25" s="4"/>
      <c r="APG25" s="4"/>
      <c r="APH25" s="4"/>
      <c r="API25" s="4"/>
      <c r="APJ25" s="4"/>
      <c r="APK25" s="4"/>
      <c r="APL25" s="4"/>
      <c r="APM25" s="4"/>
      <c r="APN25" s="4"/>
      <c r="APO25" s="4"/>
      <c r="APP25" s="4"/>
      <c r="APQ25" s="4"/>
      <c r="APR25" s="4"/>
      <c r="APS25" s="4"/>
      <c r="APT25" s="4"/>
      <c r="APU25" s="4"/>
      <c r="APV25" s="4"/>
      <c r="APW25" s="4"/>
      <c r="APX25" s="4"/>
      <c r="APY25" s="4"/>
      <c r="APZ25" s="4"/>
      <c r="AQA25" s="4"/>
      <c r="AQB25" s="4"/>
      <c r="AQC25" s="4"/>
      <c r="AQD25" s="4"/>
      <c r="AQE25" s="4"/>
      <c r="AQF25" s="4"/>
      <c r="AQG25" s="4"/>
      <c r="AQH25" s="4"/>
      <c r="AQI25" s="4"/>
      <c r="AQJ25" s="4"/>
      <c r="AQK25" s="4"/>
      <c r="AQL25" s="4"/>
      <c r="AQM25" s="4"/>
      <c r="AQN25" s="4"/>
      <c r="AQO25" s="4"/>
      <c r="AQP25" s="4"/>
      <c r="AQQ25" s="4"/>
      <c r="AQR25" s="4"/>
      <c r="AQS25" s="4"/>
      <c r="AQT25" s="4"/>
      <c r="AQU25" s="4"/>
      <c r="AQV25" s="4"/>
      <c r="AQW25" s="4"/>
      <c r="AQX25" s="4"/>
      <c r="AQY25" s="4"/>
      <c r="AQZ25" s="4"/>
      <c r="ARA25" s="4"/>
      <c r="ARB25" s="4"/>
      <c r="ARC25" s="4"/>
      <c r="ARD25" s="4"/>
      <c r="ARE25" s="4"/>
      <c r="ARF25" s="4"/>
      <c r="ARG25" s="4"/>
      <c r="ARH25" s="4"/>
      <c r="ARI25" s="4"/>
      <c r="ARJ25" s="4"/>
      <c r="ARK25" s="4"/>
      <c r="ARL25" s="4"/>
      <c r="ARM25" s="4"/>
      <c r="ARN25" s="4"/>
      <c r="ARO25" s="4"/>
      <c r="ARP25" s="4"/>
      <c r="ARQ25" s="4"/>
      <c r="ARR25" s="4"/>
      <c r="ARS25" s="4"/>
      <c r="ART25" s="4"/>
      <c r="ARU25" s="4"/>
      <c r="ARV25" s="4"/>
      <c r="ARW25" s="4"/>
      <c r="ARX25" s="4"/>
      <c r="ARY25" s="4"/>
      <c r="ARZ25" s="4"/>
      <c r="ASA25" s="4"/>
      <c r="ASB25" s="4"/>
      <c r="ASC25" s="4"/>
      <c r="ASD25" s="4"/>
      <c r="ASE25" s="4"/>
      <c r="ASF25" s="4"/>
      <c r="ASG25" s="4"/>
      <c r="ASH25" s="4"/>
      <c r="ASI25" s="4"/>
      <c r="ASJ25" s="4"/>
      <c r="ASK25" s="4"/>
      <c r="ASL25" s="4"/>
      <c r="ASM25" s="4"/>
      <c r="ASN25" s="4"/>
      <c r="ASO25" s="4"/>
      <c r="ASP25" s="4"/>
      <c r="ASQ25" s="4"/>
      <c r="ASR25" s="4"/>
      <c r="ASS25" s="4"/>
      <c r="AST25" s="4"/>
      <c r="ASU25" s="4"/>
      <c r="ASV25" s="4"/>
      <c r="ASW25" s="4"/>
      <c r="ASX25" s="4"/>
      <c r="ASY25" s="4"/>
      <c r="ASZ25" s="4"/>
      <c r="ATA25" s="4"/>
      <c r="ATB25" s="4"/>
      <c r="ATC25" s="4"/>
      <c r="ATD25" s="4"/>
      <c r="ATE25" s="4"/>
      <c r="ATF25" s="4"/>
      <c r="ATG25" s="4"/>
      <c r="ATH25" s="4"/>
      <c r="ATI25" s="4"/>
      <c r="ATJ25" s="4"/>
      <c r="ATK25" s="4"/>
      <c r="ATL25" s="4"/>
      <c r="ATM25" s="4"/>
      <c r="ATN25" s="4"/>
      <c r="ATO25" s="4"/>
      <c r="ATP25" s="4"/>
      <c r="ATQ25" s="4"/>
      <c r="ATR25" s="4"/>
      <c r="ATS25" s="4"/>
      <c r="ATT25" s="4"/>
      <c r="ATU25" s="4"/>
      <c r="ATV25" s="4"/>
      <c r="ATW25" s="4"/>
      <c r="ATX25" s="4"/>
      <c r="ATY25" s="4"/>
      <c r="ATZ25" s="4"/>
      <c r="AUA25" s="4"/>
      <c r="AUB25" s="4"/>
      <c r="AUC25" s="4"/>
      <c r="AUD25" s="4"/>
      <c r="AUE25" s="4"/>
      <c r="AUF25" s="4"/>
      <c r="AUG25" s="4"/>
      <c r="AUH25" s="4"/>
      <c r="AUI25" s="4"/>
      <c r="AUJ25" s="4"/>
      <c r="AUK25" s="4"/>
      <c r="AUL25" s="4"/>
      <c r="AUM25" s="4"/>
      <c r="AUN25" s="4"/>
      <c r="AUO25" s="4"/>
      <c r="AUP25" s="4"/>
      <c r="AUQ25" s="4"/>
      <c r="AUR25" s="4"/>
      <c r="AUS25" s="4"/>
      <c r="AUT25" s="4"/>
      <c r="AUU25" s="4"/>
      <c r="AUV25" s="4"/>
      <c r="AUW25" s="4"/>
      <c r="AUX25" s="4"/>
      <c r="AUY25" s="4"/>
      <c r="AUZ25" s="4"/>
      <c r="AVA25" s="4"/>
      <c r="AVB25" s="4"/>
      <c r="AVC25" s="4"/>
      <c r="AVD25" s="4"/>
      <c r="AVE25" s="4"/>
      <c r="AVF25" s="4"/>
      <c r="AVG25" s="4"/>
      <c r="AVH25" s="4"/>
      <c r="AVI25" s="4"/>
      <c r="AVJ25" s="4"/>
      <c r="AVK25" s="4"/>
      <c r="AVL25" s="4"/>
      <c r="AVM25" s="4"/>
      <c r="AVN25" s="4"/>
      <c r="AVO25" s="4"/>
      <c r="AVP25" s="4"/>
      <c r="AVQ25" s="4"/>
      <c r="AVR25" s="4"/>
      <c r="AVS25" s="4"/>
      <c r="AVT25" s="4"/>
      <c r="AVU25" s="4"/>
      <c r="AVV25" s="4"/>
      <c r="AVW25" s="4"/>
      <c r="AVX25" s="4"/>
      <c r="AVY25" s="4"/>
      <c r="AVZ25" s="4"/>
      <c r="AWA25" s="4"/>
      <c r="AWB25" s="4"/>
      <c r="AWC25" s="4"/>
      <c r="AWD25" s="4"/>
      <c r="AWE25" s="4"/>
      <c r="AWF25" s="4"/>
      <c r="AWG25" s="4"/>
      <c r="AWH25" s="4"/>
      <c r="AWI25" s="4"/>
      <c r="AWJ25" s="4"/>
      <c r="AWK25" s="4"/>
      <c r="AWL25" s="4"/>
      <c r="AWM25" s="4"/>
      <c r="AWN25" s="4"/>
      <c r="AWO25" s="4"/>
      <c r="AWP25" s="4"/>
      <c r="AWQ25" s="4"/>
      <c r="AWR25" s="4"/>
      <c r="AWS25" s="4"/>
      <c r="AWT25" s="4"/>
      <c r="AWU25" s="4"/>
      <c r="AWV25" s="4"/>
      <c r="AWW25" s="4"/>
      <c r="AWX25" s="4"/>
      <c r="AWY25" s="4"/>
      <c r="AWZ25" s="4"/>
      <c r="AXA25" s="4"/>
      <c r="AXB25" s="4"/>
      <c r="AXC25" s="4"/>
      <c r="AXD25" s="4"/>
      <c r="AXE25" s="4"/>
      <c r="AXF25" s="4"/>
      <c r="AXG25" s="4"/>
      <c r="AXH25" s="4"/>
      <c r="AXI25" s="4"/>
      <c r="AXJ25" s="4"/>
      <c r="AXK25" s="4"/>
      <c r="AXL25" s="4"/>
      <c r="AXM25" s="4"/>
      <c r="AXN25" s="4"/>
      <c r="AXO25" s="4"/>
      <c r="AXP25" s="4"/>
      <c r="AXQ25" s="4"/>
      <c r="AXR25" s="4"/>
      <c r="AXS25" s="4"/>
      <c r="AXT25" s="4"/>
      <c r="AXU25" s="4"/>
      <c r="AXV25" s="4"/>
      <c r="AXW25" s="4"/>
      <c r="AXX25" s="4"/>
      <c r="AXY25" s="4"/>
      <c r="AXZ25" s="4"/>
      <c r="AYA25" s="4"/>
      <c r="AYB25" s="4"/>
      <c r="AYC25" s="4"/>
      <c r="AYD25" s="4"/>
      <c r="AYE25" s="4"/>
      <c r="AYF25" s="4"/>
      <c r="AYG25" s="4"/>
      <c r="AYH25" s="4"/>
      <c r="AYI25" s="4"/>
      <c r="AYJ25" s="4"/>
      <c r="AYK25" s="4"/>
      <c r="AYL25" s="4"/>
      <c r="AYM25" s="4"/>
      <c r="AYN25" s="4"/>
      <c r="AYO25" s="4"/>
      <c r="AYP25" s="4"/>
      <c r="AYQ25" s="4"/>
      <c r="AYR25" s="4"/>
      <c r="AYS25" s="4"/>
      <c r="AYT25" s="4"/>
      <c r="AYU25" s="4"/>
      <c r="AYV25" s="4"/>
      <c r="AYW25" s="4"/>
      <c r="AYX25" s="4"/>
      <c r="AYY25" s="4"/>
      <c r="AYZ25" s="4"/>
      <c r="AZA25" s="4"/>
      <c r="AZB25" s="4"/>
      <c r="AZC25" s="4"/>
      <c r="AZD25" s="4"/>
      <c r="AZE25" s="4"/>
      <c r="AZF25" s="4"/>
      <c r="AZG25" s="4"/>
      <c r="AZH25" s="4"/>
      <c r="AZI25" s="4"/>
      <c r="AZJ25" s="4"/>
      <c r="AZK25" s="4"/>
      <c r="AZL25" s="4"/>
      <c r="AZM25" s="4"/>
      <c r="AZN25" s="4"/>
      <c r="AZO25" s="4"/>
      <c r="AZP25" s="4"/>
      <c r="AZQ25" s="4"/>
      <c r="AZR25" s="4"/>
      <c r="AZS25" s="4"/>
      <c r="AZT25" s="4"/>
      <c r="AZU25" s="4"/>
      <c r="AZV25" s="4"/>
      <c r="AZW25" s="4"/>
      <c r="AZX25" s="4"/>
      <c r="AZY25" s="4"/>
      <c r="AZZ25" s="4"/>
      <c r="BAA25" s="4"/>
      <c r="BAB25" s="4"/>
      <c r="BAC25" s="4"/>
      <c r="BAD25" s="4"/>
      <c r="BAE25" s="4"/>
      <c r="BAF25" s="4"/>
      <c r="BAG25" s="4"/>
      <c r="BAH25" s="4"/>
      <c r="BAI25" s="4"/>
      <c r="BAJ25" s="4"/>
      <c r="BAK25" s="4"/>
      <c r="BAL25" s="4"/>
      <c r="BAM25" s="4"/>
      <c r="BAN25" s="4"/>
      <c r="BAO25" s="4"/>
      <c r="BAP25" s="4"/>
      <c r="BAQ25" s="4"/>
      <c r="BAR25" s="4"/>
      <c r="BAS25" s="4"/>
      <c r="BAT25" s="4"/>
      <c r="BAU25" s="4"/>
      <c r="BAV25" s="4"/>
      <c r="BAW25" s="4"/>
      <c r="BAX25" s="4"/>
      <c r="BAY25" s="4"/>
      <c r="BAZ25" s="4"/>
      <c r="BBA25" s="4"/>
      <c r="BBB25" s="4"/>
      <c r="BBC25" s="4"/>
      <c r="BBD25" s="4"/>
      <c r="BBE25" s="4"/>
      <c r="BBF25" s="4"/>
      <c r="BBG25" s="4"/>
      <c r="BBH25" s="4"/>
      <c r="BBI25" s="4"/>
      <c r="BBJ25" s="4"/>
      <c r="BBK25" s="4"/>
      <c r="BBL25" s="4"/>
      <c r="BBM25" s="4"/>
      <c r="BBN25" s="4"/>
      <c r="BBO25" s="4"/>
      <c r="BBP25" s="4"/>
      <c r="BBQ25" s="4"/>
      <c r="BBR25" s="4"/>
      <c r="BBS25" s="4"/>
      <c r="BBT25" s="4"/>
      <c r="BBU25" s="4"/>
      <c r="BBV25" s="4"/>
      <c r="BBW25" s="4"/>
      <c r="BBX25" s="4"/>
      <c r="BBY25" s="4"/>
      <c r="BBZ25" s="4"/>
      <c r="BCA25" s="4"/>
      <c r="BCB25" s="4"/>
      <c r="BCC25" s="4"/>
      <c r="BCD25" s="4"/>
      <c r="BCE25" s="4"/>
      <c r="BCF25" s="4"/>
      <c r="BCG25" s="4"/>
      <c r="BCH25" s="4"/>
      <c r="BCI25" s="4"/>
      <c r="BCJ25" s="4"/>
      <c r="BCK25" s="4"/>
      <c r="BCL25" s="4"/>
      <c r="BCM25" s="4"/>
      <c r="BCN25" s="4"/>
      <c r="BCO25" s="4"/>
      <c r="BCP25" s="4"/>
      <c r="BCQ25" s="4"/>
      <c r="BCR25" s="4"/>
      <c r="BCS25" s="4"/>
      <c r="BCT25" s="4"/>
      <c r="BCU25" s="4"/>
      <c r="BCV25" s="4"/>
      <c r="BCW25" s="4"/>
      <c r="BCX25" s="4"/>
      <c r="BCY25" s="4"/>
      <c r="BCZ25" s="4"/>
      <c r="BDA25" s="4"/>
      <c r="BDB25" s="4"/>
      <c r="BDC25" s="4"/>
      <c r="BDD25" s="4"/>
      <c r="BDE25" s="4"/>
      <c r="BDF25" s="4"/>
      <c r="BDG25" s="4"/>
      <c r="BDH25" s="4"/>
      <c r="BDI25" s="4"/>
      <c r="BDJ25" s="4"/>
      <c r="BDK25" s="4"/>
      <c r="BDL25" s="4"/>
      <c r="BDM25" s="4"/>
      <c r="BDN25" s="4"/>
      <c r="BDO25" s="4"/>
      <c r="BDP25" s="4"/>
      <c r="BDQ25" s="4"/>
      <c r="BDR25" s="4"/>
      <c r="BDS25" s="4"/>
      <c r="BDT25" s="4"/>
      <c r="BDU25" s="4"/>
      <c r="BDV25" s="4"/>
      <c r="BDW25" s="4"/>
      <c r="BDX25" s="4"/>
      <c r="BDY25" s="4"/>
      <c r="BDZ25" s="4"/>
      <c r="BEA25" s="4"/>
      <c r="BEB25" s="4"/>
      <c r="BEC25" s="4"/>
      <c r="BED25" s="4"/>
      <c r="BEE25" s="4"/>
      <c r="BEF25" s="4"/>
      <c r="BEG25" s="4"/>
      <c r="BEH25" s="4"/>
      <c r="BEI25" s="4"/>
      <c r="BEJ25" s="4"/>
      <c r="BEK25" s="4"/>
      <c r="BEL25" s="4"/>
      <c r="BEM25" s="4"/>
      <c r="BEN25" s="4"/>
      <c r="BEO25" s="4"/>
      <c r="BEP25" s="4"/>
      <c r="BEQ25" s="4"/>
      <c r="BER25" s="4"/>
      <c r="BES25" s="4"/>
      <c r="BET25" s="4"/>
      <c r="BEU25" s="4"/>
      <c r="BEV25" s="4"/>
      <c r="BEW25" s="4"/>
      <c r="BEX25" s="4"/>
      <c r="BEY25" s="4"/>
      <c r="BEZ25" s="4"/>
      <c r="BFA25" s="4"/>
      <c r="BFB25" s="4"/>
      <c r="BFC25" s="4"/>
      <c r="BFD25" s="4"/>
      <c r="BFE25" s="4"/>
      <c r="BFF25" s="4"/>
      <c r="BFG25" s="4"/>
      <c r="BFH25" s="4"/>
      <c r="BFI25" s="4"/>
      <c r="BFJ25" s="4"/>
      <c r="BFK25" s="4"/>
      <c r="BFL25" s="4"/>
      <c r="BFM25" s="4"/>
      <c r="BFN25" s="4"/>
      <c r="BFO25" s="4"/>
      <c r="BFP25" s="4"/>
      <c r="BFQ25" s="4"/>
      <c r="BFR25" s="4"/>
      <c r="BFS25" s="4"/>
      <c r="BFT25" s="4"/>
      <c r="BFU25" s="4"/>
      <c r="BFV25" s="4"/>
      <c r="BFW25" s="4"/>
      <c r="BFX25" s="4"/>
      <c r="BFY25" s="4"/>
      <c r="BFZ25" s="4"/>
      <c r="BGA25" s="4"/>
      <c r="BGB25" s="4"/>
      <c r="BGC25" s="4"/>
      <c r="BGD25" s="4"/>
      <c r="BGE25" s="4"/>
      <c r="BGF25" s="4"/>
      <c r="BGG25" s="4"/>
      <c r="BGH25" s="4"/>
      <c r="BGI25" s="4"/>
      <c r="BGJ25" s="4"/>
      <c r="BGK25" s="4"/>
      <c r="BGL25" s="4"/>
      <c r="BGM25" s="4"/>
      <c r="BGN25" s="4"/>
      <c r="BGO25" s="4"/>
      <c r="BGP25" s="4"/>
      <c r="BGQ25" s="4"/>
      <c r="BGR25" s="4"/>
      <c r="BGS25" s="4"/>
      <c r="BGT25" s="4"/>
      <c r="BGU25" s="4"/>
      <c r="BGV25" s="4"/>
      <c r="BGW25" s="4"/>
      <c r="BGX25" s="4"/>
      <c r="BGY25" s="4"/>
      <c r="BGZ25" s="4"/>
      <c r="BHA25" s="4"/>
      <c r="BHB25" s="4"/>
      <c r="BHC25" s="4"/>
      <c r="BHD25" s="4"/>
      <c r="BHE25" s="4"/>
      <c r="BHF25" s="4"/>
      <c r="BHG25" s="4"/>
      <c r="BHH25" s="4"/>
      <c r="BHI25" s="4"/>
      <c r="BHJ25" s="4"/>
      <c r="BHK25" s="4"/>
      <c r="BHL25" s="4"/>
      <c r="BHM25" s="4"/>
      <c r="BHN25" s="4"/>
      <c r="BHO25" s="4"/>
      <c r="BHP25" s="4"/>
      <c r="BHQ25" s="4"/>
      <c r="BHR25" s="4"/>
      <c r="BHS25" s="4"/>
      <c r="BHT25" s="4"/>
      <c r="BHU25" s="4"/>
      <c r="BHV25" s="4"/>
      <c r="BHW25" s="4"/>
      <c r="BHX25" s="4"/>
      <c r="BHY25" s="4"/>
      <c r="BHZ25" s="4"/>
      <c r="BIA25" s="4"/>
      <c r="BIB25" s="4"/>
      <c r="BIC25" s="4"/>
      <c r="BID25" s="4"/>
      <c r="BIE25" s="4"/>
      <c r="BIF25" s="4"/>
      <c r="BIG25" s="4"/>
      <c r="BIH25" s="4"/>
      <c r="BII25" s="4"/>
      <c r="BIJ25" s="4"/>
      <c r="BIK25" s="4"/>
      <c r="BIL25" s="4"/>
      <c r="BIM25" s="4"/>
      <c r="BIN25" s="4"/>
      <c r="BIO25" s="4"/>
      <c r="BIP25" s="4"/>
      <c r="BIQ25" s="4"/>
      <c r="BIR25" s="4"/>
      <c r="BIS25" s="4"/>
      <c r="BIT25" s="4"/>
      <c r="BIU25" s="4"/>
      <c r="BIV25" s="4"/>
      <c r="BIW25" s="4"/>
      <c r="BIX25" s="4"/>
      <c r="BIY25" s="4"/>
      <c r="BIZ25" s="4"/>
      <c r="BJA25" s="4"/>
      <c r="BJB25" s="4"/>
      <c r="BJC25" s="4"/>
      <c r="BJD25" s="4"/>
      <c r="BJE25" s="4"/>
      <c r="BJF25" s="4"/>
      <c r="BJG25" s="4"/>
      <c r="BJH25" s="4"/>
      <c r="BJI25" s="4"/>
      <c r="BJJ25" s="4"/>
      <c r="BJK25" s="4"/>
      <c r="BJL25" s="4"/>
      <c r="BJM25" s="4"/>
      <c r="BJN25" s="4"/>
      <c r="BJO25" s="4"/>
      <c r="BJP25" s="4"/>
      <c r="BJQ25" s="4"/>
      <c r="BJR25" s="4"/>
      <c r="BJS25" s="4"/>
      <c r="BJT25" s="4"/>
      <c r="BJU25" s="4"/>
      <c r="BJV25" s="4"/>
      <c r="BJW25" s="4"/>
      <c r="BJX25" s="4"/>
      <c r="BJY25" s="4"/>
      <c r="BJZ25" s="4"/>
      <c r="BKA25" s="4"/>
      <c r="BKB25" s="4"/>
      <c r="BKC25" s="4"/>
      <c r="BKD25" s="4"/>
      <c r="BKE25" s="4"/>
      <c r="BKF25" s="4"/>
      <c r="BKG25" s="4"/>
      <c r="BKH25" s="4"/>
      <c r="BKI25" s="4"/>
      <c r="BKJ25" s="4"/>
      <c r="BKK25" s="4"/>
      <c r="BKL25" s="4"/>
      <c r="BKM25" s="4"/>
      <c r="BKN25" s="4"/>
      <c r="BKO25" s="4"/>
      <c r="BKP25" s="4"/>
      <c r="BKQ25" s="4"/>
      <c r="BKR25" s="4"/>
      <c r="BKS25" s="4"/>
      <c r="BKT25" s="4"/>
      <c r="BKU25" s="4"/>
      <c r="BKV25" s="4"/>
      <c r="BKW25" s="4"/>
      <c r="BKX25" s="4"/>
      <c r="BKY25" s="4"/>
      <c r="BKZ25" s="4"/>
      <c r="BLA25" s="4"/>
      <c r="BLB25" s="4"/>
      <c r="BLC25" s="4"/>
      <c r="BLD25" s="4"/>
      <c r="BLE25" s="4"/>
      <c r="BLF25" s="4"/>
      <c r="BLG25" s="4"/>
      <c r="BLH25" s="4"/>
      <c r="BLI25" s="4"/>
      <c r="BLJ25" s="4"/>
      <c r="BLK25" s="4"/>
      <c r="BLL25" s="4"/>
      <c r="BLM25" s="4"/>
      <c r="BLN25" s="4"/>
      <c r="BLO25" s="4"/>
      <c r="BLP25" s="4"/>
      <c r="BLQ25" s="4"/>
      <c r="BLR25" s="4"/>
      <c r="BLS25" s="4"/>
      <c r="BLT25" s="4"/>
      <c r="BLU25" s="4"/>
      <c r="BLV25" s="4"/>
      <c r="BLW25" s="4"/>
      <c r="BLX25" s="4"/>
      <c r="BLY25" s="4"/>
      <c r="BLZ25" s="4"/>
      <c r="BMA25" s="4"/>
      <c r="BMB25" s="4"/>
      <c r="BMC25" s="4"/>
      <c r="BMD25" s="4"/>
      <c r="BME25" s="4"/>
      <c r="BMF25" s="4"/>
      <c r="BMG25" s="4"/>
      <c r="BMH25" s="4"/>
      <c r="BMI25" s="4"/>
      <c r="BMJ25" s="4"/>
      <c r="BMK25" s="4"/>
      <c r="BML25" s="4"/>
      <c r="BMM25" s="4"/>
      <c r="BMN25" s="4"/>
      <c r="BMO25" s="4"/>
      <c r="BMP25" s="4"/>
      <c r="BMQ25" s="4"/>
      <c r="BMR25" s="4"/>
      <c r="BMS25" s="4"/>
      <c r="BMT25" s="4"/>
      <c r="BMU25" s="4"/>
      <c r="BMV25" s="4"/>
      <c r="BMW25" s="4"/>
      <c r="BMX25" s="4"/>
      <c r="BMY25" s="4"/>
      <c r="BMZ25" s="4"/>
      <c r="BNA25" s="4"/>
      <c r="BNB25" s="4"/>
      <c r="BNC25" s="4"/>
      <c r="BND25" s="4"/>
      <c r="BNE25" s="4"/>
      <c r="BNF25" s="4"/>
      <c r="BNG25" s="4"/>
      <c r="BNH25" s="4"/>
      <c r="BNI25" s="4"/>
      <c r="BNJ25" s="4"/>
      <c r="BNK25" s="4"/>
      <c r="BNL25" s="4"/>
      <c r="BNM25" s="4"/>
      <c r="BNN25" s="4"/>
      <c r="BNO25" s="4"/>
      <c r="BNP25" s="4"/>
      <c r="BNQ25" s="4"/>
      <c r="BNR25" s="4"/>
      <c r="BNS25" s="4"/>
      <c r="BNT25" s="4"/>
      <c r="BNU25" s="4"/>
      <c r="BNV25" s="4"/>
      <c r="BNW25" s="4"/>
      <c r="BNX25" s="4"/>
      <c r="BNY25" s="4"/>
      <c r="BNZ25" s="4"/>
      <c r="BOA25" s="4"/>
      <c r="BOB25" s="4"/>
      <c r="BOC25" s="4"/>
      <c r="BOD25" s="4"/>
      <c r="BOE25" s="4"/>
      <c r="BOF25" s="4"/>
      <c r="BOG25" s="4"/>
      <c r="BOH25" s="4"/>
      <c r="BOI25" s="4"/>
      <c r="BOJ25" s="4"/>
      <c r="BOK25" s="4"/>
      <c r="BOL25" s="4"/>
      <c r="BOM25" s="4"/>
      <c r="BON25" s="4"/>
      <c r="BOO25" s="4"/>
      <c r="BOP25" s="4"/>
      <c r="BOQ25" s="4"/>
      <c r="BOR25" s="4"/>
      <c r="BOS25" s="4"/>
      <c r="BOT25" s="4"/>
      <c r="BOU25" s="4"/>
      <c r="BOV25" s="4"/>
      <c r="BOW25" s="4"/>
      <c r="BOX25" s="4"/>
      <c r="BOY25" s="4"/>
      <c r="BOZ25" s="4"/>
      <c r="BPA25" s="60"/>
    </row>
    <row r="26" s="6" customFormat="1" ht="60" customHeight="1" spans="1:1024 1025:1769">
      <c r="A26" s="47" t="s">
        <v>92</v>
      </c>
      <c r="B26" s="48" t="s">
        <v>1300</v>
      </c>
      <c r="C26" s="48" t="s">
        <v>1301</v>
      </c>
      <c r="D26" s="49" t="s">
        <v>1302</v>
      </c>
      <c r="E26" s="55"/>
      <c r="F26" s="51">
        <v>46175</v>
      </c>
      <c r="G26" s="52" t="s">
        <v>7</v>
      </c>
      <c r="H26" s="55"/>
      <c r="I26" s="5"/>
      <c r="J26" s="5" t="s">
        <v>1254</v>
      </c>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c r="VL26" s="4"/>
      <c r="VM26" s="4"/>
      <c r="VN26" s="4"/>
      <c r="VO26" s="4"/>
      <c r="VP26" s="4"/>
      <c r="VQ26" s="4"/>
      <c r="VR26" s="4"/>
      <c r="VS26" s="4"/>
      <c r="VT26" s="4"/>
      <c r="VU26" s="4"/>
      <c r="VV26" s="4"/>
      <c r="VW26" s="4"/>
      <c r="VX26" s="4"/>
      <c r="VY26" s="4"/>
      <c r="VZ26" s="4"/>
      <c r="WA26" s="4"/>
      <c r="WB26" s="4"/>
      <c r="WC26" s="4"/>
      <c r="WD26" s="4"/>
      <c r="WE26" s="4"/>
      <c r="WF26" s="4"/>
      <c r="WG26" s="4"/>
      <c r="WH26" s="4"/>
      <c r="WI26" s="4"/>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c r="AAB26" s="4"/>
      <c r="AAC26" s="4"/>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c r="AGK26" s="4"/>
      <c r="AGL26" s="4"/>
      <c r="AGM26" s="4"/>
      <c r="AGN26" s="4"/>
      <c r="AGO26" s="4"/>
      <c r="AGP26" s="4"/>
      <c r="AGQ26" s="4"/>
      <c r="AGR26" s="4"/>
      <c r="AGS26" s="4"/>
      <c r="AGT26" s="4"/>
      <c r="AGU26" s="4"/>
      <c r="AGV26" s="4"/>
      <c r="AGW26" s="4"/>
      <c r="AGX26" s="4"/>
      <c r="AGY26" s="4"/>
      <c r="AGZ26" s="4"/>
      <c r="AHA26" s="4"/>
      <c r="AHB26" s="4"/>
      <c r="AHC26" s="4"/>
      <c r="AHD26" s="4"/>
      <c r="AHE26" s="4"/>
      <c r="AHF26" s="4"/>
      <c r="AHG26" s="4"/>
      <c r="AHH26" s="4"/>
      <c r="AHI26" s="4"/>
      <c r="AHJ26" s="4"/>
      <c r="AHK26" s="4"/>
      <c r="AHL26" s="4"/>
      <c r="AHM26" s="4"/>
      <c r="AHN26" s="4"/>
      <c r="AHO26" s="4"/>
      <c r="AHP26" s="4"/>
      <c r="AHQ26" s="4"/>
      <c r="AHR26" s="4"/>
      <c r="AHS26" s="4"/>
      <c r="AHT26" s="4"/>
      <c r="AHU26" s="4"/>
      <c r="AHV26" s="4"/>
      <c r="AHW26" s="4"/>
      <c r="AHX26" s="4"/>
      <c r="AHY26" s="4"/>
      <c r="AHZ26" s="4"/>
      <c r="AIA26" s="4"/>
      <c r="AIB26" s="4"/>
      <c r="AIC26" s="4"/>
      <c r="AID26" s="4"/>
      <c r="AIE26" s="4"/>
      <c r="AIF26" s="4"/>
      <c r="AIG26" s="4"/>
      <c r="AIH26" s="4"/>
      <c r="AII26" s="4"/>
      <c r="AIJ26" s="4"/>
      <c r="AIK26" s="4"/>
      <c r="AIL26" s="4"/>
      <c r="AIM26" s="4"/>
      <c r="AIN26" s="4"/>
      <c r="AIO26" s="4"/>
      <c r="AIP26" s="4"/>
      <c r="AIQ26" s="4"/>
      <c r="AIR26" s="4"/>
      <c r="AIS26" s="4"/>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c r="AJU26" s="4"/>
      <c r="AJV26" s="4"/>
      <c r="AJW26" s="4"/>
      <c r="AJX26" s="4"/>
      <c r="AJY26" s="4"/>
      <c r="AJZ26" s="4"/>
      <c r="AKA26" s="4"/>
      <c r="AKB26" s="4"/>
      <c r="AKC26" s="4"/>
      <c r="AKD26" s="4"/>
      <c r="AKE26" s="4"/>
      <c r="AKF26" s="4"/>
      <c r="AKG26" s="4"/>
      <c r="AKH26" s="4"/>
      <c r="AKI26" s="4"/>
      <c r="AKJ26" s="4"/>
      <c r="AKK26" s="4"/>
      <c r="AKL26" s="4"/>
      <c r="AKM26" s="4"/>
      <c r="AKN26" s="4"/>
      <c r="AKO26" s="4"/>
      <c r="AKP26" s="4"/>
      <c r="AKQ26" s="4"/>
      <c r="AKR26" s="4"/>
      <c r="AKS26" s="4"/>
      <c r="AKT26" s="4"/>
      <c r="AKU26" s="4"/>
      <c r="AKV26" s="4"/>
      <c r="AKW26" s="4"/>
      <c r="AKX26" s="4"/>
      <c r="AKY26" s="4"/>
      <c r="AKZ26" s="4"/>
      <c r="ALA26" s="4"/>
      <c r="ALB26" s="4"/>
      <c r="ALC26" s="4"/>
      <c r="ALD26" s="4"/>
      <c r="ALE26" s="4"/>
      <c r="ALF26" s="4"/>
      <c r="ALG26" s="4"/>
      <c r="ALH26" s="4"/>
      <c r="ALI26" s="4"/>
      <c r="ALJ26" s="4"/>
      <c r="ALK26" s="4"/>
      <c r="ALL26" s="4"/>
      <c r="ALM26" s="4"/>
      <c r="ALN26" s="4"/>
      <c r="ALO26" s="4"/>
      <c r="ALP26" s="4"/>
      <c r="ALQ26" s="4"/>
      <c r="ALR26" s="4"/>
      <c r="ALS26" s="4"/>
      <c r="ALT26" s="4"/>
      <c r="ALU26" s="4"/>
      <c r="ALV26" s="4"/>
      <c r="ALW26" s="4"/>
      <c r="ALX26" s="4"/>
      <c r="ALY26" s="4"/>
      <c r="ALZ26" s="4"/>
      <c r="AMA26" s="4"/>
      <c r="AMB26" s="4"/>
      <c r="AMC26" s="4"/>
      <c r="AMD26" s="4"/>
      <c r="AME26" s="4"/>
      <c r="AMF26" s="4"/>
      <c r="AMG26" s="4"/>
      <c r="AMH26" s="4"/>
      <c r="AMI26" s="4"/>
      <c r="AMJ26" s="4"/>
      <c r="AMK26" s="4"/>
      <c r="AML26" s="4"/>
      <c r="AMM26" s="4"/>
      <c r="AMN26" s="4"/>
      <c r="AMO26" s="4"/>
      <c r="AMP26" s="4"/>
      <c r="AMQ26" s="4"/>
      <c r="AMR26" s="4"/>
      <c r="AMS26" s="4"/>
      <c r="AMT26" s="4"/>
      <c r="AMU26" s="4"/>
      <c r="AMV26" s="4"/>
      <c r="AMW26" s="4"/>
      <c r="AMX26" s="4"/>
      <c r="AMY26" s="4"/>
      <c r="AMZ26" s="4"/>
      <c r="ANA26" s="4"/>
      <c r="ANB26" s="4"/>
      <c r="ANC26" s="4"/>
      <c r="AND26" s="4"/>
      <c r="ANE26" s="4"/>
      <c r="ANF26" s="4"/>
      <c r="ANG26" s="4"/>
      <c r="ANH26" s="4"/>
      <c r="ANI26" s="4"/>
      <c r="ANJ26" s="4"/>
      <c r="ANK26" s="4"/>
      <c r="ANL26" s="4"/>
      <c r="ANM26" s="4"/>
      <c r="ANN26" s="4"/>
      <c r="ANO26" s="4"/>
      <c r="ANP26" s="4"/>
      <c r="ANQ26" s="4"/>
      <c r="ANR26" s="4"/>
      <c r="ANS26" s="4"/>
      <c r="ANT26" s="4"/>
      <c r="ANU26" s="4"/>
      <c r="ANV26" s="4"/>
      <c r="ANW26" s="4"/>
      <c r="ANX26" s="4"/>
      <c r="ANY26" s="4"/>
      <c r="ANZ26" s="4"/>
      <c r="AOA26" s="4"/>
      <c r="AOB26" s="4"/>
      <c r="AOC26" s="4"/>
      <c r="AOD26" s="4"/>
      <c r="AOE26" s="4"/>
      <c r="AOF26" s="4"/>
      <c r="AOG26" s="4"/>
      <c r="AOH26" s="4"/>
      <c r="AOI26" s="4"/>
      <c r="AOJ26" s="4"/>
      <c r="AOK26" s="4"/>
      <c r="AOL26" s="4"/>
      <c r="AOM26" s="4"/>
      <c r="AON26" s="4"/>
      <c r="AOO26" s="4"/>
      <c r="AOP26" s="4"/>
      <c r="AOQ26" s="4"/>
      <c r="AOR26" s="4"/>
      <c r="AOS26" s="4"/>
      <c r="AOT26" s="4"/>
      <c r="AOU26" s="4"/>
      <c r="AOV26" s="4"/>
      <c r="AOW26" s="4"/>
      <c r="AOX26" s="4"/>
      <c r="AOY26" s="4"/>
      <c r="AOZ26" s="4"/>
      <c r="APA26" s="4"/>
      <c r="APB26" s="4"/>
      <c r="APC26" s="4"/>
      <c r="APD26" s="4"/>
      <c r="APE26" s="4"/>
      <c r="APF26" s="4"/>
      <c r="APG26" s="4"/>
      <c r="APH26" s="4"/>
      <c r="API26" s="4"/>
      <c r="APJ26" s="4"/>
      <c r="APK26" s="4"/>
      <c r="APL26" s="4"/>
      <c r="APM26" s="4"/>
      <c r="APN26" s="4"/>
      <c r="APO26" s="4"/>
      <c r="APP26" s="4"/>
      <c r="APQ26" s="4"/>
      <c r="APR26" s="4"/>
      <c r="APS26" s="4"/>
      <c r="APT26" s="4"/>
      <c r="APU26" s="4"/>
      <c r="APV26" s="4"/>
      <c r="APW26" s="4"/>
      <c r="APX26" s="4"/>
      <c r="APY26" s="4"/>
      <c r="APZ26" s="4"/>
      <c r="AQA26" s="4"/>
      <c r="AQB26" s="4"/>
      <c r="AQC26" s="4"/>
      <c r="AQD26" s="4"/>
      <c r="AQE26" s="4"/>
      <c r="AQF26" s="4"/>
      <c r="AQG26" s="4"/>
      <c r="AQH26" s="4"/>
      <c r="AQI26" s="4"/>
      <c r="AQJ26" s="4"/>
      <c r="AQK26" s="4"/>
      <c r="AQL26" s="4"/>
      <c r="AQM26" s="4"/>
      <c r="AQN26" s="4"/>
      <c r="AQO26" s="4"/>
      <c r="AQP26" s="4"/>
      <c r="AQQ26" s="4"/>
      <c r="AQR26" s="4"/>
      <c r="AQS26" s="4"/>
      <c r="AQT26" s="4"/>
      <c r="AQU26" s="4"/>
      <c r="AQV26" s="4"/>
      <c r="AQW26" s="4"/>
      <c r="AQX26" s="4"/>
      <c r="AQY26" s="4"/>
      <c r="AQZ26" s="4"/>
      <c r="ARA26" s="4"/>
      <c r="ARB26" s="4"/>
      <c r="ARC26" s="4"/>
      <c r="ARD26" s="4"/>
      <c r="ARE26" s="4"/>
      <c r="ARF26" s="4"/>
      <c r="ARG26" s="4"/>
      <c r="ARH26" s="4"/>
      <c r="ARI26" s="4"/>
      <c r="ARJ26" s="4"/>
      <c r="ARK26" s="4"/>
      <c r="ARL26" s="4"/>
      <c r="ARM26" s="4"/>
      <c r="ARN26" s="4"/>
      <c r="ARO26" s="4"/>
      <c r="ARP26" s="4"/>
      <c r="ARQ26" s="4"/>
      <c r="ARR26" s="4"/>
      <c r="ARS26" s="4"/>
      <c r="ART26" s="4"/>
      <c r="ARU26" s="4"/>
      <c r="ARV26" s="4"/>
      <c r="ARW26" s="4"/>
      <c r="ARX26" s="4"/>
      <c r="ARY26" s="4"/>
      <c r="ARZ26" s="4"/>
      <c r="ASA26" s="4"/>
      <c r="ASB26" s="4"/>
      <c r="ASC26" s="4"/>
      <c r="ASD26" s="4"/>
      <c r="ASE26" s="4"/>
      <c r="ASF26" s="4"/>
      <c r="ASG26" s="4"/>
      <c r="ASH26" s="4"/>
      <c r="ASI26" s="4"/>
      <c r="ASJ26" s="4"/>
      <c r="ASK26" s="4"/>
      <c r="ASL26" s="4"/>
      <c r="ASM26" s="4"/>
      <c r="ASN26" s="4"/>
      <c r="ASO26" s="4"/>
      <c r="ASP26" s="4"/>
      <c r="ASQ26" s="4"/>
      <c r="ASR26" s="4"/>
      <c r="ASS26" s="4"/>
      <c r="AST26" s="4"/>
      <c r="ASU26" s="4"/>
      <c r="ASV26" s="4"/>
      <c r="ASW26" s="4"/>
      <c r="ASX26" s="4"/>
      <c r="ASY26" s="4"/>
      <c r="ASZ26" s="4"/>
      <c r="ATA26" s="4"/>
      <c r="ATB26" s="4"/>
      <c r="ATC26" s="4"/>
      <c r="ATD26" s="4"/>
      <c r="ATE26" s="4"/>
      <c r="ATF26" s="4"/>
      <c r="ATG26" s="4"/>
      <c r="ATH26" s="4"/>
      <c r="ATI26" s="4"/>
      <c r="ATJ26" s="4"/>
      <c r="ATK26" s="4"/>
      <c r="ATL26" s="4"/>
      <c r="ATM26" s="4"/>
      <c r="ATN26" s="4"/>
      <c r="ATO26" s="4"/>
      <c r="ATP26" s="4"/>
      <c r="ATQ26" s="4"/>
      <c r="ATR26" s="4"/>
      <c r="ATS26" s="4"/>
      <c r="ATT26" s="4"/>
      <c r="ATU26" s="4"/>
      <c r="ATV26" s="4"/>
      <c r="ATW26" s="4"/>
      <c r="ATX26" s="4"/>
      <c r="ATY26" s="4"/>
      <c r="ATZ26" s="4"/>
      <c r="AUA26" s="4"/>
      <c r="AUB26" s="4"/>
      <c r="AUC26" s="4"/>
      <c r="AUD26" s="4"/>
      <c r="AUE26" s="4"/>
      <c r="AUF26" s="4"/>
      <c r="AUG26" s="4"/>
      <c r="AUH26" s="4"/>
      <c r="AUI26" s="4"/>
      <c r="AUJ26" s="4"/>
      <c r="AUK26" s="4"/>
      <c r="AUL26" s="4"/>
      <c r="AUM26" s="4"/>
      <c r="AUN26" s="4"/>
      <c r="AUO26" s="4"/>
      <c r="AUP26" s="4"/>
      <c r="AUQ26" s="4"/>
      <c r="AUR26" s="4"/>
      <c r="AUS26" s="4"/>
      <c r="AUT26" s="4"/>
      <c r="AUU26" s="4"/>
      <c r="AUV26" s="4"/>
      <c r="AUW26" s="4"/>
      <c r="AUX26" s="4"/>
      <c r="AUY26" s="4"/>
      <c r="AUZ26" s="4"/>
      <c r="AVA26" s="4"/>
      <c r="AVB26" s="4"/>
      <c r="AVC26" s="4"/>
      <c r="AVD26" s="4"/>
      <c r="AVE26" s="4"/>
      <c r="AVF26" s="4"/>
      <c r="AVG26" s="4"/>
      <c r="AVH26" s="4"/>
      <c r="AVI26" s="4"/>
      <c r="AVJ26" s="4"/>
      <c r="AVK26" s="4"/>
      <c r="AVL26" s="4"/>
      <c r="AVM26" s="4"/>
      <c r="AVN26" s="4"/>
      <c r="AVO26" s="4"/>
      <c r="AVP26" s="4"/>
      <c r="AVQ26" s="4"/>
      <c r="AVR26" s="4"/>
      <c r="AVS26" s="4"/>
      <c r="AVT26" s="4"/>
      <c r="AVU26" s="4"/>
      <c r="AVV26" s="4"/>
      <c r="AVW26" s="4"/>
      <c r="AVX26" s="4"/>
      <c r="AVY26" s="4"/>
      <c r="AVZ26" s="4"/>
      <c r="AWA26" s="4"/>
      <c r="AWB26" s="4"/>
      <c r="AWC26" s="4"/>
      <c r="AWD26" s="4"/>
      <c r="AWE26" s="4"/>
      <c r="AWF26" s="4"/>
      <c r="AWG26" s="4"/>
      <c r="AWH26" s="4"/>
      <c r="AWI26" s="4"/>
      <c r="AWJ26" s="4"/>
      <c r="AWK26" s="4"/>
      <c r="AWL26" s="4"/>
      <c r="AWM26" s="4"/>
      <c r="AWN26" s="4"/>
      <c r="AWO26" s="4"/>
      <c r="AWP26" s="4"/>
      <c r="AWQ26" s="4"/>
      <c r="AWR26" s="4"/>
      <c r="AWS26" s="4"/>
      <c r="AWT26" s="4"/>
      <c r="AWU26" s="4"/>
      <c r="AWV26" s="4"/>
      <c r="AWW26" s="4"/>
      <c r="AWX26" s="4"/>
      <c r="AWY26" s="4"/>
      <c r="AWZ26" s="4"/>
      <c r="AXA26" s="4"/>
      <c r="AXB26" s="4"/>
      <c r="AXC26" s="4"/>
      <c r="AXD26" s="4"/>
      <c r="AXE26" s="4"/>
      <c r="AXF26" s="4"/>
      <c r="AXG26" s="4"/>
      <c r="AXH26" s="4"/>
      <c r="AXI26" s="4"/>
      <c r="AXJ26" s="4"/>
      <c r="AXK26" s="4"/>
      <c r="AXL26" s="4"/>
      <c r="AXM26" s="4"/>
      <c r="AXN26" s="4"/>
      <c r="AXO26" s="4"/>
      <c r="AXP26" s="4"/>
      <c r="AXQ26" s="4"/>
      <c r="AXR26" s="4"/>
      <c r="AXS26" s="4"/>
      <c r="AXT26" s="4"/>
      <c r="AXU26" s="4"/>
      <c r="AXV26" s="4"/>
      <c r="AXW26" s="4"/>
      <c r="AXX26" s="4"/>
      <c r="AXY26" s="4"/>
      <c r="AXZ26" s="4"/>
      <c r="AYA26" s="4"/>
      <c r="AYB26" s="4"/>
      <c r="AYC26" s="4"/>
      <c r="AYD26" s="4"/>
      <c r="AYE26" s="4"/>
      <c r="AYF26" s="4"/>
      <c r="AYG26" s="4"/>
      <c r="AYH26" s="4"/>
      <c r="AYI26" s="4"/>
      <c r="AYJ26" s="4"/>
      <c r="AYK26" s="4"/>
      <c r="AYL26" s="4"/>
      <c r="AYM26" s="4"/>
      <c r="AYN26" s="4"/>
      <c r="AYO26" s="4"/>
      <c r="AYP26" s="4"/>
      <c r="AYQ26" s="4"/>
      <c r="AYR26" s="4"/>
      <c r="AYS26" s="4"/>
      <c r="AYT26" s="4"/>
      <c r="AYU26" s="4"/>
      <c r="AYV26" s="4"/>
      <c r="AYW26" s="4"/>
      <c r="AYX26" s="4"/>
      <c r="AYY26" s="4"/>
      <c r="AYZ26" s="4"/>
      <c r="AZA26" s="4"/>
      <c r="AZB26" s="4"/>
      <c r="AZC26" s="4"/>
      <c r="AZD26" s="4"/>
      <c r="AZE26" s="4"/>
      <c r="AZF26" s="4"/>
      <c r="AZG26" s="4"/>
      <c r="AZH26" s="4"/>
      <c r="AZI26" s="4"/>
      <c r="AZJ26" s="4"/>
      <c r="AZK26" s="4"/>
      <c r="AZL26" s="4"/>
      <c r="AZM26" s="4"/>
      <c r="AZN26" s="4"/>
      <c r="AZO26" s="4"/>
      <c r="AZP26" s="4"/>
      <c r="AZQ26" s="4"/>
      <c r="AZR26" s="4"/>
      <c r="AZS26" s="4"/>
      <c r="AZT26" s="4"/>
      <c r="AZU26" s="4"/>
      <c r="AZV26" s="4"/>
      <c r="AZW26" s="4"/>
      <c r="AZX26" s="4"/>
      <c r="AZY26" s="4"/>
      <c r="AZZ26" s="4"/>
      <c r="BAA26" s="4"/>
      <c r="BAB26" s="4"/>
      <c r="BAC26" s="4"/>
      <c r="BAD26" s="4"/>
      <c r="BAE26" s="4"/>
      <c r="BAF26" s="4"/>
      <c r="BAG26" s="4"/>
      <c r="BAH26" s="4"/>
      <c r="BAI26" s="4"/>
      <c r="BAJ26" s="4"/>
      <c r="BAK26" s="4"/>
      <c r="BAL26" s="4"/>
      <c r="BAM26" s="4"/>
      <c r="BAN26" s="4"/>
      <c r="BAO26" s="4"/>
      <c r="BAP26" s="4"/>
      <c r="BAQ26" s="4"/>
      <c r="BAR26" s="4"/>
      <c r="BAS26" s="4"/>
      <c r="BAT26" s="4"/>
      <c r="BAU26" s="4"/>
      <c r="BAV26" s="4"/>
      <c r="BAW26" s="4"/>
      <c r="BAX26" s="4"/>
      <c r="BAY26" s="4"/>
      <c r="BAZ26" s="4"/>
      <c r="BBA26" s="4"/>
      <c r="BBB26" s="4"/>
      <c r="BBC26" s="4"/>
      <c r="BBD26" s="4"/>
      <c r="BBE26" s="4"/>
      <c r="BBF26" s="4"/>
      <c r="BBG26" s="4"/>
      <c r="BBH26" s="4"/>
      <c r="BBI26" s="4"/>
      <c r="BBJ26" s="4"/>
      <c r="BBK26" s="4"/>
      <c r="BBL26" s="4"/>
      <c r="BBM26" s="4"/>
      <c r="BBN26" s="4"/>
      <c r="BBO26" s="4"/>
      <c r="BBP26" s="4"/>
      <c r="BBQ26" s="4"/>
      <c r="BBR26" s="4"/>
      <c r="BBS26" s="4"/>
      <c r="BBT26" s="4"/>
      <c r="BBU26" s="4"/>
      <c r="BBV26" s="4"/>
      <c r="BBW26" s="4"/>
      <c r="BBX26" s="4"/>
      <c r="BBY26" s="4"/>
      <c r="BBZ26" s="4"/>
      <c r="BCA26" s="4"/>
      <c r="BCB26" s="4"/>
      <c r="BCC26" s="4"/>
      <c r="BCD26" s="4"/>
      <c r="BCE26" s="4"/>
      <c r="BCF26" s="4"/>
      <c r="BCG26" s="4"/>
      <c r="BCH26" s="4"/>
      <c r="BCI26" s="4"/>
      <c r="BCJ26" s="4"/>
      <c r="BCK26" s="4"/>
      <c r="BCL26" s="4"/>
      <c r="BCM26" s="4"/>
      <c r="BCN26" s="4"/>
      <c r="BCO26" s="4"/>
      <c r="BCP26" s="4"/>
      <c r="BCQ26" s="4"/>
      <c r="BCR26" s="4"/>
      <c r="BCS26" s="4"/>
      <c r="BCT26" s="4"/>
      <c r="BCU26" s="4"/>
      <c r="BCV26" s="4"/>
      <c r="BCW26" s="4"/>
      <c r="BCX26" s="4"/>
      <c r="BCY26" s="4"/>
      <c r="BCZ26" s="4"/>
      <c r="BDA26" s="4"/>
      <c r="BDB26" s="4"/>
      <c r="BDC26" s="4"/>
      <c r="BDD26" s="4"/>
      <c r="BDE26" s="4"/>
      <c r="BDF26" s="4"/>
      <c r="BDG26" s="4"/>
      <c r="BDH26" s="4"/>
      <c r="BDI26" s="4"/>
      <c r="BDJ26" s="4"/>
      <c r="BDK26" s="4"/>
      <c r="BDL26" s="4"/>
      <c r="BDM26" s="4"/>
      <c r="BDN26" s="4"/>
      <c r="BDO26" s="4"/>
      <c r="BDP26" s="4"/>
      <c r="BDQ26" s="4"/>
      <c r="BDR26" s="4"/>
      <c r="BDS26" s="4"/>
      <c r="BDT26" s="4"/>
      <c r="BDU26" s="4"/>
      <c r="BDV26" s="4"/>
      <c r="BDW26" s="4"/>
      <c r="BDX26" s="4"/>
      <c r="BDY26" s="4"/>
      <c r="BDZ26" s="4"/>
      <c r="BEA26" s="4"/>
      <c r="BEB26" s="4"/>
      <c r="BEC26" s="4"/>
      <c r="BED26" s="4"/>
      <c r="BEE26" s="4"/>
      <c r="BEF26" s="4"/>
      <c r="BEG26" s="4"/>
      <c r="BEH26" s="4"/>
      <c r="BEI26" s="4"/>
      <c r="BEJ26" s="4"/>
      <c r="BEK26" s="4"/>
      <c r="BEL26" s="4"/>
      <c r="BEM26" s="4"/>
      <c r="BEN26" s="4"/>
      <c r="BEO26" s="4"/>
      <c r="BEP26" s="4"/>
      <c r="BEQ26" s="4"/>
      <c r="BER26" s="4"/>
      <c r="BES26" s="4"/>
      <c r="BET26" s="4"/>
      <c r="BEU26" s="4"/>
      <c r="BEV26" s="4"/>
      <c r="BEW26" s="4"/>
      <c r="BEX26" s="4"/>
      <c r="BEY26" s="4"/>
      <c r="BEZ26" s="4"/>
      <c r="BFA26" s="4"/>
      <c r="BFB26" s="4"/>
      <c r="BFC26" s="4"/>
      <c r="BFD26" s="4"/>
      <c r="BFE26" s="4"/>
      <c r="BFF26" s="4"/>
      <c r="BFG26" s="4"/>
      <c r="BFH26" s="4"/>
      <c r="BFI26" s="4"/>
      <c r="BFJ26" s="4"/>
      <c r="BFK26" s="4"/>
      <c r="BFL26" s="4"/>
      <c r="BFM26" s="4"/>
      <c r="BFN26" s="4"/>
      <c r="BFO26" s="4"/>
      <c r="BFP26" s="4"/>
      <c r="BFQ26" s="4"/>
      <c r="BFR26" s="4"/>
      <c r="BFS26" s="4"/>
      <c r="BFT26" s="4"/>
      <c r="BFU26" s="4"/>
      <c r="BFV26" s="4"/>
      <c r="BFW26" s="4"/>
      <c r="BFX26" s="4"/>
      <c r="BFY26" s="4"/>
      <c r="BFZ26" s="4"/>
      <c r="BGA26" s="4"/>
      <c r="BGB26" s="4"/>
      <c r="BGC26" s="4"/>
      <c r="BGD26" s="4"/>
      <c r="BGE26" s="4"/>
      <c r="BGF26" s="4"/>
      <c r="BGG26" s="4"/>
      <c r="BGH26" s="4"/>
      <c r="BGI26" s="4"/>
      <c r="BGJ26" s="4"/>
      <c r="BGK26" s="4"/>
      <c r="BGL26" s="4"/>
      <c r="BGM26" s="4"/>
      <c r="BGN26" s="4"/>
      <c r="BGO26" s="4"/>
      <c r="BGP26" s="4"/>
      <c r="BGQ26" s="4"/>
      <c r="BGR26" s="4"/>
      <c r="BGS26" s="4"/>
      <c r="BGT26" s="4"/>
      <c r="BGU26" s="4"/>
      <c r="BGV26" s="4"/>
      <c r="BGW26" s="4"/>
      <c r="BGX26" s="4"/>
      <c r="BGY26" s="4"/>
      <c r="BGZ26" s="4"/>
      <c r="BHA26" s="4"/>
      <c r="BHB26" s="4"/>
      <c r="BHC26" s="4"/>
      <c r="BHD26" s="4"/>
      <c r="BHE26" s="4"/>
      <c r="BHF26" s="4"/>
      <c r="BHG26" s="4"/>
      <c r="BHH26" s="4"/>
      <c r="BHI26" s="4"/>
      <c r="BHJ26" s="4"/>
      <c r="BHK26" s="4"/>
      <c r="BHL26" s="4"/>
      <c r="BHM26" s="4"/>
      <c r="BHN26" s="4"/>
      <c r="BHO26" s="4"/>
      <c r="BHP26" s="4"/>
      <c r="BHQ26" s="4"/>
      <c r="BHR26" s="4"/>
      <c r="BHS26" s="4"/>
      <c r="BHT26" s="4"/>
      <c r="BHU26" s="4"/>
      <c r="BHV26" s="4"/>
      <c r="BHW26" s="4"/>
      <c r="BHX26" s="4"/>
      <c r="BHY26" s="4"/>
      <c r="BHZ26" s="4"/>
      <c r="BIA26" s="4"/>
      <c r="BIB26" s="4"/>
      <c r="BIC26" s="4"/>
      <c r="BID26" s="4"/>
      <c r="BIE26" s="4"/>
      <c r="BIF26" s="4"/>
      <c r="BIG26" s="4"/>
      <c r="BIH26" s="4"/>
      <c r="BII26" s="4"/>
      <c r="BIJ26" s="4"/>
      <c r="BIK26" s="4"/>
      <c r="BIL26" s="4"/>
      <c r="BIM26" s="4"/>
      <c r="BIN26" s="4"/>
      <c r="BIO26" s="4"/>
      <c r="BIP26" s="4"/>
      <c r="BIQ26" s="4"/>
      <c r="BIR26" s="4"/>
      <c r="BIS26" s="4"/>
      <c r="BIT26" s="4"/>
      <c r="BIU26" s="4"/>
      <c r="BIV26" s="4"/>
      <c r="BIW26" s="4"/>
      <c r="BIX26" s="4"/>
      <c r="BIY26" s="4"/>
      <c r="BIZ26" s="4"/>
      <c r="BJA26" s="4"/>
      <c r="BJB26" s="4"/>
      <c r="BJC26" s="4"/>
      <c r="BJD26" s="4"/>
      <c r="BJE26" s="4"/>
      <c r="BJF26" s="4"/>
      <c r="BJG26" s="4"/>
      <c r="BJH26" s="4"/>
      <c r="BJI26" s="4"/>
      <c r="BJJ26" s="4"/>
      <c r="BJK26" s="4"/>
      <c r="BJL26" s="4"/>
      <c r="BJM26" s="4"/>
      <c r="BJN26" s="4"/>
      <c r="BJO26" s="4"/>
      <c r="BJP26" s="4"/>
      <c r="BJQ26" s="4"/>
      <c r="BJR26" s="4"/>
      <c r="BJS26" s="4"/>
      <c r="BJT26" s="4"/>
      <c r="BJU26" s="4"/>
      <c r="BJV26" s="4"/>
      <c r="BJW26" s="4"/>
      <c r="BJX26" s="4"/>
      <c r="BJY26" s="4"/>
      <c r="BJZ26" s="4"/>
      <c r="BKA26" s="4"/>
      <c r="BKB26" s="4"/>
      <c r="BKC26" s="4"/>
      <c r="BKD26" s="4"/>
      <c r="BKE26" s="4"/>
      <c r="BKF26" s="4"/>
      <c r="BKG26" s="4"/>
      <c r="BKH26" s="4"/>
      <c r="BKI26" s="4"/>
      <c r="BKJ26" s="4"/>
      <c r="BKK26" s="4"/>
      <c r="BKL26" s="4"/>
      <c r="BKM26" s="4"/>
      <c r="BKN26" s="4"/>
      <c r="BKO26" s="4"/>
      <c r="BKP26" s="4"/>
      <c r="BKQ26" s="4"/>
      <c r="BKR26" s="4"/>
      <c r="BKS26" s="4"/>
      <c r="BKT26" s="4"/>
      <c r="BKU26" s="4"/>
      <c r="BKV26" s="4"/>
      <c r="BKW26" s="4"/>
      <c r="BKX26" s="4"/>
      <c r="BKY26" s="4"/>
      <c r="BKZ26" s="4"/>
      <c r="BLA26" s="4"/>
      <c r="BLB26" s="4"/>
      <c r="BLC26" s="4"/>
      <c r="BLD26" s="4"/>
      <c r="BLE26" s="4"/>
      <c r="BLF26" s="4"/>
      <c r="BLG26" s="4"/>
      <c r="BLH26" s="4"/>
      <c r="BLI26" s="4"/>
      <c r="BLJ26" s="4"/>
      <c r="BLK26" s="4"/>
      <c r="BLL26" s="4"/>
      <c r="BLM26" s="4"/>
      <c r="BLN26" s="4"/>
      <c r="BLO26" s="4"/>
      <c r="BLP26" s="4"/>
      <c r="BLQ26" s="4"/>
      <c r="BLR26" s="4"/>
      <c r="BLS26" s="4"/>
      <c r="BLT26" s="4"/>
      <c r="BLU26" s="4"/>
      <c r="BLV26" s="4"/>
      <c r="BLW26" s="4"/>
      <c r="BLX26" s="4"/>
      <c r="BLY26" s="4"/>
      <c r="BLZ26" s="4"/>
      <c r="BMA26" s="4"/>
      <c r="BMB26" s="4"/>
      <c r="BMC26" s="4"/>
      <c r="BMD26" s="4"/>
      <c r="BME26" s="4"/>
      <c r="BMF26" s="4"/>
      <c r="BMG26" s="4"/>
      <c r="BMH26" s="4"/>
      <c r="BMI26" s="4"/>
      <c r="BMJ26" s="4"/>
      <c r="BMK26" s="4"/>
      <c r="BML26" s="4"/>
      <c r="BMM26" s="4"/>
      <c r="BMN26" s="4"/>
      <c r="BMO26" s="4"/>
      <c r="BMP26" s="4"/>
      <c r="BMQ26" s="4"/>
      <c r="BMR26" s="4"/>
      <c r="BMS26" s="4"/>
      <c r="BMT26" s="4"/>
      <c r="BMU26" s="4"/>
      <c r="BMV26" s="4"/>
      <c r="BMW26" s="4"/>
      <c r="BMX26" s="4"/>
      <c r="BMY26" s="4"/>
      <c r="BMZ26" s="4"/>
      <c r="BNA26" s="4"/>
      <c r="BNB26" s="4"/>
      <c r="BNC26" s="4"/>
      <c r="BND26" s="4"/>
      <c r="BNE26" s="4"/>
      <c r="BNF26" s="4"/>
      <c r="BNG26" s="4"/>
      <c r="BNH26" s="4"/>
      <c r="BNI26" s="4"/>
      <c r="BNJ26" s="4"/>
      <c r="BNK26" s="4"/>
      <c r="BNL26" s="4"/>
      <c r="BNM26" s="4"/>
      <c r="BNN26" s="4"/>
      <c r="BNO26" s="4"/>
      <c r="BNP26" s="4"/>
      <c r="BNQ26" s="4"/>
      <c r="BNR26" s="4"/>
      <c r="BNS26" s="4"/>
      <c r="BNT26" s="4"/>
      <c r="BNU26" s="4"/>
      <c r="BNV26" s="4"/>
      <c r="BNW26" s="4"/>
      <c r="BNX26" s="4"/>
      <c r="BNY26" s="4"/>
      <c r="BNZ26" s="4"/>
      <c r="BOA26" s="4"/>
      <c r="BOB26" s="4"/>
      <c r="BOC26" s="4"/>
      <c r="BOD26" s="4"/>
      <c r="BOE26" s="4"/>
      <c r="BOF26" s="4"/>
      <c r="BOG26" s="4"/>
      <c r="BOH26" s="4"/>
      <c r="BOI26" s="4"/>
      <c r="BOJ26" s="4"/>
      <c r="BOK26" s="4"/>
      <c r="BOL26" s="4"/>
      <c r="BOM26" s="4"/>
      <c r="BON26" s="4"/>
      <c r="BOO26" s="4"/>
      <c r="BOP26" s="4"/>
      <c r="BOQ26" s="4"/>
      <c r="BOR26" s="4"/>
      <c r="BOS26" s="4"/>
      <c r="BOT26" s="4"/>
      <c r="BOU26" s="4"/>
      <c r="BOV26" s="4"/>
      <c r="BOW26" s="4"/>
      <c r="BOX26" s="4"/>
      <c r="BOY26" s="4"/>
      <c r="BOZ26" s="4"/>
      <c r="BPA26" s="66"/>
    </row>
    <row r="27" s="6" customFormat="1" ht="60" customHeight="1" spans="1:1024 1025:1769">
      <c r="A27" s="47" t="s">
        <v>96</v>
      </c>
      <c r="B27" s="48" t="s">
        <v>1303</v>
      </c>
      <c r="C27" s="48" t="s">
        <v>1304</v>
      </c>
      <c r="D27" s="49" t="s">
        <v>1305</v>
      </c>
      <c r="E27" s="56"/>
      <c r="F27" s="51">
        <v>46175</v>
      </c>
      <c r="G27" s="58" t="s">
        <v>8</v>
      </c>
      <c r="H27" s="56" t="s">
        <v>1288</v>
      </c>
      <c r="I27" s="5" t="s">
        <v>1306</v>
      </c>
      <c r="J27" s="5" t="s">
        <v>1254</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c r="AGK27" s="4"/>
      <c r="AGL27" s="4"/>
      <c r="AGM27" s="4"/>
      <c r="AGN27" s="4"/>
      <c r="AGO27" s="4"/>
      <c r="AGP27" s="4"/>
      <c r="AGQ27" s="4"/>
      <c r="AGR27" s="4"/>
      <c r="AGS27" s="4"/>
      <c r="AGT27" s="4"/>
      <c r="AGU27" s="4"/>
      <c r="AGV27" s="4"/>
      <c r="AGW27" s="4"/>
      <c r="AGX27" s="4"/>
      <c r="AGY27" s="4"/>
      <c r="AGZ27" s="4"/>
      <c r="AHA27" s="4"/>
      <c r="AHB27" s="4"/>
      <c r="AHC27" s="4"/>
      <c r="AHD27" s="4"/>
      <c r="AHE27" s="4"/>
      <c r="AHF27" s="4"/>
      <c r="AHG27" s="4"/>
      <c r="AHH27" s="4"/>
      <c r="AHI27" s="4"/>
      <c r="AHJ27" s="4"/>
      <c r="AHK27" s="4"/>
      <c r="AHL27" s="4"/>
      <c r="AHM27" s="4"/>
      <c r="AHN27" s="4"/>
      <c r="AHO27" s="4"/>
      <c r="AHP27" s="4"/>
      <c r="AHQ27" s="4"/>
      <c r="AHR27" s="4"/>
      <c r="AHS27" s="4"/>
      <c r="AHT27" s="4"/>
      <c r="AHU27" s="4"/>
      <c r="AHV27" s="4"/>
      <c r="AHW27" s="4"/>
      <c r="AHX27" s="4"/>
      <c r="AHY27" s="4"/>
      <c r="AHZ27" s="4"/>
      <c r="AIA27" s="4"/>
      <c r="AIB27" s="4"/>
      <c r="AIC27" s="4"/>
      <c r="AID27" s="4"/>
      <c r="AIE27" s="4"/>
      <c r="AIF27" s="4"/>
      <c r="AIG27" s="4"/>
      <c r="AIH27" s="4"/>
      <c r="AII27" s="4"/>
      <c r="AIJ27" s="4"/>
      <c r="AIK27" s="4"/>
      <c r="AIL27" s="4"/>
      <c r="AIM27" s="4"/>
      <c r="AIN27" s="4"/>
      <c r="AIO27" s="4"/>
      <c r="AIP27" s="4"/>
      <c r="AIQ27" s="4"/>
      <c r="AIR27" s="4"/>
      <c r="AIS27" s="4"/>
      <c r="AIT27" s="4"/>
      <c r="AIU27" s="4"/>
      <c r="AIV27" s="4"/>
      <c r="AIW27" s="4"/>
      <c r="AIX27" s="4"/>
      <c r="AIY27" s="4"/>
      <c r="AIZ27" s="4"/>
      <c r="AJA27" s="4"/>
      <c r="AJB27" s="4"/>
      <c r="AJC27" s="4"/>
      <c r="AJD27" s="4"/>
      <c r="AJE27" s="4"/>
      <c r="AJF27" s="4"/>
      <c r="AJG27" s="4"/>
      <c r="AJH27" s="4"/>
      <c r="AJI27" s="4"/>
      <c r="AJJ27" s="4"/>
      <c r="AJK27" s="4"/>
      <c r="AJL27" s="4"/>
      <c r="AJM27" s="4"/>
      <c r="AJN27" s="4"/>
      <c r="AJO27" s="4"/>
      <c r="AJP27" s="4"/>
      <c r="AJQ27" s="4"/>
      <c r="AJR27" s="4"/>
      <c r="AJS27" s="4"/>
      <c r="AJT27" s="4"/>
      <c r="AJU27" s="4"/>
      <c r="AJV27" s="4"/>
      <c r="AJW27" s="4"/>
      <c r="AJX27" s="4"/>
      <c r="AJY27" s="4"/>
      <c r="AJZ27" s="4"/>
      <c r="AKA27" s="4"/>
      <c r="AKB27" s="4"/>
      <c r="AKC27" s="4"/>
      <c r="AKD27" s="4"/>
      <c r="AKE27" s="4"/>
      <c r="AKF27" s="4"/>
      <c r="AKG27" s="4"/>
      <c r="AKH27" s="4"/>
      <c r="AKI27" s="4"/>
      <c r="AKJ27" s="4"/>
      <c r="AKK27" s="4"/>
      <c r="AKL27" s="4"/>
      <c r="AKM27" s="4"/>
      <c r="AKN27" s="4"/>
      <c r="AKO27" s="4"/>
      <c r="AKP27" s="4"/>
      <c r="AKQ27" s="4"/>
      <c r="AKR27" s="4"/>
      <c r="AKS27" s="4"/>
      <c r="AKT27" s="4"/>
      <c r="AKU27" s="4"/>
      <c r="AKV27" s="4"/>
      <c r="AKW27" s="4"/>
      <c r="AKX27" s="4"/>
      <c r="AKY27" s="4"/>
      <c r="AKZ27" s="4"/>
      <c r="ALA27" s="4"/>
      <c r="ALB27" s="4"/>
      <c r="ALC27" s="4"/>
      <c r="ALD27" s="4"/>
      <c r="ALE27" s="4"/>
      <c r="ALF27" s="4"/>
      <c r="ALG27" s="4"/>
      <c r="ALH27" s="4"/>
      <c r="ALI27" s="4"/>
      <c r="ALJ27" s="4"/>
      <c r="ALK27" s="4"/>
      <c r="ALL27" s="4"/>
      <c r="ALM27" s="4"/>
      <c r="ALN27" s="4"/>
      <c r="ALO27" s="4"/>
      <c r="ALP27" s="4"/>
      <c r="ALQ27" s="4"/>
      <c r="ALR27" s="4"/>
      <c r="ALS27" s="4"/>
      <c r="ALT27" s="4"/>
      <c r="ALU27" s="4"/>
      <c r="ALV27" s="4"/>
      <c r="ALW27" s="4"/>
      <c r="ALX27" s="4"/>
      <c r="ALY27" s="4"/>
      <c r="ALZ27" s="4"/>
      <c r="AMA27" s="4"/>
      <c r="AMB27" s="4"/>
      <c r="AMC27" s="4"/>
      <c r="AMD27" s="4"/>
      <c r="AME27" s="4"/>
      <c r="AMF27" s="4"/>
      <c r="AMG27" s="4"/>
      <c r="AMH27" s="4"/>
      <c r="AMI27" s="4"/>
      <c r="AMJ27" s="4"/>
      <c r="AMK27" s="4"/>
      <c r="AML27" s="4"/>
      <c r="AMM27" s="4"/>
      <c r="AMN27" s="4"/>
      <c r="AMO27" s="4"/>
      <c r="AMP27" s="4"/>
      <c r="AMQ27" s="4"/>
      <c r="AMR27" s="4"/>
      <c r="AMS27" s="4"/>
      <c r="AMT27" s="4"/>
      <c r="AMU27" s="4"/>
      <c r="AMV27" s="4"/>
      <c r="AMW27" s="4"/>
      <c r="AMX27" s="4"/>
      <c r="AMY27" s="4"/>
      <c r="AMZ27" s="4"/>
      <c r="ANA27" s="4"/>
      <c r="ANB27" s="4"/>
      <c r="ANC27" s="4"/>
      <c r="AND27" s="4"/>
      <c r="ANE27" s="4"/>
      <c r="ANF27" s="4"/>
      <c r="ANG27" s="4"/>
      <c r="ANH27" s="4"/>
      <c r="ANI27" s="4"/>
      <c r="ANJ27" s="4"/>
      <c r="ANK27" s="4"/>
      <c r="ANL27" s="4"/>
      <c r="ANM27" s="4"/>
      <c r="ANN27" s="4"/>
      <c r="ANO27" s="4"/>
      <c r="ANP27" s="4"/>
      <c r="ANQ27" s="4"/>
      <c r="ANR27" s="4"/>
      <c r="ANS27" s="4"/>
      <c r="ANT27" s="4"/>
      <c r="ANU27" s="4"/>
      <c r="ANV27" s="4"/>
      <c r="ANW27" s="4"/>
      <c r="ANX27" s="4"/>
      <c r="ANY27" s="4"/>
      <c r="ANZ27" s="4"/>
      <c r="AOA27" s="4"/>
      <c r="AOB27" s="4"/>
      <c r="AOC27" s="4"/>
      <c r="AOD27" s="4"/>
      <c r="AOE27" s="4"/>
      <c r="AOF27" s="4"/>
      <c r="AOG27" s="4"/>
      <c r="AOH27" s="4"/>
      <c r="AOI27" s="4"/>
      <c r="AOJ27" s="4"/>
      <c r="AOK27" s="4"/>
      <c r="AOL27" s="4"/>
      <c r="AOM27" s="4"/>
      <c r="AON27" s="4"/>
      <c r="AOO27" s="4"/>
      <c r="AOP27" s="4"/>
      <c r="AOQ27" s="4"/>
      <c r="AOR27" s="4"/>
      <c r="AOS27" s="4"/>
      <c r="AOT27" s="4"/>
      <c r="AOU27" s="4"/>
      <c r="AOV27" s="4"/>
      <c r="AOW27" s="4"/>
      <c r="AOX27" s="4"/>
      <c r="AOY27" s="4"/>
      <c r="AOZ27" s="4"/>
      <c r="APA27" s="4"/>
      <c r="APB27" s="4"/>
      <c r="APC27" s="4"/>
      <c r="APD27" s="4"/>
      <c r="APE27" s="4"/>
      <c r="APF27" s="4"/>
      <c r="APG27" s="4"/>
      <c r="APH27" s="4"/>
      <c r="API27" s="4"/>
      <c r="APJ27" s="4"/>
      <c r="APK27" s="4"/>
      <c r="APL27" s="4"/>
      <c r="APM27" s="4"/>
      <c r="APN27" s="4"/>
      <c r="APO27" s="4"/>
      <c r="APP27" s="4"/>
      <c r="APQ27" s="4"/>
      <c r="APR27" s="4"/>
      <c r="APS27" s="4"/>
      <c r="APT27" s="4"/>
      <c r="APU27" s="4"/>
      <c r="APV27" s="4"/>
      <c r="APW27" s="4"/>
      <c r="APX27" s="4"/>
      <c r="APY27" s="4"/>
      <c r="APZ27" s="4"/>
      <c r="AQA27" s="4"/>
      <c r="AQB27" s="4"/>
      <c r="AQC27" s="4"/>
      <c r="AQD27" s="4"/>
      <c r="AQE27" s="4"/>
      <c r="AQF27" s="4"/>
      <c r="AQG27" s="4"/>
      <c r="AQH27" s="4"/>
      <c r="AQI27" s="4"/>
      <c r="AQJ27" s="4"/>
      <c r="AQK27" s="4"/>
      <c r="AQL27" s="4"/>
      <c r="AQM27" s="4"/>
      <c r="AQN27" s="4"/>
      <c r="AQO27" s="4"/>
      <c r="AQP27" s="4"/>
      <c r="AQQ27" s="4"/>
      <c r="AQR27" s="4"/>
      <c r="AQS27" s="4"/>
      <c r="AQT27" s="4"/>
      <c r="AQU27" s="4"/>
      <c r="AQV27" s="4"/>
      <c r="AQW27" s="4"/>
      <c r="AQX27" s="4"/>
      <c r="AQY27" s="4"/>
      <c r="AQZ27" s="4"/>
      <c r="ARA27" s="4"/>
      <c r="ARB27" s="4"/>
      <c r="ARC27" s="4"/>
      <c r="ARD27" s="4"/>
      <c r="ARE27" s="4"/>
      <c r="ARF27" s="4"/>
      <c r="ARG27" s="4"/>
      <c r="ARH27" s="4"/>
      <c r="ARI27" s="4"/>
      <c r="ARJ27" s="4"/>
      <c r="ARK27" s="4"/>
      <c r="ARL27" s="4"/>
      <c r="ARM27" s="4"/>
      <c r="ARN27" s="4"/>
      <c r="ARO27" s="4"/>
      <c r="ARP27" s="4"/>
      <c r="ARQ27" s="4"/>
      <c r="ARR27" s="4"/>
      <c r="ARS27" s="4"/>
      <c r="ART27" s="4"/>
      <c r="ARU27" s="4"/>
      <c r="ARV27" s="4"/>
      <c r="ARW27" s="4"/>
      <c r="ARX27" s="4"/>
      <c r="ARY27" s="4"/>
      <c r="ARZ27" s="4"/>
      <c r="ASA27" s="4"/>
      <c r="ASB27" s="4"/>
      <c r="ASC27" s="4"/>
      <c r="ASD27" s="4"/>
      <c r="ASE27" s="4"/>
      <c r="ASF27" s="4"/>
      <c r="ASG27" s="4"/>
      <c r="ASH27" s="4"/>
      <c r="ASI27" s="4"/>
      <c r="ASJ27" s="4"/>
      <c r="ASK27" s="4"/>
      <c r="ASL27" s="4"/>
      <c r="ASM27" s="4"/>
      <c r="ASN27" s="4"/>
      <c r="ASO27" s="4"/>
      <c r="ASP27" s="4"/>
      <c r="ASQ27" s="4"/>
      <c r="ASR27" s="4"/>
      <c r="ASS27" s="4"/>
      <c r="AST27" s="4"/>
      <c r="ASU27" s="4"/>
      <c r="ASV27" s="4"/>
      <c r="ASW27" s="4"/>
      <c r="ASX27" s="4"/>
      <c r="ASY27" s="4"/>
      <c r="ASZ27" s="4"/>
      <c r="ATA27" s="4"/>
      <c r="ATB27" s="4"/>
      <c r="ATC27" s="4"/>
      <c r="ATD27" s="4"/>
      <c r="ATE27" s="4"/>
      <c r="ATF27" s="4"/>
      <c r="ATG27" s="4"/>
      <c r="ATH27" s="4"/>
      <c r="ATI27" s="4"/>
      <c r="ATJ27" s="4"/>
      <c r="ATK27" s="4"/>
      <c r="ATL27" s="4"/>
      <c r="ATM27" s="4"/>
      <c r="ATN27" s="4"/>
      <c r="ATO27" s="4"/>
      <c r="ATP27" s="4"/>
      <c r="ATQ27" s="4"/>
      <c r="ATR27" s="4"/>
      <c r="ATS27" s="4"/>
      <c r="ATT27" s="4"/>
      <c r="ATU27" s="4"/>
      <c r="ATV27" s="4"/>
      <c r="ATW27" s="4"/>
      <c r="ATX27" s="4"/>
      <c r="ATY27" s="4"/>
      <c r="ATZ27" s="4"/>
      <c r="AUA27" s="4"/>
      <c r="AUB27" s="4"/>
      <c r="AUC27" s="4"/>
      <c r="AUD27" s="4"/>
      <c r="AUE27" s="4"/>
      <c r="AUF27" s="4"/>
      <c r="AUG27" s="4"/>
      <c r="AUH27" s="4"/>
      <c r="AUI27" s="4"/>
      <c r="AUJ27" s="4"/>
      <c r="AUK27" s="4"/>
      <c r="AUL27" s="4"/>
      <c r="AUM27" s="4"/>
      <c r="AUN27" s="4"/>
      <c r="AUO27" s="4"/>
      <c r="AUP27" s="4"/>
      <c r="AUQ27" s="4"/>
      <c r="AUR27" s="4"/>
      <c r="AUS27" s="4"/>
      <c r="AUT27" s="4"/>
      <c r="AUU27" s="4"/>
      <c r="AUV27" s="4"/>
      <c r="AUW27" s="4"/>
      <c r="AUX27" s="4"/>
      <c r="AUY27" s="4"/>
      <c r="AUZ27" s="4"/>
      <c r="AVA27" s="4"/>
      <c r="AVB27" s="4"/>
      <c r="AVC27" s="4"/>
      <c r="AVD27" s="4"/>
      <c r="AVE27" s="4"/>
      <c r="AVF27" s="4"/>
      <c r="AVG27" s="4"/>
      <c r="AVH27" s="4"/>
      <c r="AVI27" s="4"/>
      <c r="AVJ27" s="4"/>
      <c r="AVK27" s="4"/>
      <c r="AVL27" s="4"/>
      <c r="AVM27" s="4"/>
      <c r="AVN27" s="4"/>
      <c r="AVO27" s="4"/>
      <c r="AVP27" s="4"/>
      <c r="AVQ27" s="4"/>
      <c r="AVR27" s="4"/>
      <c r="AVS27" s="4"/>
      <c r="AVT27" s="4"/>
      <c r="AVU27" s="4"/>
      <c r="AVV27" s="4"/>
      <c r="AVW27" s="4"/>
      <c r="AVX27" s="4"/>
      <c r="AVY27" s="4"/>
      <c r="AVZ27" s="4"/>
      <c r="AWA27" s="4"/>
      <c r="AWB27" s="4"/>
      <c r="AWC27" s="4"/>
      <c r="AWD27" s="4"/>
      <c r="AWE27" s="4"/>
      <c r="AWF27" s="4"/>
      <c r="AWG27" s="4"/>
      <c r="AWH27" s="4"/>
      <c r="AWI27" s="4"/>
      <c r="AWJ27" s="4"/>
      <c r="AWK27" s="4"/>
      <c r="AWL27" s="4"/>
      <c r="AWM27" s="4"/>
      <c r="AWN27" s="4"/>
      <c r="AWO27" s="4"/>
      <c r="AWP27" s="4"/>
      <c r="AWQ27" s="4"/>
      <c r="AWR27" s="4"/>
      <c r="AWS27" s="4"/>
      <c r="AWT27" s="4"/>
      <c r="AWU27" s="4"/>
      <c r="AWV27" s="4"/>
      <c r="AWW27" s="4"/>
      <c r="AWX27" s="4"/>
      <c r="AWY27" s="4"/>
      <c r="AWZ27" s="4"/>
      <c r="AXA27" s="4"/>
      <c r="AXB27" s="4"/>
      <c r="AXC27" s="4"/>
      <c r="AXD27" s="4"/>
      <c r="AXE27" s="4"/>
      <c r="AXF27" s="4"/>
      <c r="AXG27" s="4"/>
      <c r="AXH27" s="4"/>
      <c r="AXI27" s="4"/>
      <c r="AXJ27" s="4"/>
      <c r="AXK27" s="4"/>
      <c r="AXL27" s="4"/>
      <c r="AXM27" s="4"/>
      <c r="AXN27" s="4"/>
      <c r="AXO27" s="4"/>
      <c r="AXP27" s="4"/>
      <c r="AXQ27" s="4"/>
      <c r="AXR27" s="4"/>
      <c r="AXS27" s="4"/>
      <c r="AXT27" s="4"/>
      <c r="AXU27" s="4"/>
      <c r="AXV27" s="4"/>
      <c r="AXW27" s="4"/>
      <c r="AXX27" s="4"/>
      <c r="AXY27" s="4"/>
      <c r="AXZ27" s="4"/>
      <c r="AYA27" s="4"/>
      <c r="AYB27" s="4"/>
      <c r="AYC27" s="4"/>
      <c r="AYD27" s="4"/>
      <c r="AYE27" s="4"/>
      <c r="AYF27" s="4"/>
      <c r="AYG27" s="4"/>
      <c r="AYH27" s="4"/>
      <c r="AYI27" s="4"/>
      <c r="AYJ27" s="4"/>
      <c r="AYK27" s="4"/>
      <c r="AYL27" s="4"/>
      <c r="AYM27" s="4"/>
      <c r="AYN27" s="4"/>
      <c r="AYO27" s="4"/>
      <c r="AYP27" s="4"/>
      <c r="AYQ27" s="4"/>
      <c r="AYR27" s="4"/>
      <c r="AYS27" s="4"/>
      <c r="AYT27" s="4"/>
      <c r="AYU27" s="4"/>
      <c r="AYV27" s="4"/>
      <c r="AYW27" s="4"/>
      <c r="AYX27" s="4"/>
      <c r="AYY27" s="4"/>
      <c r="AYZ27" s="4"/>
      <c r="AZA27" s="4"/>
      <c r="AZB27" s="4"/>
      <c r="AZC27" s="4"/>
      <c r="AZD27" s="4"/>
      <c r="AZE27" s="4"/>
      <c r="AZF27" s="4"/>
      <c r="AZG27" s="4"/>
      <c r="AZH27" s="4"/>
      <c r="AZI27" s="4"/>
      <c r="AZJ27" s="4"/>
      <c r="AZK27" s="4"/>
      <c r="AZL27" s="4"/>
      <c r="AZM27" s="4"/>
      <c r="AZN27" s="4"/>
      <c r="AZO27" s="4"/>
      <c r="AZP27" s="4"/>
      <c r="AZQ27" s="4"/>
      <c r="AZR27" s="4"/>
      <c r="AZS27" s="4"/>
      <c r="AZT27" s="4"/>
      <c r="AZU27" s="4"/>
      <c r="AZV27" s="4"/>
      <c r="AZW27" s="4"/>
      <c r="AZX27" s="4"/>
      <c r="AZY27" s="4"/>
      <c r="AZZ27" s="4"/>
      <c r="BAA27" s="4"/>
      <c r="BAB27" s="4"/>
      <c r="BAC27" s="4"/>
      <c r="BAD27" s="4"/>
      <c r="BAE27" s="4"/>
      <c r="BAF27" s="4"/>
      <c r="BAG27" s="4"/>
      <c r="BAH27" s="4"/>
      <c r="BAI27" s="4"/>
      <c r="BAJ27" s="4"/>
      <c r="BAK27" s="4"/>
      <c r="BAL27" s="4"/>
      <c r="BAM27" s="4"/>
      <c r="BAN27" s="4"/>
      <c r="BAO27" s="4"/>
      <c r="BAP27" s="4"/>
      <c r="BAQ27" s="4"/>
      <c r="BAR27" s="4"/>
      <c r="BAS27" s="4"/>
      <c r="BAT27" s="4"/>
      <c r="BAU27" s="4"/>
      <c r="BAV27" s="4"/>
      <c r="BAW27" s="4"/>
      <c r="BAX27" s="4"/>
      <c r="BAY27" s="4"/>
      <c r="BAZ27" s="4"/>
      <c r="BBA27" s="4"/>
      <c r="BBB27" s="4"/>
      <c r="BBC27" s="4"/>
      <c r="BBD27" s="4"/>
      <c r="BBE27" s="4"/>
      <c r="BBF27" s="4"/>
      <c r="BBG27" s="4"/>
      <c r="BBH27" s="4"/>
      <c r="BBI27" s="4"/>
      <c r="BBJ27" s="4"/>
      <c r="BBK27" s="4"/>
      <c r="BBL27" s="4"/>
      <c r="BBM27" s="4"/>
      <c r="BBN27" s="4"/>
      <c r="BBO27" s="4"/>
      <c r="BBP27" s="4"/>
      <c r="BBQ27" s="4"/>
      <c r="BBR27" s="4"/>
      <c r="BBS27" s="4"/>
      <c r="BBT27" s="4"/>
      <c r="BBU27" s="4"/>
      <c r="BBV27" s="4"/>
      <c r="BBW27" s="4"/>
      <c r="BBX27" s="4"/>
      <c r="BBY27" s="4"/>
      <c r="BBZ27" s="4"/>
      <c r="BCA27" s="4"/>
      <c r="BCB27" s="4"/>
      <c r="BCC27" s="4"/>
      <c r="BCD27" s="4"/>
      <c r="BCE27" s="4"/>
      <c r="BCF27" s="4"/>
      <c r="BCG27" s="4"/>
      <c r="BCH27" s="4"/>
      <c r="BCI27" s="4"/>
      <c r="BCJ27" s="4"/>
      <c r="BCK27" s="4"/>
      <c r="BCL27" s="4"/>
      <c r="BCM27" s="4"/>
      <c r="BCN27" s="4"/>
      <c r="BCO27" s="4"/>
      <c r="BCP27" s="4"/>
      <c r="BCQ27" s="4"/>
      <c r="BCR27" s="4"/>
      <c r="BCS27" s="4"/>
      <c r="BCT27" s="4"/>
      <c r="BCU27" s="4"/>
      <c r="BCV27" s="4"/>
      <c r="BCW27" s="4"/>
      <c r="BCX27" s="4"/>
      <c r="BCY27" s="4"/>
      <c r="BCZ27" s="4"/>
      <c r="BDA27" s="4"/>
      <c r="BDB27" s="4"/>
      <c r="BDC27" s="4"/>
      <c r="BDD27" s="4"/>
      <c r="BDE27" s="4"/>
      <c r="BDF27" s="4"/>
      <c r="BDG27" s="4"/>
      <c r="BDH27" s="4"/>
      <c r="BDI27" s="4"/>
      <c r="BDJ27" s="4"/>
      <c r="BDK27" s="4"/>
      <c r="BDL27" s="4"/>
      <c r="BDM27" s="4"/>
      <c r="BDN27" s="4"/>
      <c r="BDO27" s="4"/>
      <c r="BDP27" s="4"/>
      <c r="BDQ27" s="4"/>
      <c r="BDR27" s="4"/>
      <c r="BDS27" s="4"/>
      <c r="BDT27" s="4"/>
      <c r="BDU27" s="4"/>
      <c r="BDV27" s="4"/>
      <c r="BDW27" s="4"/>
      <c r="BDX27" s="4"/>
      <c r="BDY27" s="4"/>
      <c r="BDZ27" s="4"/>
      <c r="BEA27" s="4"/>
      <c r="BEB27" s="4"/>
      <c r="BEC27" s="4"/>
      <c r="BED27" s="4"/>
      <c r="BEE27" s="4"/>
      <c r="BEF27" s="4"/>
      <c r="BEG27" s="4"/>
      <c r="BEH27" s="4"/>
      <c r="BEI27" s="4"/>
      <c r="BEJ27" s="4"/>
      <c r="BEK27" s="4"/>
      <c r="BEL27" s="4"/>
      <c r="BEM27" s="4"/>
      <c r="BEN27" s="4"/>
      <c r="BEO27" s="4"/>
      <c r="BEP27" s="4"/>
      <c r="BEQ27" s="4"/>
      <c r="BER27" s="4"/>
      <c r="BES27" s="4"/>
      <c r="BET27" s="4"/>
      <c r="BEU27" s="4"/>
      <c r="BEV27" s="4"/>
      <c r="BEW27" s="4"/>
      <c r="BEX27" s="4"/>
      <c r="BEY27" s="4"/>
      <c r="BEZ27" s="4"/>
      <c r="BFA27" s="4"/>
      <c r="BFB27" s="4"/>
      <c r="BFC27" s="4"/>
      <c r="BFD27" s="4"/>
      <c r="BFE27" s="4"/>
      <c r="BFF27" s="4"/>
      <c r="BFG27" s="4"/>
      <c r="BFH27" s="4"/>
      <c r="BFI27" s="4"/>
      <c r="BFJ27" s="4"/>
      <c r="BFK27" s="4"/>
      <c r="BFL27" s="4"/>
      <c r="BFM27" s="4"/>
      <c r="BFN27" s="4"/>
      <c r="BFO27" s="4"/>
      <c r="BFP27" s="4"/>
      <c r="BFQ27" s="4"/>
      <c r="BFR27" s="4"/>
      <c r="BFS27" s="4"/>
      <c r="BFT27" s="4"/>
      <c r="BFU27" s="4"/>
      <c r="BFV27" s="4"/>
      <c r="BFW27" s="4"/>
      <c r="BFX27" s="4"/>
      <c r="BFY27" s="4"/>
      <c r="BFZ27" s="4"/>
      <c r="BGA27" s="4"/>
      <c r="BGB27" s="4"/>
      <c r="BGC27" s="4"/>
      <c r="BGD27" s="4"/>
      <c r="BGE27" s="4"/>
      <c r="BGF27" s="4"/>
      <c r="BGG27" s="4"/>
      <c r="BGH27" s="4"/>
      <c r="BGI27" s="4"/>
      <c r="BGJ27" s="4"/>
      <c r="BGK27" s="4"/>
      <c r="BGL27" s="4"/>
      <c r="BGM27" s="4"/>
      <c r="BGN27" s="4"/>
      <c r="BGO27" s="4"/>
      <c r="BGP27" s="4"/>
      <c r="BGQ27" s="4"/>
      <c r="BGR27" s="4"/>
      <c r="BGS27" s="4"/>
      <c r="BGT27" s="4"/>
      <c r="BGU27" s="4"/>
      <c r="BGV27" s="4"/>
      <c r="BGW27" s="4"/>
      <c r="BGX27" s="4"/>
      <c r="BGY27" s="4"/>
      <c r="BGZ27" s="4"/>
      <c r="BHA27" s="4"/>
      <c r="BHB27" s="4"/>
      <c r="BHC27" s="4"/>
      <c r="BHD27" s="4"/>
      <c r="BHE27" s="4"/>
      <c r="BHF27" s="4"/>
      <c r="BHG27" s="4"/>
      <c r="BHH27" s="4"/>
      <c r="BHI27" s="4"/>
      <c r="BHJ27" s="4"/>
      <c r="BHK27" s="4"/>
      <c r="BHL27" s="4"/>
      <c r="BHM27" s="4"/>
      <c r="BHN27" s="4"/>
      <c r="BHO27" s="4"/>
      <c r="BHP27" s="4"/>
      <c r="BHQ27" s="4"/>
      <c r="BHR27" s="4"/>
      <c r="BHS27" s="4"/>
      <c r="BHT27" s="4"/>
      <c r="BHU27" s="4"/>
      <c r="BHV27" s="4"/>
      <c r="BHW27" s="4"/>
      <c r="BHX27" s="4"/>
      <c r="BHY27" s="4"/>
      <c r="BHZ27" s="4"/>
      <c r="BIA27" s="4"/>
      <c r="BIB27" s="4"/>
      <c r="BIC27" s="4"/>
      <c r="BID27" s="4"/>
      <c r="BIE27" s="4"/>
      <c r="BIF27" s="4"/>
      <c r="BIG27" s="4"/>
      <c r="BIH27" s="4"/>
      <c r="BII27" s="4"/>
      <c r="BIJ27" s="4"/>
      <c r="BIK27" s="4"/>
      <c r="BIL27" s="4"/>
      <c r="BIM27" s="4"/>
      <c r="BIN27" s="4"/>
      <c r="BIO27" s="4"/>
      <c r="BIP27" s="4"/>
      <c r="BIQ27" s="4"/>
      <c r="BIR27" s="4"/>
      <c r="BIS27" s="4"/>
      <c r="BIT27" s="4"/>
      <c r="BIU27" s="4"/>
      <c r="BIV27" s="4"/>
      <c r="BIW27" s="4"/>
      <c r="BIX27" s="4"/>
      <c r="BIY27" s="4"/>
      <c r="BIZ27" s="4"/>
      <c r="BJA27" s="4"/>
      <c r="BJB27" s="4"/>
      <c r="BJC27" s="4"/>
      <c r="BJD27" s="4"/>
      <c r="BJE27" s="4"/>
      <c r="BJF27" s="4"/>
      <c r="BJG27" s="4"/>
      <c r="BJH27" s="4"/>
      <c r="BJI27" s="4"/>
      <c r="BJJ27" s="4"/>
      <c r="BJK27" s="4"/>
      <c r="BJL27" s="4"/>
      <c r="BJM27" s="4"/>
      <c r="BJN27" s="4"/>
      <c r="BJO27" s="4"/>
      <c r="BJP27" s="4"/>
      <c r="BJQ27" s="4"/>
      <c r="BJR27" s="4"/>
      <c r="BJS27" s="4"/>
      <c r="BJT27" s="4"/>
      <c r="BJU27" s="4"/>
      <c r="BJV27" s="4"/>
      <c r="BJW27" s="4"/>
      <c r="BJX27" s="4"/>
      <c r="BJY27" s="4"/>
      <c r="BJZ27" s="4"/>
      <c r="BKA27" s="4"/>
      <c r="BKB27" s="4"/>
      <c r="BKC27" s="4"/>
      <c r="BKD27" s="4"/>
      <c r="BKE27" s="4"/>
      <c r="BKF27" s="4"/>
      <c r="BKG27" s="4"/>
      <c r="BKH27" s="4"/>
      <c r="BKI27" s="4"/>
      <c r="BKJ27" s="4"/>
      <c r="BKK27" s="4"/>
      <c r="BKL27" s="4"/>
      <c r="BKM27" s="4"/>
      <c r="BKN27" s="4"/>
      <c r="BKO27" s="4"/>
      <c r="BKP27" s="4"/>
      <c r="BKQ27" s="4"/>
      <c r="BKR27" s="4"/>
      <c r="BKS27" s="4"/>
      <c r="BKT27" s="4"/>
      <c r="BKU27" s="4"/>
      <c r="BKV27" s="4"/>
      <c r="BKW27" s="4"/>
      <c r="BKX27" s="4"/>
      <c r="BKY27" s="4"/>
      <c r="BKZ27" s="4"/>
      <c r="BLA27" s="4"/>
      <c r="BLB27" s="4"/>
      <c r="BLC27" s="4"/>
      <c r="BLD27" s="4"/>
      <c r="BLE27" s="4"/>
      <c r="BLF27" s="4"/>
      <c r="BLG27" s="4"/>
      <c r="BLH27" s="4"/>
      <c r="BLI27" s="4"/>
      <c r="BLJ27" s="4"/>
      <c r="BLK27" s="4"/>
      <c r="BLL27" s="4"/>
      <c r="BLM27" s="4"/>
      <c r="BLN27" s="4"/>
      <c r="BLO27" s="4"/>
      <c r="BLP27" s="4"/>
      <c r="BLQ27" s="4"/>
      <c r="BLR27" s="4"/>
      <c r="BLS27" s="4"/>
      <c r="BLT27" s="4"/>
      <c r="BLU27" s="4"/>
      <c r="BLV27" s="4"/>
      <c r="BLW27" s="4"/>
      <c r="BLX27" s="4"/>
      <c r="BLY27" s="4"/>
      <c r="BLZ27" s="4"/>
      <c r="BMA27" s="4"/>
      <c r="BMB27" s="4"/>
      <c r="BMC27" s="4"/>
      <c r="BMD27" s="4"/>
      <c r="BME27" s="4"/>
      <c r="BMF27" s="4"/>
      <c r="BMG27" s="4"/>
      <c r="BMH27" s="4"/>
      <c r="BMI27" s="4"/>
      <c r="BMJ27" s="4"/>
      <c r="BMK27" s="4"/>
      <c r="BML27" s="4"/>
      <c r="BMM27" s="4"/>
      <c r="BMN27" s="4"/>
      <c r="BMO27" s="4"/>
      <c r="BMP27" s="4"/>
      <c r="BMQ27" s="4"/>
      <c r="BMR27" s="4"/>
      <c r="BMS27" s="4"/>
      <c r="BMT27" s="4"/>
      <c r="BMU27" s="4"/>
      <c r="BMV27" s="4"/>
      <c r="BMW27" s="4"/>
      <c r="BMX27" s="4"/>
      <c r="BMY27" s="4"/>
      <c r="BMZ27" s="4"/>
      <c r="BNA27" s="4"/>
      <c r="BNB27" s="4"/>
      <c r="BNC27" s="4"/>
      <c r="BND27" s="4"/>
      <c r="BNE27" s="4"/>
      <c r="BNF27" s="4"/>
      <c r="BNG27" s="4"/>
      <c r="BNH27" s="4"/>
      <c r="BNI27" s="4"/>
      <c r="BNJ27" s="4"/>
      <c r="BNK27" s="4"/>
      <c r="BNL27" s="4"/>
      <c r="BNM27" s="4"/>
      <c r="BNN27" s="4"/>
      <c r="BNO27" s="4"/>
      <c r="BNP27" s="4"/>
      <c r="BNQ27" s="4"/>
      <c r="BNR27" s="4"/>
      <c r="BNS27" s="4"/>
      <c r="BNT27" s="4"/>
      <c r="BNU27" s="4"/>
      <c r="BNV27" s="4"/>
      <c r="BNW27" s="4"/>
      <c r="BNX27" s="4"/>
      <c r="BNY27" s="4"/>
      <c r="BNZ27" s="4"/>
      <c r="BOA27" s="4"/>
      <c r="BOB27" s="4"/>
      <c r="BOC27" s="4"/>
      <c r="BOD27" s="4"/>
      <c r="BOE27" s="4"/>
      <c r="BOF27" s="4"/>
      <c r="BOG27" s="4"/>
      <c r="BOH27" s="4"/>
      <c r="BOI27" s="4"/>
      <c r="BOJ27" s="4"/>
      <c r="BOK27" s="4"/>
      <c r="BOL27" s="4"/>
      <c r="BOM27" s="4"/>
      <c r="BON27" s="4"/>
      <c r="BOO27" s="4"/>
      <c r="BOP27" s="4"/>
      <c r="BOQ27" s="4"/>
      <c r="BOR27" s="4"/>
      <c r="BOS27" s="4"/>
      <c r="BOT27" s="4"/>
      <c r="BOU27" s="4"/>
      <c r="BOV27" s="4"/>
      <c r="BOW27" s="4"/>
      <c r="BOX27" s="4"/>
      <c r="BOY27" s="4"/>
      <c r="BOZ27" s="4"/>
      <c r="BPA27" s="66"/>
    </row>
    <row r="28" s="6" customFormat="1" ht="60" customHeight="1" spans="1:1024 1025:1769">
      <c r="A28" s="47" t="s">
        <v>101</v>
      </c>
      <c r="B28" s="48" t="s">
        <v>1307</v>
      </c>
      <c r="C28" s="48" t="s">
        <v>1308</v>
      </c>
      <c r="D28" s="49" t="s">
        <v>1309</v>
      </c>
      <c r="E28" s="56"/>
      <c r="F28" s="51">
        <v>46175</v>
      </c>
      <c r="G28" s="57" t="s">
        <v>7</v>
      </c>
      <c r="H28" s="56"/>
      <c r="I28" s="5"/>
      <c r="J28" s="5" t="s">
        <v>1254</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c r="ADV28" s="4"/>
      <c r="ADW28" s="4"/>
      <c r="ADX28" s="4"/>
      <c r="ADY28" s="4"/>
      <c r="ADZ28" s="4"/>
      <c r="AEA28" s="4"/>
      <c r="AEB28" s="4"/>
      <c r="AEC28" s="4"/>
      <c r="AED28" s="4"/>
      <c r="AEE28" s="4"/>
      <c r="AEF28" s="4"/>
      <c r="AEG28" s="4"/>
      <c r="AEH28" s="4"/>
      <c r="AEI28" s="4"/>
      <c r="AEJ28" s="4"/>
      <c r="AEK28" s="4"/>
      <c r="AEL28" s="4"/>
      <c r="AEM28" s="4"/>
      <c r="AEN28" s="4"/>
      <c r="AEO28" s="4"/>
      <c r="AEP28" s="4"/>
      <c r="AEQ28" s="4"/>
      <c r="AER28" s="4"/>
      <c r="AES28" s="4"/>
      <c r="AET28" s="4"/>
      <c r="AEU28" s="4"/>
      <c r="AEV28" s="4"/>
      <c r="AEW28" s="4"/>
      <c r="AEX28" s="4"/>
      <c r="AEY28" s="4"/>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c r="AGG28" s="4"/>
      <c r="AGH28" s="4"/>
      <c r="AGI28" s="4"/>
      <c r="AGJ28" s="4"/>
      <c r="AGK28" s="4"/>
      <c r="AGL28" s="4"/>
      <c r="AGM28" s="4"/>
      <c r="AGN28" s="4"/>
      <c r="AGO28" s="4"/>
      <c r="AGP28" s="4"/>
      <c r="AGQ28" s="4"/>
      <c r="AGR28" s="4"/>
      <c r="AGS28" s="4"/>
      <c r="AGT28" s="4"/>
      <c r="AGU28" s="4"/>
      <c r="AGV28" s="4"/>
      <c r="AGW28" s="4"/>
      <c r="AGX28" s="4"/>
      <c r="AGY28" s="4"/>
      <c r="AGZ28" s="4"/>
      <c r="AHA28" s="4"/>
      <c r="AHB28" s="4"/>
      <c r="AHC28" s="4"/>
      <c r="AHD28" s="4"/>
      <c r="AHE28" s="4"/>
      <c r="AHF28" s="4"/>
      <c r="AHG28" s="4"/>
      <c r="AHH28" s="4"/>
      <c r="AHI28" s="4"/>
      <c r="AHJ28" s="4"/>
      <c r="AHK28" s="4"/>
      <c r="AHL28" s="4"/>
      <c r="AHM28" s="4"/>
      <c r="AHN28" s="4"/>
      <c r="AHO28" s="4"/>
      <c r="AHP28" s="4"/>
      <c r="AHQ28" s="4"/>
      <c r="AHR28" s="4"/>
      <c r="AHS28" s="4"/>
      <c r="AHT28" s="4"/>
      <c r="AHU28" s="4"/>
      <c r="AHV28" s="4"/>
      <c r="AHW28" s="4"/>
      <c r="AHX28" s="4"/>
      <c r="AHY28" s="4"/>
      <c r="AHZ28" s="4"/>
      <c r="AIA28" s="4"/>
      <c r="AIB28" s="4"/>
      <c r="AIC28" s="4"/>
      <c r="AID28" s="4"/>
      <c r="AIE28" s="4"/>
      <c r="AIF28" s="4"/>
      <c r="AIG28" s="4"/>
      <c r="AIH28" s="4"/>
      <c r="AII28" s="4"/>
      <c r="AIJ28" s="4"/>
      <c r="AIK28" s="4"/>
      <c r="AIL28" s="4"/>
      <c r="AIM28" s="4"/>
      <c r="AIN28" s="4"/>
      <c r="AIO28" s="4"/>
      <c r="AIP28" s="4"/>
      <c r="AIQ28" s="4"/>
      <c r="AIR28" s="4"/>
      <c r="AIS28" s="4"/>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c r="AJR28" s="4"/>
      <c r="AJS28" s="4"/>
      <c r="AJT28" s="4"/>
      <c r="AJU28" s="4"/>
      <c r="AJV28" s="4"/>
      <c r="AJW28" s="4"/>
      <c r="AJX28" s="4"/>
      <c r="AJY28" s="4"/>
      <c r="AJZ28" s="4"/>
      <c r="AKA28" s="4"/>
      <c r="AKB28" s="4"/>
      <c r="AKC28" s="4"/>
      <c r="AKD28" s="4"/>
      <c r="AKE28" s="4"/>
      <c r="AKF28" s="4"/>
      <c r="AKG28" s="4"/>
      <c r="AKH28" s="4"/>
      <c r="AKI28" s="4"/>
      <c r="AKJ28" s="4"/>
      <c r="AKK28" s="4"/>
      <c r="AKL28" s="4"/>
      <c r="AKM28" s="4"/>
      <c r="AKN28" s="4"/>
      <c r="AKO28" s="4"/>
      <c r="AKP28" s="4"/>
      <c r="AKQ28" s="4"/>
      <c r="AKR28" s="4"/>
      <c r="AKS28" s="4"/>
      <c r="AKT28" s="4"/>
      <c r="AKU28" s="4"/>
      <c r="AKV28" s="4"/>
      <c r="AKW28" s="4"/>
      <c r="AKX28" s="4"/>
      <c r="AKY28" s="4"/>
      <c r="AKZ28" s="4"/>
      <c r="ALA28" s="4"/>
      <c r="ALB28" s="4"/>
      <c r="ALC28" s="4"/>
      <c r="ALD28" s="4"/>
      <c r="ALE28" s="4"/>
      <c r="ALF28" s="4"/>
      <c r="ALG28" s="4"/>
      <c r="ALH28" s="4"/>
      <c r="ALI28" s="4"/>
      <c r="ALJ28" s="4"/>
      <c r="ALK28" s="4"/>
      <c r="ALL28" s="4"/>
      <c r="ALM28" s="4"/>
      <c r="ALN28" s="4"/>
      <c r="ALO28" s="4"/>
      <c r="ALP28" s="4"/>
      <c r="ALQ28" s="4"/>
      <c r="ALR28" s="4"/>
      <c r="ALS28" s="4"/>
      <c r="ALT28" s="4"/>
      <c r="ALU28" s="4"/>
      <c r="ALV28" s="4"/>
      <c r="ALW28" s="4"/>
      <c r="ALX28" s="4"/>
      <c r="ALY28" s="4"/>
      <c r="ALZ28" s="4"/>
      <c r="AMA28" s="4"/>
      <c r="AMB28" s="4"/>
      <c r="AMC28" s="4"/>
      <c r="AMD28" s="4"/>
      <c r="AME28" s="4"/>
      <c r="AMF28" s="4"/>
      <c r="AMG28" s="4"/>
      <c r="AMH28" s="4"/>
      <c r="AMI28" s="4"/>
      <c r="AMJ28" s="4"/>
      <c r="AMK28" s="4"/>
      <c r="AML28" s="4"/>
      <c r="AMM28" s="4"/>
      <c r="AMN28" s="4"/>
      <c r="AMO28" s="4"/>
      <c r="AMP28" s="4"/>
      <c r="AMQ28" s="4"/>
      <c r="AMR28" s="4"/>
      <c r="AMS28" s="4"/>
      <c r="AMT28" s="4"/>
      <c r="AMU28" s="4"/>
      <c r="AMV28" s="4"/>
      <c r="AMW28" s="4"/>
      <c r="AMX28" s="4"/>
      <c r="AMY28" s="4"/>
      <c r="AMZ28" s="4"/>
      <c r="ANA28" s="4"/>
      <c r="ANB28" s="4"/>
      <c r="ANC28" s="4"/>
      <c r="AND28" s="4"/>
      <c r="ANE28" s="4"/>
      <c r="ANF28" s="4"/>
      <c r="ANG28" s="4"/>
      <c r="ANH28" s="4"/>
      <c r="ANI28" s="4"/>
      <c r="ANJ28" s="4"/>
      <c r="ANK28" s="4"/>
      <c r="ANL28" s="4"/>
      <c r="ANM28" s="4"/>
      <c r="ANN28" s="4"/>
      <c r="ANO28" s="4"/>
      <c r="ANP28" s="4"/>
      <c r="ANQ28" s="4"/>
      <c r="ANR28" s="4"/>
      <c r="ANS28" s="4"/>
      <c r="ANT28" s="4"/>
      <c r="ANU28" s="4"/>
      <c r="ANV28" s="4"/>
      <c r="ANW28" s="4"/>
      <c r="ANX28" s="4"/>
      <c r="ANY28" s="4"/>
      <c r="ANZ28" s="4"/>
      <c r="AOA28" s="4"/>
      <c r="AOB28" s="4"/>
      <c r="AOC28" s="4"/>
      <c r="AOD28" s="4"/>
      <c r="AOE28" s="4"/>
      <c r="AOF28" s="4"/>
      <c r="AOG28" s="4"/>
      <c r="AOH28" s="4"/>
      <c r="AOI28" s="4"/>
      <c r="AOJ28" s="4"/>
      <c r="AOK28" s="4"/>
      <c r="AOL28" s="4"/>
      <c r="AOM28" s="4"/>
      <c r="AON28" s="4"/>
      <c r="AOO28" s="4"/>
      <c r="AOP28" s="4"/>
      <c r="AOQ28" s="4"/>
      <c r="AOR28" s="4"/>
      <c r="AOS28" s="4"/>
      <c r="AOT28" s="4"/>
      <c r="AOU28" s="4"/>
      <c r="AOV28" s="4"/>
      <c r="AOW28" s="4"/>
      <c r="AOX28" s="4"/>
      <c r="AOY28" s="4"/>
      <c r="AOZ28" s="4"/>
      <c r="APA28" s="4"/>
      <c r="APB28" s="4"/>
      <c r="APC28" s="4"/>
      <c r="APD28" s="4"/>
      <c r="APE28" s="4"/>
      <c r="APF28" s="4"/>
      <c r="APG28" s="4"/>
      <c r="APH28" s="4"/>
      <c r="API28" s="4"/>
      <c r="APJ28" s="4"/>
      <c r="APK28" s="4"/>
      <c r="APL28" s="4"/>
      <c r="APM28" s="4"/>
      <c r="APN28" s="4"/>
      <c r="APO28" s="4"/>
      <c r="APP28" s="4"/>
      <c r="APQ28" s="4"/>
      <c r="APR28" s="4"/>
      <c r="APS28" s="4"/>
      <c r="APT28" s="4"/>
      <c r="APU28" s="4"/>
      <c r="APV28" s="4"/>
      <c r="APW28" s="4"/>
      <c r="APX28" s="4"/>
      <c r="APY28" s="4"/>
      <c r="APZ28" s="4"/>
      <c r="AQA28" s="4"/>
      <c r="AQB28" s="4"/>
      <c r="AQC28" s="4"/>
      <c r="AQD28" s="4"/>
      <c r="AQE28" s="4"/>
      <c r="AQF28" s="4"/>
      <c r="AQG28" s="4"/>
      <c r="AQH28" s="4"/>
      <c r="AQI28" s="4"/>
      <c r="AQJ28" s="4"/>
      <c r="AQK28" s="4"/>
      <c r="AQL28" s="4"/>
      <c r="AQM28" s="4"/>
      <c r="AQN28" s="4"/>
      <c r="AQO28" s="4"/>
      <c r="AQP28" s="4"/>
      <c r="AQQ28" s="4"/>
      <c r="AQR28" s="4"/>
      <c r="AQS28" s="4"/>
      <c r="AQT28" s="4"/>
      <c r="AQU28" s="4"/>
      <c r="AQV28" s="4"/>
      <c r="AQW28" s="4"/>
      <c r="AQX28" s="4"/>
      <c r="AQY28" s="4"/>
      <c r="AQZ28" s="4"/>
      <c r="ARA28" s="4"/>
      <c r="ARB28" s="4"/>
      <c r="ARC28" s="4"/>
      <c r="ARD28" s="4"/>
      <c r="ARE28" s="4"/>
      <c r="ARF28" s="4"/>
      <c r="ARG28" s="4"/>
      <c r="ARH28" s="4"/>
      <c r="ARI28" s="4"/>
      <c r="ARJ28" s="4"/>
      <c r="ARK28" s="4"/>
      <c r="ARL28" s="4"/>
      <c r="ARM28" s="4"/>
      <c r="ARN28" s="4"/>
      <c r="ARO28" s="4"/>
      <c r="ARP28" s="4"/>
      <c r="ARQ28" s="4"/>
      <c r="ARR28" s="4"/>
      <c r="ARS28" s="4"/>
      <c r="ART28" s="4"/>
      <c r="ARU28" s="4"/>
      <c r="ARV28" s="4"/>
      <c r="ARW28" s="4"/>
      <c r="ARX28" s="4"/>
      <c r="ARY28" s="4"/>
      <c r="ARZ28" s="4"/>
      <c r="ASA28" s="4"/>
      <c r="ASB28" s="4"/>
      <c r="ASC28" s="4"/>
      <c r="ASD28" s="4"/>
      <c r="ASE28" s="4"/>
      <c r="ASF28" s="4"/>
      <c r="ASG28" s="4"/>
      <c r="ASH28" s="4"/>
      <c r="ASI28" s="4"/>
      <c r="ASJ28" s="4"/>
      <c r="ASK28" s="4"/>
      <c r="ASL28" s="4"/>
      <c r="ASM28" s="4"/>
      <c r="ASN28" s="4"/>
      <c r="ASO28" s="4"/>
      <c r="ASP28" s="4"/>
      <c r="ASQ28" s="4"/>
      <c r="ASR28" s="4"/>
      <c r="ASS28" s="4"/>
      <c r="AST28" s="4"/>
      <c r="ASU28" s="4"/>
      <c r="ASV28" s="4"/>
      <c r="ASW28" s="4"/>
      <c r="ASX28" s="4"/>
      <c r="ASY28" s="4"/>
      <c r="ASZ28" s="4"/>
      <c r="ATA28" s="4"/>
      <c r="ATB28" s="4"/>
      <c r="ATC28" s="4"/>
      <c r="ATD28" s="4"/>
      <c r="ATE28" s="4"/>
      <c r="ATF28" s="4"/>
      <c r="ATG28" s="4"/>
      <c r="ATH28" s="4"/>
      <c r="ATI28" s="4"/>
      <c r="ATJ28" s="4"/>
      <c r="ATK28" s="4"/>
      <c r="ATL28" s="4"/>
      <c r="ATM28" s="4"/>
      <c r="ATN28" s="4"/>
      <c r="ATO28" s="4"/>
      <c r="ATP28" s="4"/>
      <c r="ATQ28" s="4"/>
      <c r="ATR28" s="4"/>
      <c r="ATS28" s="4"/>
      <c r="ATT28" s="4"/>
      <c r="ATU28" s="4"/>
      <c r="ATV28" s="4"/>
      <c r="ATW28" s="4"/>
      <c r="ATX28" s="4"/>
      <c r="ATY28" s="4"/>
      <c r="ATZ28" s="4"/>
      <c r="AUA28" s="4"/>
      <c r="AUB28" s="4"/>
      <c r="AUC28" s="4"/>
      <c r="AUD28" s="4"/>
      <c r="AUE28" s="4"/>
      <c r="AUF28" s="4"/>
      <c r="AUG28" s="4"/>
      <c r="AUH28" s="4"/>
      <c r="AUI28" s="4"/>
      <c r="AUJ28" s="4"/>
      <c r="AUK28" s="4"/>
      <c r="AUL28" s="4"/>
      <c r="AUM28" s="4"/>
      <c r="AUN28" s="4"/>
      <c r="AUO28" s="4"/>
      <c r="AUP28" s="4"/>
      <c r="AUQ28" s="4"/>
      <c r="AUR28" s="4"/>
      <c r="AUS28" s="4"/>
      <c r="AUT28" s="4"/>
      <c r="AUU28" s="4"/>
      <c r="AUV28" s="4"/>
      <c r="AUW28" s="4"/>
      <c r="AUX28" s="4"/>
      <c r="AUY28" s="4"/>
      <c r="AUZ28" s="4"/>
      <c r="AVA28" s="4"/>
      <c r="AVB28" s="4"/>
      <c r="AVC28" s="4"/>
      <c r="AVD28" s="4"/>
      <c r="AVE28" s="4"/>
      <c r="AVF28" s="4"/>
      <c r="AVG28" s="4"/>
      <c r="AVH28" s="4"/>
      <c r="AVI28" s="4"/>
      <c r="AVJ28" s="4"/>
      <c r="AVK28" s="4"/>
      <c r="AVL28" s="4"/>
      <c r="AVM28" s="4"/>
      <c r="AVN28" s="4"/>
      <c r="AVO28" s="4"/>
      <c r="AVP28" s="4"/>
      <c r="AVQ28" s="4"/>
      <c r="AVR28" s="4"/>
      <c r="AVS28" s="4"/>
      <c r="AVT28" s="4"/>
      <c r="AVU28" s="4"/>
      <c r="AVV28" s="4"/>
      <c r="AVW28" s="4"/>
      <c r="AVX28" s="4"/>
      <c r="AVY28" s="4"/>
      <c r="AVZ28" s="4"/>
      <c r="AWA28" s="4"/>
      <c r="AWB28" s="4"/>
      <c r="AWC28" s="4"/>
      <c r="AWD28" s="4"/>
      <c r="AWE28" s="4"/>
      <c r="AWF28" s="4"/>
      <c r="AWG28" s="4"/>
      <c r="AWH28" s="4"/>
      <c r="AWI28" s="4"/>
      <c r="AWJ28" s="4"/>
      <c r="AWK28" s="4"/>
      <c r="AWL28" s="4"/>
      <c r="AWM28" s="4"/>
      <c r="AWN28" s="4"/>
      <c r="AWO28" s="4"/>
      <c r="AWP28" s="4"/>
      <c r="AWQ28" s="4"/>
      <c r="AWR28" s="4"/>
      <c r="AWS28" s="4"/>
      <c r="AWT28" s="4"/>
      <c r="AWU28" s="4"/>
      <c r="AWV28" s="4"/>
      <c r="AWW28" s="4"/>
      <c r="AWX28" s="4"/>
      <c r="AWY28" s="4"/>
      <c r="AWZ28" s="4"/>
      <c r="AXA28" s="4"/>
      <c r="AXB28" s="4"/>
      <c r="AXC28" s="4"/>
      <c r="AXD28" s="4"/>
      <c r="AXE28" s="4"/>
      <c r="AXF28" s="4"/>
      <c r="AXG28" s="4"/>
      <c r="AXH28" s="4"/>
      <c r="AXI28" s="4"/>
      <c r="AXJ28" s="4"/>
      <c r="AXK28" s="4"/>
      <c r="AXL28" s="4"/>
      <c r="AXM28" s="4"/>
      <c r="AXN28" s="4"/>
      <c r="AXO28" s="4"/>
      <c r="AXP28" s="4"/>
      <c r="AXQ28" s="4"/>
      <c r="AXR28" s="4"/>
      <c r="AXS28" s="4"/>
      <c r="AXT28" s="4"/>
      <c r="AXU28" s="4"/>
      <c r="AXV28" s="4"/>
      <c r="AXW28" s="4"/>
      <c r="AXX28" s="4"/>
      <c r="AXY28" s="4"/>
      <c r="AXZ28" s="4"/>
      <c r="AYA28" s="4"/>
      <c r="AYB28" s="4"/>
      <c r="AYC28" s="4"/>
      <c r="AYD28" s="4"/>
      <c r="AYE28" s="4"/>
      <c r="AYF28" s="4"/>
      <c r="AYG28" s="4"/>
      <c r="AYH28" s="4"/>
      <c r="AYI28" s="4"/>
      <c r="AYJ28" s="4"/>
      <c r="AYK28" s="4"/>
      <c r="AYL28" s="4"/>
      <c r="AYM28" s="4"/>
      <c r="AYN28" s="4"/>
      <c r="AYO28" s="4"/>
      <c r="AYP28" s="4"/>
      <c r="AYQ28" s="4"/>
      <c r="AYR28" s="4"/>
      <c r="AYS28" s="4"/>
      <c r="AYT28" s="4"/>
      <c r="AYU28" s="4"/>
      <c r="AYV28" s="4"/>
      <c r="AYW28" s="4"/>
      <c r="AYX28" s="4"/>
      <c r="AYY28" s="4"/>
      <c r="AYZ28" s="4"/>
      <c r="AZA28" s="4"/>
      <c r="AZB28" s="4"/>
      <c r="AZC28" s="4"/>
      <c r="AZD28" s="4"/>
      <c r="AZE28" s="4"/>
      <c r="AZF28" s="4"/>
      <c r="AZG28" s="4"/>
      <c r="AZH28" s="4"/>
      <c r="AZI28" s="4"/>
      <c r="AZJ28" s="4"/>
      <c r="AZK28" s="4"/>
      <c r="AZL28" s="4"/>
      <c r="AZM28" s="4"/>
      <c r="AZN28" s="4"/>
      <c r="AZO28" s="4"/>
      <c r="AZP28" s="4"/>
      <c r="AZQ28" s="4"/>
      <c r="AZR28" s="4"/>
      <c r="AZS28" s="4"/>
      <c r="AZT28" s="4"/>
      <c r="AZU28" s="4"/>
      <c r="AZV28" s="4"/>
      <c r="AZW28" s="4"/>
      <c r="AZX28" s="4"/>
      <c r="AZY28" s="4"/>
      <c r="AZZ28" s="4"/>
      <c r="BAA28" s="4"/>
      <c r="BAB28" s="4"/>
      <c r="BAC28" s="4"/>
      <c r="BAD28" s="4"/>
      <c r="BAE28" s="4"/>
      <c r="BAF28" s="4"/>
      <c r="BAG28" s="4"/>
      <c r="BAH28" s="4"/>
      <c r="BAI28" s="4"/>
      <c r="BAJ28" s="4"/>
      <c r="BAK28" s="4"/>
      <c r="BAL28" s="4"/>
      <c r="BAM28" s="4"/>
      <c r="BAN28" s="4"/>
      <c r="BAO28" s="4"/>
      <c r="BAP28" s="4"/>
      <c r="BAQ28" s="4"/>
      <c r="BAR28" s="4"/>
      <c r="BAS28" s="4"/>
      <c r="BAT28" s="4"/>
      <c r="BAU28" s="4"/>
      <c r="BAV28" s="4"/>
      <c r="BAW28" s="4"/>
      <c r="BAX28" s="4"/>
      <c r="BAY28" s="4"/>
      <c r="BAZ28" s="4"/>
      <c r="BBA28" s="4"/>
      <c r="BBB28" s="4"/>
      <c r="BBC28" s="4"/>
      <c r="BBD28" s="4"/>
      <c r="BBE28" s="4"/>
      <c r="BBF28" s="4"/>
      <c r="BBG28" s="4"/>
      <c r="BBH28" s="4"/>
      <c r="BBI28" s="4"/>
      <c r="BBJ28" s="4"/>
      <c r="BBK28" s="4"/>
      <c r="BBL28" s="4"/>
      <c r="BBM28" s="4"/>
      <c r="BBN28" s="4"/>
      <c r="BBO28" s="4"/>
      <c r="BBP28" s="4"/>
      <c r="BBQ28" s="4"/>
      <c r="BBR28" s="4"/>
      <c r="BBS28" s="4"/>
      <c r="BBT28" s="4"/>
      <c r="BBU28" s="4"/>
      <c r="BBV28" s="4"/>
      <c r="BBW28" s="4"/>
      <c r="BBX28" s="4"/>
      <c r="BBY28" s="4"/>
      <c r="BBZ28" s="4"/>
      <c r="BCA28" s="4"/>
      <c r="BCB28" s="4"/>
      <c r="BCC28" s="4"/>
      <c r="BCD28" s="4"/>
      <c r="BCE28" s="4"/>
      <c r="BCF28" s="4"/>
      <c r="BCG28" s="4"/>
      <c r="BCH28" s="4"/>
      <c r="BCI28" s="4"/>
      <c r="BCJ28" s="4"/>
      <c r="BCK28" s="4"/>
      <c r="BCL28" s="4"/>
      <c r="BCM28" s="4"/>
      <c r="BCN28" s="4"/>
      <c r="BCO28" s="4"/>
      <c r="BCP28" s="4"/>
      <c r="BCQ28" s="4"/>
      <c r="BCR28" s="4"/>
      <c r="BCS28" s="4"/>
      <c r="BCT28" s="4"/>
      <c r="BCU28" s="4"/>
      <c r="BCV28" s="4"/>
      <c r="BCW28" s="4"/>
      <c r="BCX28" s="4"/>
      <c r="BCY28" s="4"/>
      <c r="BCZ28" s="4"/>
      <c r="BDA28" s="4"/>
      <c r="BDB28" s="4"/>
      <c r="BDC28" s="4"/>
      <c r="BDD28" s="4"/>
      <c r="BDE28" s="4"/>
      <c r="BDF28" s="4"/>
      <c r="BDG28" s="4"/>
      <c r="BDH28" s="4"/>
      <c r="BDI28" s="4"/>
      <c r="BDJ28" s="4"/>
      <c r="BDK28" s="4"/>
      <c r="BDL28" s="4"/>
      <c r="BDM28" s="4"/>
      <c r="BDN28" s="4"/>
      <c r="BDO28" s="4"/>
      <c r="BDP28" s="4"/>
      <c r="BDQ28" s="4"/>
      <c r="BDR28" s="4"/>
      <c r="BDS28" s="4"/>
      <c r="BDT28" s="4"/>
      <c r="BDU28" s="4"/>
      <c r="BDV28" s="4"/>
      <c r="BDW28" s="4"/>
      <c r="BDX28" s="4"/>
      <c r="BDY28" s="4"/>
      <c r="BDZ28" s="4"/>
      <c r="BEA28" s="4"/>
      <c r="BEB28" s="4"/>
      <c r="BEC28" s="4"/>
      <c r="BED28" s="4"/>
      <c r="BEE28" s="4"/>
      <c r="BEF28" s="4"/>
      <c r="BEG28" s="4"/>
      <c r="BEH28" s="4"/>
      <c r="BEI28" s="4"/>
      <c r="BEJ28" s="4"/>
      <c r="BEK28" s="4"/>
      <c r="BEL28" s="4"/>
      <c r="BEM28" s="4"/>
      <c r="BEN28" s="4"/>
      <c r="BEO28" s="4"/>
      <c r="BEP28" s="4"/>
      <c r="BEQ28" s="4"/>
      <c r="BER28" s="4"/>
      <c r="BES28" s="4"/>
      <c r="BET28" s="4"/>
      <c r="BEU28" s="4"/>
      <c r="BEV28" s="4"/>
      <c r="BEW28" s="4"/>
      <c r="BEX28" s="4"/>
      <c r="BEY28" s="4"/>
      <c r="BEZ28" s="4"/>
      <c r="BFA28" s="4"/>
      <c r="BFB28" s="4"/>
      <c r="BFC28" s="4"/>
      <c r="BFD28" s="4"/>
      <c r="BFE28" s="4"/>
      <c r="BFF28" s="4"/>
      <c r="BFG28" s="4"/>
      <c r="BFH28" s="4"/>
      <c r="BFI28" s="4"/>
      <c r="BFJ28" s="4"/>
      <c r="BFK28" s="4"/>
      <c r="BFL28" s="4"/>
      <c r="BFM28" s="4"/>
      <c r="BFN28" s="4"/>
      <c r="BFO28" s="4"/>
      <c r="BFP28" s="4"/>
      <c r="BFQ28" s="4"/>
      <c r="BFR28" s="4"/>
      <c r="BFS28" s="4"/>
      <c r="BFT28" s="4"/>
      <c r="BFU28" s="4"/>
      <c r="BFV28" s="4"/>
      <c r="BFW28" s="4"/>
      <c r="BFX28" s="4"/>
      <c r="BFY28" s="4"/>
      <c r="BFZ28" s="4"/>
      <c r="BGA28" s="4"/>
      <c r="BGB28" s="4"/>
      <c r="BGC28" s="4"/>
      <c r="BGD28" s="4"/>
      <c r="BGE28" s="4"/>
      <c r="BGF28" s="4"/>
      <c r="BGG28" s="4"/>
      <c r="BGH28" s="4"/>
      <c r="BGI28" s="4"/>
      <c r="BGJ28" s="4"/>
      <c r="BGK28" s="4"/>
      <c r="BGL28" s="4"/>
      <c r="BGM28" s="4"/>
      <c r="BGN28" s="4"/>
      <c r="BGO28" s="4"/>
      <c r="BGP28" s="4"/>
      <c r="BGQ28" s="4"/>
      <c r="BGR28" s="4"/>
      <c r="BGS28" s="4"/>
      <c r="BGT28" s="4"/>
      <c r="BGU28" s="4"/>
      <c r="BGV28" s="4"/>
      <c r="BGW28" s="4"/>
      <c r="BGX28" s="4"/>
      <c r="BGY28" s="4"/>
      <c r="BGZ28" s="4"/>
      <c r="BHA28" s="4"/>
      <c r="BHB28" s="4"/>
      <c r="BHC28" s="4"/>
      <c r="BHD28" s="4"/>
      <c r="BHE28" s="4"/>
      <c r="BHF28" s="4"/>
      <c r="BHG28" s="4"/>
      <c r="BHH28" s="4"/>
      <c r="BHI28" s="4"/>
      <c r="BHJ28" s="4"/>
      <c r="BHK28" s="4"/>
      <c r="BHL28" s="4"/>
      <c r="BHM28" s="4"/>
      <c r="BHN28" s="4"/>
      <c r="BHO28" s="4"/>
      <c r="BHP28" s="4"/>
      <c r="BHQ28" s="4"/>
      <c r="BHR28" s="4"/>
      <c r="BHS28" s="4"/>
      <c r="BHT28" s="4"/>
      <c r="BHU28" s="4"/>
      <c r="BHV28" s="4"/>
      <c r="BHW28" s="4"/>
      <c r="BHX28" s="4"/>
      <c r="BHY28" s="4"/>
      <c r="BHZ28" s="4"/>
      <c r="BIA28" s="4"/>
      <c r="BIB28" s="4"/>
      <c r="BIC28" s="4"/>
      <c r="BID28" s="4"/>
      <c r="BIE28" s="4"/>
      <c r="BIF28" s="4"/>
      <c r="BIG28" s="4"/>
      <c r="BIH28" s="4"/>
      <c r="BII28" s="4"/>
      <c r="BIJ28" s="4"/>
      <c r="BIK28" s="4"/>
      <c r="BIL28" s="4"/>
      <c r="BIM28" s="4"/>
      <c r="BIN28" s="4"/>
      <c r="BIO28" s="4"/>
      <c r="BIP28" s="4"/>
      <c r="BIQ28" s="4"/>
      <c r="BIR28" s="4"/>
      <c r="BIS28" s="4"/>
      <c r="BIT28" s="4"/>
      <c r="BIU28" s="4"/>
      <c r="BIV28" s="4"/>
      <c r="BIW28" s="4"/>
      <c r="BIX28" s="4"/>
      <c r="BIY28" s="4"/>
      <c r="BIZ28" s="4"/>
      <c r="BJA28" s="4"/>
      <c r="BJB28" s="4"/>
      <c r="BJC28" s="4"/>
      <c r="BJD28" s="4"/>
      <c r="BJE28" s="4"/>
      <c r="BJF28" s="4"/>
      <c r="BJG28" s="4"/>
      <c r="BJH28" s="4"/>
      <c r="BJI28" s="4"/>
      <c r="BJJ28" s="4"/>
      <c r="BJK28" s="4"/>
      <c r="BJL28" s="4"/>
      <c r="BJM28" s="4"/>
      <c r="BJN28" s="4"/>
      <c r="BJO28" s="4"/>
      <c r="BJP28" s="4"/>
      <c r="BJQ28" s="4"/>
      <c r="BJR28" s="4"/>
      <c r="BJS28" s="4"/>
      <c r="BJT28" s="4"/>
      <c r="BJU28" s="4"/>
      <c r="BJV28" s="4"/>
      <c r="BJW28" s="4"/>
      <c r="BJX28" s="4"/>
      <c r="BJY28" s="4"/>
      <c r="BJZ28" s="4"/>
      <c r="BKA28" s="4"/>
      <c r="BKB28" s="4"/>
      <c r="BKC28" s="4"/>
      <c r="BKD28" s="4"/>
      <c r="BKE28" s="4"/>
      <c r="BKF28" s="4"/>
      <c r="BKG28" s="4"/>
      <c r="BKH28" s="4"/>
      <c r="BKI28" s="4"/>
      <c r="BKJ28" s="4"/>
      <c r="BKK28" s="4"/>
      <c r="BKL28" s="4"/>
      <c r="BKM28" s="4"/>
      <c r="BKN28" s="4"/>
      <c r="BKO28" s="4"/>
      <c r="BKP28" s="4"/>
      <c r="BKQ28" s="4"/>
      <c r="BKR28" s="4"/>
      <c r="BKS28" s="4"/>
      <c r="BKT28" s="4"/>
      <c r="BKU28" s="4"/>
      <c r="BKV28" s="4"/>
      <c r="BKW28" s="4"/>
      <c r="BKX28" s="4"/>
      <c r="BKY28" s="4"/>
      <c r="BKZ28" s="4"/>
      <c r="BLA28" s="4"/>
      <c r="BLB28" s="4"/>
      <c r="BLC28" s="4"/>
      <c r="BLD28" s="4"/>
      <c r="BLE28" s="4"/>
      <c r="BLF28" s="4"/>
      <c r="BLG28" s="4"/>
      <c r="BLH28" s="4"/>
      <c r="BLI28" s="4"/>
      <c r="BLJ28" s="4"/>
      <c r="BLK28" s="4"/>
      <c r="BLL28" s="4"/>
      <c r="BLM28" s="4"/>
      <c r="BLN28" s="4"/>
      <c r="BLO28" s="4"/>
      <c r="BLP28" s="4"/>
      <c r="BLQ28" s="4"/>
      <c r="BLR28" s="4"/>
      <c r="BLS28" s="4"/>
      <c r="BLT28" s="4"/>
      <c r="BLU28" s="4"/>
      <c r="BLV28" s="4"/>
      <c r="BLW28" s="4"/>
      <c r="BLX28" s="4"/>
      <c r="BLY28" s="4"/>
      <c r="BLZ28" s="4"/>
      <c r="BMA28" s="4"/>
      <c r="BMB28" s="4"/>
      <c r="BMC28" s="4"/>
      <c r="BMD28" s="4"/>
      <c r="BME28" s="4"/>
      <c r="BMF28" s="4"/>
      <c r="BMG28" s="4"/>
      <c r="BMH28" s="4"/>
      <c r="BMI28" s="4"/>
      <c r="BMJ28" s="4"/>
      <c r="BMK28" s="4"/>
      <c r="BML28" s="4"/>
      <c r="BMM28" s="4"/>
      <c r="BMN28" s="4"/>
      <c r="BMO28" s="4"/>
      <c r="BMP28" s="4"/>
      <c r="BMQ28" s="4"/>
      <c r="BMR28" s="4"/>
      <c r="BMS28" s="4"/>
      <c r="BMT28" s="4"/>
      <c r="BMU28" s="4"/>
      <c r="BMV28" s="4"/>
      <c r="BMW28" s="4"/>
      <c r="BMX28" s="4"/>
      <c r="BMY28" s="4"/>
      <c r="BMZ28" s="4"/>
      <c r="BNA28" s="4"/>
      <c r="BNB28" s="4"/>
      <c r="BNC28" s="4"/>
      <c r="BND28" s="4"/>
      <c r="BNE28" s="4"/>
      <c r="BNF28" s="4"/>
      <c r="BNG28" s="4"/>
      <c r="BNH28" s="4"/>
      <c r="BNI28" s="4"/>
      <c r="BNJ28" s="4"/>
      <c r="BNK28" s="4"/>
      <c r="BNL28" s="4"/>
      <c r="BNM28" s="4"/>
      <c r="BNN28" s="4"/>
      <c r="BNO28" s="4"/>
      <c r="BNP28" s="4"/>
      <c r="BNQ28" s="4"/>
      <c r="BNR28" s="4"/>
      <c r="BNS28" s="4"/>
      <c r="BNT28" s="4"/>
      <c r="BNU28" s="4"/>
      <c r="BNV28" s="4"/>
      <c r="BNW28" s="4"/>
      <c r="BNX28" s="4"/>
      <c r="BNY28" s="4"/>
      <c r="BNZ28" s="4"/>
      <c r="BOA28" s="4"/>
      <c r="BOB28" s="4"/>
      <c r="BOC28" s="4"/>
      <c r="BOD28" s="4"/>
      <c r="BOE28" s="4"/>
      <c r="BOF28" s="4"/>
      <c r="BOG28" s="4"/>
      <c r="BOH28" s="4"/>
      <c r="BOI28" s="4"/>
      <c r="BOJ28" s="4"/>
      <c r="BOK28" s="4"/>
      <c r="BOL28" s="4"/>
      <c r="BOM28" s="4"/>
      <c r="BON28" s="4"/>
      <c r="BOO28" s="4"/>
      <c r="BOP28" s="4"/>
      <c r="BOQ28" s="4"/>
      <c r="BOR28" s="4"/>
      <c r="BOS28" s="4"/>
      <c r="BOT28" s="4"/>
      <c r="BOU28" s="4"/>
      <c r="BOV28" s="4"/>
      <c r="BOW28" s="4"/>
      <c r="BOX28" s="4"/>
      <c r="BOY28" s="4"/>
      <c r="BOZ28" s="4"/>
      <c r="BPA28" s="66"/>
    </row>
    <row r="29" s="6" customFormat="1" ht="54.95" customHeight="1" spans="1:1024 1025:1769">
      <c r="A29" s="47" t="s">
        <v>107</v>
      </c>
      <c r="B29" s="48" t="s">
        <v>1310</v>
      </c>
      <c r="C29" s="48" t="s">
        <v>1311</v>
      </c>
      <c r="D29" s="49" t="s">
        <v>1302</v>
      </c>
      <c r="E29" s="67"/>
      <c r="F29" s="51">
        <v>46175</v>
      </c>
      <c r="G29" s="57" t="s">
        <v>7</v>
      </c>
      <c r="H29" s="68"/>
      <c r="I29" s="5"/>
      <c r="J29" s="5" t="s">
        <v>1254</v>
      </c>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c r="AGJ29" s="4"/>
      <c r="AGK29" s="4"/>
      <c r="AGL29" s="4"/>
      <c r="AGM29" s="4"/>
      <c r="AGN29" s="4"/>
      <c r="AGO29" s="4"/>
      <c r="AGP29" s="4"/>
      <c r="AGQ29" s="4"/>
      <c r="AGR29" s="4"/>
      <c r="AGS29" s="4"/>
      <c r="AGT29" s="4"/>
      <c r="AGU29" s="4"/>
      <c r="AGV29" s="4"/>
      <c r="AGW29" s="4"/>
      <c r="AGX29" s="4"/>
      <c r="AGY29" s="4"/>
      <c r="AGZ29" s="4"/>
      <c r="AHA29" s="4"/>
      <c r="AHB29" s="4"/>
      <c r="AHC29" s="4"/>
      <c r="AHD29" s="4"/>
      <c r="AHE29" s="4"/>
      <c r="AHF29" s="4"/>
      <c r="AHG29" s="4"/>
      <c r="AHH29" s="4"/>
      <c r="AHI29" s="4"/>
      <c r="AHJ29" s="4"/>
      <c r="AHK29" s="4"/>
      <c r="AHL29" s="4"/>
      <c r="AHM29" s="4"/>
      <c r="AHN29" s="4"/>
      <c r="AHO29" s="4"/>
      <c r="AHP29" s="4"/>
      <c r="AHQ29" s="4"/>
      <c r="AHR29" s="4"/>
      <c r="AHS29" s="4"/>
      <c r="AHT29" s="4"/>
      <c r="AHU29" s="4"/>
      <c r="AHV29" s="4"/>
      <c r="AHW29" s="4"/>
      <c r="AHX29" s="4"/>
      <c r="AHY29" s="4"/>
      <c r="AHZ29" s="4"/>
      <c r="AIA29" s="4"/>
      <c r="AIB29" s="4"/>
      <c r="AIC29" s="4"/>
      <c r="AID29" s="4"/>
      <c r="AIE29" s="4"/>
      <c r="AIF29" s="4"/>
      <c r="AIG29" s="4"/>
      <c r="AIH29" s="4"/>
      <c r="AII29" s="4"/>
      <c r="AIJ29" s="4"/>
      <c r="AIK29" s="4"/>
      <c r="AIL29" s="4"/>
      <c r="AIM29" s="4"/>
      <c r="AIN29" s="4"/>
      <c r="AIO29" s="4"/>
      <c r="AIP29" s="4"/>
      <c r="AIQ29" s="4"/>
      <c r="AIR29" s="4"/>
      <c r="AIS29" s="4"/>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c r="AJW29" s="4"/>
      <c r="AJX29" s="4"/>
      <c r="AJY29" s="4"/>
      <c r="AJZ29" s="4"/>
      <c r="AKA29" s="4"/>
      <c r="AKB29" s="4"/>
      <c r="AKC29" s="4"/>
      <c r="AKD29" s="4"/>
      <c r="AKE29" s="4"/>
      <c r="AKF29" s="4"/>
      <c r="AKG29" s="4"/>
      <c r="AKH29" s="4"/>
      <c r="AKI29" s="4"/>
      <c r="AKJ29" s="4"/>
      <c r="AKK29" s="4"/>
      <c r="AKL29" s="4"/>
      <c r="AKM29" s="4"/>
      <c r="AKN29" s="4"/>
      <c r="AKO29" s="4"/>
      <c r="AKP29" s="4"/>
      <c r="AKQ29" s="4"/>
      <c r="AKR29" s="4"/>
      <c r="AKS29" s="4"/>
      <c r="AKT29" s="4"/>
      <c r="AKU29" s="4"/>
      <c r="AKV29" s="4"/>
      <c r="AKW29" s="4"/>
      <c r="AKX29" s="4"/>
      <c r="AKY29" s="4"/>
      <c r="AKZ29" s="4"/>
      <c r="ALA29" s="4"/>
      <c r="ALB29" s="4"/>
      <c r="ALC29" s="4"/>
      <c r="ALD29" s="4"/>
      <c r="ALE29" s="4"/>
      <c r="ALF29" s="4"/>
      <c r="ALG29" s="4"/>
      <c r="ALH29" s="4"/>
      <c r="ALI29" s="4"/>
      <c r="ALJ29" s="4"/>
      <c r="ALK29" s="4"/>
      <c r="ALL29" s="4"/>
      <c r="ALM29" s="4"/>
      <c r="ALN29" s="4"/>
      <c r="ALO29" s="4"/>
      <c r="ALP29" s="4"/>
      <c r="ALQ29" s="4"/>
      <c r="ALR29" s="4"/>
      <c r="ALS29" s="4"/>
      <c r="ALT29" s="4"/>
      <c r="ALU29" s="4"/>
      <c r="ALV29" s="4"/>
      <c r="ALW29" s="4"/>
      <c r="ALX29" s="4"/>
      <c r="ALY29" s="4"/>
      <c r="ALZ29" s="4"/>
      <c r="AMA29" s="4"/>
      <c r="AMB29" s="4"/>
      <c r="AMC29" s="4"/>
      <c r="AMD29" s="4"/>
      <c r="AME29" s="4"/>
      <c r="AMF29" s="4"/>
      <c r="AMG29" s="4"/>
      <c r="AMH29" s="4"/>
      <c r="AMI29" s="4"/>
      <c r="AMJ29" s="4"/>
      <c r="AMK29" s="4"/>
      <c r="AML29" s="4"/>
      <c r="AMM29" s="4"/>
      <c r="AMN29" s="4"/>
      <c r="AMO29" s="4"/>
      <c r="AMP29" s="4"/>
      <c r="AMQ29" s="4"/>
      <c r="AMR29" s="4"/>
      <c r="AMS29" s="4"/>
      <c r="AMT29" s="4"/>
      <c r="AMU29" s="4"/>
      <c r="AMV29" s="4"/>
      <c r="AMW29" s="4"/>
      <c r="AMX29" s="4"/>
      <c r="AMY29" s="4"/>
      <c r="AMZ29" s="4"/>
      <c r="ANA29" s="4"/>
      <c r="ANB29" s="4"/>
      <c r="ANC29" s="4"/>
      <c r="AND29" s="4"/>
      <c r="ANE29" s="4"/>
      <c r="ANF29" s="4"/>
      <c r="ANG29" s="4"/>
      <c r="ANH29" s="4"/>
      <c r="ANI29" s="4"/>
      <c r="ANJ29" s="4"/>
      <c r="ANK29" s="4"/>
      <c r="ANL29" s="4"/>
      <c r="ANM29" s="4"/>
      <c r="ANN29" s="4"/>
      <c r="ANO29" s="4"/>
      <c r="ANP29" s="4"/>
      <c r="ANQ29" s="4"/>
      <c r="ANR29" s="4"/>
      <c r="ANS29" s="4"/>
      <c r="ANT29" s="4"/>
      <c r="ANU29" s="4"/>
      <c r="ANV29" s="4"/>
      <c r="ANW29" s="4"/>
      <c r="ANX29" s="4"/>
      <c r="ANY29" s="4"/>
      <c r="ANZ29" s="4"/>
      <c r="AOA29" s="4"/>
      <c r="AOB29" s="4"/>
      <c r="AOC29" s="4"/>
      <c r="AOD29" s="4"/>
      <c r="AOE29" s="4"/>
      <c r="AOF29" s="4"/>
      <c r="AOG29" s="4"/>
      <c r="AOH29" s="4"/>
      <c r="AOI29" s="4"/>
      <c r="AOJ29" s="4"/>
      <c r="AOK29" s="4"/>
      <c r="AOL29" s="4"/>
      <c r="AOM29" s="4"/>
      <c r="AON29" s="4"/>
      <c r="AOO29" s="4"/>
      <c r="AOP29" s="4"/>
      <c r="AOQ29" s="4"/>
      <c r="AOR29" s="4"/>
      <c r="AOS29" s="4"/>
      <c r="AOT29" s="4"/>
      <c r="AOU29" s="4"/>
      <c r="AOV29" s="4"/>
      <c r="AOW29" s="4"/>
      <c r="AOX29" s="4"/>
      <c r="AOY29" s="4"/>
      <c r="AOZ29" s="4"/>
      <c r="APA29" s="4"/>
      <c r="APB29" s="4"/>
      <c r="APC29" s="4"/>
      <c r="APD29" s="4"/>
      <c r="APE29" s="4"/>
      <c r="APF29" s="4"/>
      <c r="APG29" s="4"/>
      <c r="APH29" s="4"/>
      <c r="API29" s="4"/>
      <c r="APJ29" s="4"/>
      <c r="APK29" s="4"/>
      <c r="APL29" s="4"/>
      <c r="APM29" s="4"/>
      <c r="APN29" s="4"/>
      <c r="APO29" s="4"/>
      <c r="APP29" s="4"/>
      <c r="APQ29" s="4"/>
      <c r="APR29" s="4"/>
      <c r="APS29" s="4"/>
      <c r="APT29" s="4"/>
      <c r="APU29" s="4"/>
      <c r="APV29" s="4"/>
      <c r="APW29" s="4"/>
      <c r="APX29" s="4"/>
      <c r="APY29" s="4"/>
      <c r="APZ29" s="4"/>
      <c r="AQA29" s="4"/>
      <c r="AQB29" s="4"/>
      <c r="AQC29" s="4"/>
      <c r="AQD29" s="4"/>
      <c r="AQE29" s="4"/>
      <c r="AQF29" s="4"/>
      <c r="AQG29" s="4"/>
      <c r="AQH29" s="4"/>
      <c r="AQI29" s="4"/>
      <c r="AQJ29" s="4"/>
      <c r="AQK29" s="4"/>
      <c r="AQL29" s="4"/>
      <c r="AQM29" s="4"/>
      <c r="AQN29" s="4"/>
      <c r="AQO29" s="4"/>
      <c r="AQP29" s="4"/>
      <c r="AQQ29" s="4"/>
      <c r="AQR29" s="4"/>
      <c r="AQS29" s="4"/>
      <c r="AQT29" s="4"/>
      <c r="AQU29" s="4"/>
      <c r="AQV29" s="4"/>
      <c r="AQW29" s="4"/>
      <c r="AQX29" s="4"/>
      <c r="AQY29" s="4"/>
      <c r="AQZ29" s="4"/>
      <c r="ARA29" s="4"/>
      <c r="ARB29" s="4"/>
      <c r="ARC29" s="4"/>
      <c r="ARD29" s="4"/>
      <c r="ARE29" s="4"/>
      <c r="ARF29" s="4"/>
      <c r="ARG29" s="4"/>
      <c r="ARH29" s="4"/>
      <c r="ARI29" s="4"/>
      <c r="ARJ29" s="4"/>
      <c r="ARK29" s="4"/>
      <c r="ARL29" s="4"/>
      <c r="ARM29" s="4"/>
      <c r="ARN29" s="4"/>
      <c r="ARO29" s="4"/>
      <c r="ARP29" s="4"/>
      <c r="ARQ29" s="4"/>
      <c r="ARR29" s="4"/>
      <c r="ARS29" s="4"/>
      <c r="ART29" s="4"/>
      <c r="ARU29" s="4"/>
      <c r="ARV29" s="4"/>
      <c r="ARW29" s="4"/>
      <c r="ARX29" s="4"/>
      <c r="ARY29" s="4"/>
      <c r="ARZ29" s="4"/>
      <c r="ASA29" s="4"/>
      <c r="ASB29" s="4"/>
      <c r="ASC29" s="4"/>
      <c r="ASD29" s="4"/>
      <c r="ASE29" s="4"/>
      <c r="ASF29" s="4"/>
      <c r="ASG29" s="4"/>
      <c r="ASH29" s="4"/>
      <c r="ASI29" s="4"/>
      <c r="ASJ29" s="4"/>
      <c r="ASK29" s="4"/>
      <c r="ASL29" s="4"/>
      <c r="ASM29" s="4"/>
      <c r="ASN29" s="4"/>
      <c r="ASO29" s="4"/>
      <c r="ASP29" s="4"/>
      <c r="ASQ29" s="4"/>
      <c r="ASR29" s="4"/>
      <c r="ASS29" s="4"/>
      <c r="AST29" s="4"/>
      <c r="ASU29" s="4"/>
      <c r="ASV29" s="4"/>
      <c r="ASW29" s="4"/>
      <c r="ASX29" s="4"/>
      <c r="ASY29" s="4"/>
      <c r="ASZ29" s="4"/>
      <c r="ATA29" s="4"/>
      <c r="ATB29" s="4"/>
      <c r="ATC29" s="4"/>
      <c r="ATD29" s="4"/>
      <c r="ATE29" s="4"/>
      <c r="ATF29" s="4"/>
      <c r="ATG29" s="4"/>
      <c r="ATH29" s="4"/>
      <c r="ATI29" s="4"/>
      <c r="ATJ29" s="4"/>
      <c r="ATK29" s="4"/>
      <c r="ATL29" s="4"/>
      <c r="ATM29" s="4"/>
      <c r="ATN29" s="4"/>
      <c r="ATO29" s="4"/>
      <c r="ATP29" s="4"/>
      <c r="ATQ29" s="4"/>
      <c r="ATR29" s="4"/>
      <c r="ATS29" s="4"/>
      <c r="ATT29" s="4"/>
      <c r="ATU29" s="4"/>
      <c r="ATV29" s="4"/>
      <c r="ATW29" s="4"/>
      <c r="ATX29" s="4"/>
      <c r="ATY29" s="4"/>
      <c r="ATZ29" s="4"/>
      <c r="AUA29" s="4"/>
      <c r="AUB29" s="4"/>
      <c r="AUC29" s="4"/>
      <c r="AUD29" s="4"/>
      <c r="AUE29" s="4"/>
      <c r="AUF29" s="4"/>
      <c r="AUG29" s="4"/>
      <c r="AUH29" s="4"/>
      <c r="AUI29" s="4"/>
      <c r="AUJ29" s="4"/>
      <c r="AUK29" s="4"/>
      <c r="AUL29" s="4"/>
      <c r="AUM29" s="4"/>
      <c r="AUN29" s="4"/>
      <c r="AUO29" s="4"/>
      <c r="AUP29" s="4"/>
      <c r="AUQ29" s="4"/>
      <c r="AUR29" s="4"/>
      <c r="AUS29" s="4"/>
      <c r="AUT29" s="4"/>
      <c r="AUU29" s="4"/>
      <c r="AUV29" s="4"/>
      <c r="AUW29" s="4"/>
      <c r="AUX29" s="4"/>
      <c r="AUY29" s="4"/>
      <c r="AUZ29" s="4"/>
      <c r="AVA29" s="4"/>
      <c r="AVB29" s="4"/>
      <c r="AVC29" s="4"/>
      <c r="AVD29" s="4"/>
      <c r="AVE29" s="4"/>
      <c r="AVF29" s="4"/>
      <c r="AVG29" s="4"/>
      <c r="AVH29" s="4"/>
      <c r="AVI29" s="4"/>
      <c r="AVJ29" s="4"/>
      <c r="AVK29" s="4"/>
      <c r="AVL29" s="4"/>
      <c r="AVM29" s="4"/>
      <c r="AVN29" s="4"/>
      <c r="AVO29" s="4"/>
      <c r="AVP29" s="4"/>
      <c r="AVQ29" s="4"/>
      <c r="AVR29" s="4"/>
      <c r="AVS29" s="4"/>
      <c r="AVT29" s="4"/>
      <c r="AVU29" s="4"/>
      <c r="AVV29" s="4"/>
      <c r="AVW29" s="4"/>
      <c r="AVX29" s="4"/>
      <c r="AVY29" s="4"/>
      <c r="AVZ29" s="4"/>
      <c r="AWA29" s="4"/>
      <c r="AWB29" s="4"/>
      <c r="AWC29" s="4"/>
      <c r="AWD29" s="4"/>
      <c r="AWE29" s="4"/>
      <c r="AWF29" s="4"/>
      <c r="AWG29" s="4"/>
      <c r="AWH29" s="4"/>
      <c r="AWI29" s="4"/>
      <c r="AWJ29" s="4"/>
      <c r="AWK29" s="4"/>
      <c r="AWL29" s="4"/>
      <c r="AWM29" s="4"/>
      <c r="AWN29" s="4"/>
      <c r="AWO29" s="4"/>
      <c r="AWP29" s="4"/>
      <c r="AWQ29" s="4"/>
      <c r="AWR29" s="4"/>
      <c r="AWS29" s="4"/>
      <c r="AWT29" s="4"/>
      <c r="AWU29" s="4"/>
      <c r="AWV29" s="4"/>
      <c r="AWW29" s="4"/>
      <c r="AWX29" s="4"/>
      <c r="AWY29" s="4"/>
      <c r="AWZ29" s="4"/>
      <c r="AXA29" s="4"/>
      <c r="AXB29" s="4"/>
      <c r="AXC29" s="4"/>
      <c r="AXD29" s="4"/>
      <c r="AXE29" s="4"/>
      <c r="AXF29" s="4"/>
      <c r="AXG29" s="4"/>
      <c r="AXH29" s="4"/>
      <c r="AXI29" s="4"/>
      <c r="AXJ29" s="4"/>
      <c r="AXK29" s="4"/>
      <c r="AXL29" s="4"/>
      <c r="AXM29" s="4"/>
      <c r="AXN29" s="4"/>
      <c r="AXO29" s="4"/>
      <c r="AXP29" s="4"/>
      <c r="AXQ29" s="4"/>
      <c r="AXR29" s="4"/>
      <c r="AXS29" s="4"/>
      <c r="AXT29" s="4"/>
      <c r="AXU29" s="4"/>
      <c r="AXV29" s="4"/>
      <c r="AXW29" s="4"/>
      <c r="AXX29" s="4"/>
      <c r="AXY29" s="4"/>
      <c r="AXZ29" s="4"/>
      <c r="AYA29" s="4"/>
      <c r="AYB29" s="4"/>
      <c r="AYC29" s="4"/>
      <c r="AYD29" s="4"/>
      <c r="AYE29" s="4"/>
      <c r="AYF29" s="4"/>
      <c r="AYG29" s="4"/>
      <c r="AYH29" s="4"/>
      <c r="AYI29" s="4"/>
      <c r="AYJ29" s="4"/>
      <c r="AYK29" s="4"/>
      <c r="AYL29" s="4"/>
      <c r="AYM29" s="4"/>
      <c r="AYN29" s="4"/>
      <c r="AYO29" s="4"/>
      <c r="AYP29" s="4"/>
      <c r="AYQ29" s="4"/>
      <c r="AYR29" s="4"/>
      <c r="AYS29" s="4"/>
      <c r="AYT29" s="4"/>
      <c r="AYU29" s="4"/>
      <c r="AYV29" s="4"/>
      <c r="AYW29" s="4"/>
      <c r="AYX29" s="4"/>
      <c r="AYY29" s="4"/>
      <c r="AYZ29" s="4"/>
      <c r="AZA29" s="4"/>
      <c r="AZB29" s="4"/>
      <c r="AZC29" s="4"/>
      <c r="AZD29" s="4"/>
      <c r="AZE29" s="4"/>
      <c r="AZF29" s="4"/>
      <c r="AZG29" s="4"/>
      <c r="AZH29" s="4"/>
      <c r="AZI29" s="4"/>
      <c r="AZJ29" s="4"/>
      <c r="AZK29" s="4"/>
      <c r="AZL29" s="4"/>
      <c r="AZM29" s="4"/>
      <c r="AZN29" s="4"/>
      <c r="AZO29" s="4"/>
      <c r="AZP29" s="4"/>
      <c r="AZQ29" s="4"/>
      <c r="AZR29" s="4"/>
      <c r="AZS29" s="4"/>
      <c r="AZT29" s="4"/>
      <c r="AZU29" s="4"/>
      <c r="AZV29" s="4"/>
      <c r="AZW29" s="4"/>
      <c r="AZX29" s="4"/>
      <c r="AZY29" s="4"/>
      <c r="AZZ29" s="4"/>
      <c r="BAA29" s="4"/>
      <c r="BAB29" s="4"/>
      <c r="BAC29" s="4"/>
      <c r="BAD29" s="4"/>
      <c r="BAE29" s="4"/>
      <c r="BAF29" s="4"/>
      <c r="BAG29" s="4"/>
      <c r="BAH29" s="4"/>
      <c r="BAI29" s="4"/>
      <c r="BAJ29" s="4"/>
      <c r="BAK29" s="4"/>
      <c r="BAL29" s="4"/>
      <c r="BAM29" s="4"/>
      <c r="BAN29" s="4"/>
      <c r="BAO29" s="4"/>
      <c r="BAP29" s="4"/>
      <c r="BAQ29" s="4"/>
      <c r="BAR29" s="4"/>
      <c r="BAS29" s="4"/>
      <c r="BAT29" s="4"/>
      <c r="BAU29" s="4"/>
      <c r="BAV29" s="4"/>
      <c r="BAW29" s="4"/>
      <c r="BAX29" s="4"/>
      <c r="BAY29" s="4"/>
      <c r="BAZ29" s="4"/>
      <c r="BBA29" s="4"/>
      <c r="BBB29" s="4"/>
      <c r="BBC29" s="4"/>
      <c r="BBD29" s="4"/>
      <c r="BBE29" s="4"/>
      <c r="BBF29" s="4"/>
      <c r="BBG29" s="4"/>
      <c r="BBH29" s="4"/>
      <c r="BBI29" s="4"/>
      <c r="BBJ29" s="4"/>
      <c r="BBK29" s="4"/>
      <c r="BBL29" s="4"/>
      <c r="BBM29" s="4"/>
      <c r="BBN29" s="4"/>
      <c r="BBO29" s="4"/>
      <c r="BBP29" s="4"/>
      <c r="BBQ29" s="4"/>
      <c r="BBR29" s="4"/>
      <c r="BBS29" s="4"/>
      <c r="BBT29" s="4"/>
      <c r="BBU29" s="4"/>
      <c r="BBV29" s="4"/>
      <c r="BBW29" s="4"/>
      <c r="BBX29" s="4"/>
      <c r="BBY29" s="4"/>
      <c r="BBZ29" s="4"/>
      <c r="BCA29" s="4"/>
      <c r="BCB29" s="4"/>
      <c r="BCC29" s="4"/>
      <c r="BCD29" s="4"/>
      <c r="BCE29" s="4"/>
      <c r="BCF29" s="4"/>
      <c r="BCG29" s="4"/>
      <c r="BCH29" s="4"/>
      <c r="BCI29" s="4"/>
      <c r="BCJ29" s="4"/>
      <c r="BCK29" s="4"/>
      <c r="BCL29" s="4"/>
      <c r="BCM29" s="4"/>
      <c r="BCN29" s="4"/>
      <c r="BCO29" s="4"/>
      <c r="BCP29" s="4"/>
      <c r="BCQ29" s="4"/>
      <c r="BCR29" s="4"/>
      <c r="BCS29" s="4"/>
      <c r="BCT29" s="4"/>
      <c r="BCU29" s="4"/>
      <c r="BCV29" s="4"/>
      <c r="BCW29" s="4"/>
      <c r="BCX29" s="4"/>
      <c r="BCY29" s="4"/>
      <c r="BCZ29" s="4"/>
      <c r="BDA29" s="4"/>
      <c r="BDB29" s="4"/>
      <c r="BDC29" s="4"/>
      <c r="BDD29" s="4"/>
      <c r="BDE29" s="4"/>
      <c r="BDF29" s="4"/>
      <c r="BDG29" s="4"/>
      <c r="BDH29" s="4"/>
      <c r="BDI29" s="4"/>
      <c r="BDJ29" s="4"/>
      <c r="BDK29" s="4"/>
      <c r="BDL29" s="4"/>
      <c r="BDM29" s="4"/>
      <c r="BDN29" s="4"/>
      <c r="BDO29" s="4"/>
      <c r="BDP29" s="4"/>
      <c r="BDQ29" s="4"/>
      <c r="BDR29" s="4"/>
      <c r="BDS29" s="4"/>
      <c r="BDT29" s="4"/>
      <c r="BDU29" s="4"/>
      <c r="BDV29" s="4"/>
      <c r="BDW29" s="4"/>
      <c r="BDX29" s="4"/>
      <c r="BDY29" s="4"/>
      <c r="BDZ29" s="4"/>
      <c r="BEA29" s="4"/>
      <c r="BEB29" s="4"/>
      <c r="BEC29" s="4"/>
      <c r="BED29" s="4"/>
      <c r="BEE29" s="4"/>
      <c r="BEF29" s="4"/>
      <c r="BEG29" s="4"/>
      <c r="BEH29" s="4"/>
      <c r="BEI29" s="4"/>
      <c r="BEJ29" s="4"/>
      <c r="BEK29" s="4"/>
      <c r="BEL29" s="4"/>
      <c r="BEM29" s="4"/>
      <c r="BEN29" s="4"/>
      <c r="BEO29" s="4"/>
      <c r="BEP29" s="4"/>
      <c r="BEQ29" s="4"/>
      <c r="BER29" s="4"/>
      <c r="BES29" s="4"/>
      <c r="BET29" s="4"/>
      <c r="BEU29" s="4"/>
      <c r="BEV29" s="4"/>
      <c r="BEW29" s="4"/>
      <c r="BEX29" s="4"/>
      <c r="BEY29" s="4"/>
      <c r="BEZ29" s="4"/>
      <c r="BFA29" s="4"/>
      <c r="BFB29" s="4"/>
      <c r="BFC29" s="4"/>
      <c r="BFD29" s="4"/>
      <c r="BFE29" s="4"/>
      <c r="BFF29" s="4"/>
      <c r="BFG29" s="4"/>
      <c r="BFH29" s="4"/>
      <c r="BFI29" s="4"/>
      <c r="BFJ29" s="4"/>
      <c r="BFK29" s="4"/>
      <c r="BFL29" s="4"/>
      <c r="BFM29" s="4"/>
      <c r="BFN29" s="4"/>
      <c r="BFO29" s="4"/>
      <c r="BFP29" s="4"/>
      <c r="BFQ29" s="4"/>
      <c r="BFR29" s="4"/>
      <c r="BFS29" s="4"/>
      <c r="BFT29" s="4"/>
      <c r="BFU29" s="4"/>
      <c r="BFV29" s="4"/>
      <c r="BFW29" s="4"/>
      <c r="BFX29" s="4"/>
      <c r="BFY29" s="4"/>
      <c r="BFZ29" s="4"/>
      <c r="BGA29" s="4"/>
      <c r="BGB29" s="4"/>
      <c r="BGC29" s="4"/>
      <c r="BGD29" s="4"/>
      <c r="BGE29" s="4"/>
      <c r="BGF29" s="4"/>
      <c r="BGG29" s="4"/>
      <c r="BGH29" s="4"/>
      <c r="BGI29" s="4"/>
      <c r="BGJ29" s="4"/>
      <c r="BGK29" s="4"/>
      <c r="BGL29" s="4"/>
      <c r="BGM29" s="4"/>
      <c r="BGN29" s="4"/>
      <c r="BGO29" s="4"/>
      <c r="BGP29" s="4"/>
      <c r="BGQ29" s="4"/>
      <c r="BGR29" s="4"/>
      <c r="BGS29" s="4"/>
      <c r="BGT29" s="4"/>
      <c r="BGU29" s="4"/>
      <c r="BGV29" s="4"/>
      <c r="BGW29" s="4"/>
      <c r="BGX29" s="4"/>
      <c r="BGY29" s="4"/>
      <c r="BGZ29" s="4"/>
      <c r="BHA29" s="4"/>
      <c r="BHB29" s="4"/>
      <c r="BHC29" s="4"/>
      <c r="BHD29" s="4"/>
      <c r="BHE29" s="4"/>
      <c r="BHF29" s="4"/>
      <c r="BHG29" s="4"/>
      <c r="BHH29" s="4"/>
      <c r="BHI29" s="4"/>
      <c r="BHJ29" s="4"/>
      <c r="BHK29" s="4"/>
      <c r="BHL29" s="4"/>
      <c r="BHM29" s="4"/>
      <c r="BHN29" s="4"/>
      <c r="BHO29" s="4"/>
      <c r="BHP29" s="4"/>
      <c r="BHQ29" s="4"/>
      <c r="BHR29" s="4"/>
      <c r="BHS29" s="4"/>
      <c r="BHT29" s="4"/>
      <c r="BHU29" s="4"/>
      <c r="BHV29" s="4"/>
      <c r="BHW29" s="4"/>
      <c r="BHX29" s="4"/>
      <c r="BHY29" s="4"/>
      <c r="BHZ29" s="4"/>
      <c r="BIA29" s="4"/>
      <c r="BIB29" s="4"/>
      <c r="BIC29" s="4"/>
      <c r="BID29" s="4"/>
      <c r="BIE29" s="4"/>
      <c r="BIF29" s="4"/>
      <c r="BIG29" s="4"/>
      <c r="BIH29" s="4"/>
      <c r="BII29" s="4"/>
      <c r="BIJ29" s="4"/>
      <c r="BIK29" s="4"/>
      <c r="BIL29" s="4"/>
      <c r="BIM29" s="4"/>
      <c r="BIN29" s="4"/>
      <c r="BIO29" s="4"/>
      <c r="BIP29" s="4"/>
      <c r="BIQ29" s="4"/>
      <c r="BIR29" s="4"/>
      <c r="BIS29" s="4"/>
      <c r="BIT29" s="4"/>
      <c r="BIU29" s="4"/>
      <c r="BIV29" s="4"/>
      <c r="BIW29" s="4"/>
      <c r="BIX29" s="4"/>
      <c r="BIY29" s="4"/>
      <c r="BIZ29" s="4"/>
      <c r="BJA29" s="4"/>
      <c r="BJB29" s="4"/>
      <c r="BJC29" s="4"/>
      <c r="BJD29" s="4"/>
      <c r="BJE29" s="4"/>
      <c r="BJF29" s="4"/>
      <c r="BJG29" s="4"/>
      <c r="BJH29" s="4"/>
      <c r="BJI29" s="4"/>
      <c r="BJJ29" s="4"/>
      <c r="BJK29" s="4"/>
      <c r="BJL29" s="4"/>
      <c r="BJM29" s="4"/>
      <c r="BJN29" s="4"/>
      <c r="BJO29" s="4"/>
      <c r="BJP29" s="4"/>
      <c r="BJQ29" s="4"/>
      <c r="BJR29" s="4"/>
      <c r="BJS29" s="4"/>
      <c r="BJT29" s="4"/>
      <c r="BJU29" s="4"/>
      <c r="BJV29" s="4"/>
      <c r="BJW29" s="4"/>
      <c r="BJX29" s="4"/>
      <c r="BJY29" s="4"/>
      <c r="BJZ29" s="4"/>
      <c r="BKA29" s="4"/>
      <c r="BKB29" s="4"/>
      <c r="BKC29" s="4"/>
      <c r="BKD29" s="4"/>
      <c r="BKE29" s="4"/>
      <c r="BKF29" s="4"/>
      <c r="BKG29" s="4"/>
      <c r="BKH29" s="4"/>
      <c r="BKI29" s="4"/>
      <c r="BKJ29" s="4"/>
      <c r="BKK29" s="4"/>
      <c r="BKL29" s="4"/>
      <c r="BKM29" s="4"/>
      <c r="BKN29" s="4"/>
      <c r="BKO29" s="4"/>
      <c r="BKP29" s="4"/>
      <c r="BKQ29" s="4"/>
      <c r="BKR29" s="4"/>
      <c r="BKS29" s="4"/>
      <c r="BKT29" s="4"/>
      <c r="BKU29" s="4"/>
      <c r="BKV29" s="4"/>
      <c r="BKW29" s="4"/>
      <c r="BKX29" s="4"/>
      <c r="BKY29" s="4"/>
      <c r="BKZ29" s="4"/>
      <c r="BLA29" s="4"/>
      <c r="BLB29" s="4"/>
      <c r="BLC29" s="4"/>
      <c r="BLD29" s="4"/>
      <c r="BLE29" s="4"/>
      <c r="BLF29" s="4"/>
      <c r="BLG29" s="4"/>
      <c r="BLH29" s="4"/>
      <c r="BLI29" s="4"/>
      <c r="BLJ29" s="4"/>
      <c r="BLK29" s="4"/>
      <c r="BLL29" s="4"/>
      <c r="BLM29" s="4"/>
      <c r="BLN29" s="4"/>
      <c r="BLO29" s="4"/>
      <c r="BLP29" s="4"/>
      <c r="BLQ29" s="4"/>
      <c r="BLR29" s="4"/>
      <c r="BLS29" s="4"/>
      <c r="BLT29" s="4"/>
      <c r="BLU29" s="4"/>
      <c r="BLV29" s="4"/>
      <c r="BLW29" s="4"/>
      <c r="BLX29" s="4"/>
      <c r="BLY29" s="4"/>
      <c r="BLZ29" s="4"/>
      <c r="BMA29" s="4"/>
      <c r="BMB29" s="4"/>
      <c r="BMC29" s="4"/>
      <c r="BMD29" s="4"/>
      <c r="BME29" s="4"/>
      <c r="BMF29" s="4"/>
      <c r="BMG29" s="4"/>
      <c r="BMH29" s="4"/>
      <c r="BMI29" s="4"/>
      <c r="BMJ29" s="4"/>
      <c r="BMK29" s="4"/>
      <c r="BML29" s="4"/>
      <c r="BMM29" s="4"/>
      <c r="BMN29" s="4"/>
      <c r="BMO29" s="4"/>
      <c r="BMP29" s="4"/>
      <c r="BMQ29" s="4"/>
      <c r="BMR29" s="4"/>
      <c r="BMS29" s="4"/>
      <c r="BMT29" s="4"/>
      <c r="BMU29" s="4"/>
      <c r="BMV29" s="4"/>
      <c r="BMW29" s="4"/>
      <c r="BMX29" s="4"/>
      <c r="BMY29" s="4"/>
      <c r="BMZ29" s="4"/>
      <c r="BNA29" s="4"/>
      <c r="BNB29" s="4"/>
      <c r="BNC29" s="4"/>
      <c r="BND29" s="4"/>
      <c r="BNE29" s="4"/>
      <c r="BNF29" s="4"/>
      <c r="BNG29" s="4"/>
      <c r="BNH29" s="4"/>
      <c r="BNI29" s="4"/>
      <c r="BNJ29" s="4"/>
      <c r="BNK29" s="4"/>
      <c r="BNL29" s="4"/>
      <c r="BNM29" s="4"/>
      <c r="BNN29" s="4"/>
      <c r="BNO29" s="4"/>
      <c r="BNP29" s="4"/>
      <c r="BNQ29" s="4"/>
      <c r="BNR29" s="4"/>
      <c r="BNS29" s="4"/>
      <c r="BNT29" s="4"/>
      <c r="BNU29" s="4"/>
      <c r="BNV29" s="4"/>
      <c r="BNW29" s="4"/>
      <c r="BNX29" s="4"/>
      <c r="BNY29" s="4"/>
      <c r="BNZ29" s="4"/>
      <c r="BOA29" s="4"/>
      <c r="BOB29" s="4"/>
      <c r="BOC29" s="4"/>
      <c r="BOD29" s="4"/>
      <c r="BOE29" s="4"/>
      <c r="BOF29" s="4"/>
      <c r="BOG29" s="4"/>
      <c r="BOH29" s="4"/>
      <c r="BOI29" s="4"/>
      <c r="BOJ29" s="4"/>
      <c r="BOK29" s="4"/>
      <c r="BOL29" s="4"/>
      <c r="BOM29" s="4"/>
      <c r="BON29" s="4"/>
      <c r="BOO29" s="4"/>
      <c r="BOP29" s="4"/>
      <c r="BOQ29" s="4"/>
      <c r="BOR29" s="4"/>
      <c r="BOS29" s="4"/>
      <c r="BOT29" s="4"/>
      <c r="BOU29" s="4"/>
      <c r="BOV29" s="4"/>
      <c r="BOW29" s="4"/>
      <c r="BOX29" s="4"/>
      <c r="BOY29" s="4"/>
      <c r="BOZ29" s="4"/>
      <c r="BPA29" s="66"/>
    </row>
    <row r="30" s="6" customFormat="1" ht="60" customHeight="1" spans="1:1024 1025:1769">
      <c r="A30" s="47" t="s">
        <v>112</v>
      </c>
      <c r="B30" s="48" t="s">
        <v>1312</v>
      </c>
      <c r="C30" s="48" t="s">
        <v>1313</v>
      </c>
      <c r="D30" s="49" t="s">
        <v>1314</v>
      </c>
      <c r="E30" s="56"/>
      <c r="F30" s="51">
        <v>46175</v>
      </c>
      <c r="G30" s="58" t="s">
        <v>8</v>
      </c>
      <c r="H30" s="56" t="s">
        <v>1288</v>
      </c>
      <c r="I30" s="5" t="s">
        <v>1315</v>
      </c>
      <c r="J30" s="5" t="s">
        <v>1254</v>
      </c>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c r="AMG30" s="4"/>
      <c r="AMH30" s="4"/>
      <c r="AMI30" s="4"/>
      <c r="AMJ30" s="4"/>
      <c r="AMK30" s="4"/>
      <c r="AML30" s="4"/>
      <c r="AMM30" s="4"/>
      <c r="AMN30" s="4"/>
      <c r="AMO30" s="4"/>
      <c r="AMP30" s="4"/>
      <c r="AMQ30" s="4"/>
      <c r="AMR30" s="4"/>
      <c r="AMS30" s="4"/>
      <c r="AMT30" s="4"/>
      <c r="AMU30" s="4"/>
      <c r="AMV30" s="4"/>
      <c r="AMW30" s="4"/>
      <c r="AMX30" s="4"/>
      <c r="AMY30" s="4"/>
      <c r="AMZ30" s="4"/>
      <c r="ANA30" s="4"/>
      <c r="ANB30" s="4"/>
      <c r="ANC30" s="4"/>
      <c r="AND30" s="4"/>
      <c r="ANE30" s="4"/>
      <c r="ANF30" s="4"/>
      <c r="ANG30" s="4"/>
      <c r="ANH30" s="4"/>
      <c r="ANI30" s="4"/>
      <c r="ANJ30" s="4"/>
      <c r="ANK30" s="4"/>
      <c r="ANL30" s="4"/>
      <c r="ANM30" s="4"/>
      <c r="ANN30" s="4"/>
      <c r="ANO30" s="4"/>
      <c r="ANP30" s="4"/>
      <c r="ANQ30" s="4"/>
      <c r="ANR30" s="4"/>
      <c r="ANS30" s="4"/>
      <c r="ANT30" s="4"/>
      <c r="ANU30" s="4"/>
      <c r="ANV30" s="4"/>
      <c r="ANW30" s="4"/>
      <c r="ANX30" s="4"/>
      <c r="ANY30" s="4"/>
      <c r="ANZ30" s="4"/>
      <c r="AOA30" s="4"/>
      <c r="AOB30" s="4"/>
      <c r="AOC30" s="4"/>
      <c r="AOD30" s="4"/>
      <c r="AOE30" s="4"/>
      <c r="AOF30" s="4"/>
      <c r="AOG30" s="4"/>
      <c r="AOH30" s="4"/>
      <c r="AOI30" s="4"/>
      <c r="AOJ30" s="4"/>
      <c r="AOK30" s="4"/>
      <c r="AOL30" s="4"/>
      <c r="AOM30" s="4"/>
      <c r="AON30" s="4"/>
      <c r="AOO30" s="4"/>
      <c r="AOP30" s="4"/>
      <c r="AOQ30" s="4"/>
      <c r="AOR30" s="4"/>
      <c r="AOS30" s="4"/>
      <c r="AOT30" s="4"/>
      <c r="AOU30" s="4"/>
      <c r="AOV30" s="4"/>
      <c r="AOW30" s="4"/>
      <c r="AOX30" s="4"/>
      <c r="AOY30" s="4"/>
      <c r="AOZ30" s="4"/>
      <c r="APA30" s="4"/>
      <c r="APB30" s="4"/>
      <c r="APC30" s="4"/>
      <c r="APD30" s="4"/>
      <c r="APE30" s="4"/>
      <c r="APF30" s="4"/>
      <c r="APG30" s="4"/>
      <c r="APH30" s="4"/>
      <c r="API30" s="4"/>
      <c r="APJ30" s="4"/>
      <c r="APK30" s="4"/>
      <c r="APL30" s="4"/>
      <c r="APM30" s="4"/>
      <c r="APN30" s="4"/>
      <c r="APO30" s="4"/>
      <c r="APP30" s="4"/>
      <c r="APQ30" s="4"/>
      <c r="APR30" s="4"/>
      <c r="APS30" s="4"/>
      <c r="APT30" s="4"/>
      <c r="APU30" s="4"/>
      <c r="APV30" s="4"/>
      <c r="APW30" s="4"/>
      <c r="APX30" s="4"/>
      <c r="APY30" s="4"/>
      <c r="APZ30" s="4"/>
      <c r="AQA30" s="4"/>
      <c r="AQB30" s="4"/>
      <c r="AQC30" s="4"/>
      <c r="AQD30" s="4"/>
      <c r="AQE30" s="4"/>
      <c r="AQF30" s="4"/>
      <c r="AQG30" s="4"/>
      <c r="AQH30" s="4"/>
      <c r="AQI30" s="4"/>
      <c r="AQJ30" s="4"/>
      <c r="AQK30" s="4"/>
      <c r="AQL30" s="4"/>
      <c r="AQM30" s="4"/>
      <c r="AQN30" s="4"/>
      <c r="AQO30" s="4"/>
      <c r="AQP30" s="4"/>
      <c r="AQQ30" s="4"/>
      <c r="AQR30" s="4"/>
      <c r="AQS30" s="4"/>
      <c r="AQT30" s="4"/>
      <c r="AQU30" s="4"/>
      <c r="AQV30" s="4"/>
      <c r="AQW30" s="4"/>
      <c r="AQX30" s="4"/>
      <c r="AQY30" s="4"/>
      <c r="AQZ30" s="4"/>
      <c r="ARA30" s="4"/>
      <c r="ARB30" s="4"/>
      <c r="ARC30" s="4"/>
      <c r="ARD30" s="4"/>
      <c r="ARE30" s="4"/>
      <c r="ARF30" s="4"/>
      <c r="ARG30" s="4"/>
      <c r="ARH30" s="4"/>
      <c r="ARI30" s="4"/>
      <c r="ARJ30" s="4"/>
      <c r="ARK30" s="4"/>
      <c r="ARL30" s="4"/>
      <c r="ARM30" s="4"/>
      <c r="ARN30" s="4"/>
      <c r="ARO30" s="4"/>
      <c r="ARP30" s="4"/>
      <c r="ARQ30" s="4"/>
      <c r="ARR30" s="4"/>
      <c r="ARS30" s="4"/>
      <c r="ART30" s="4"/>
      <c r="ARU30" s="4"/>
      <c r="ARV30" s="4"/>
      <c r="ARW30" s="4"/>
      <c r="ARX30" s="4"/>
      <c r="ARY30" s="4"/>
      <c r="ARZ30" s="4"/>
      <c r="ASA30" s="4"/>
      <c r="ASB30" s="4"/>
      <c r="ASC30" s="4"/>
      <c r="ASD30" s="4"/>
      <c r="ASE30" s="4"/>
      <c r="ASF30" s="4"/>
      <c r="ASG30" s="4"/>
      <c r="ASH30" s="4"/>
      <c r="ASI30" s="4"/>
      <c r="ASJ30" s="4"/>
      <c r="ASK30" s="4"/>
      <c r="ASL30" s="4"/>
      <c r="ASM30" s="4"/>
      <c r="ASN30" s="4"/>
      <c r="ASO30" s="4"/>
      <c r="ASP30" s="4"/>
      <c r="ASQ30" s="4"/>
      <c r="ASR30" s="4"/>
      <c r="ASS30" s="4"/>
      <c r="AST30" s="4"/>
      <c r="ASU30" s="4"/>
      <c r="ASV30" s="4"/>
      <c r="ASW30" s="4"/>
      <c r="ASX30" s="4"/>
      <c r="ASY30" s="4"/>
      <c r="ASZ30" s="4"/>
      <c r="ATA30" s="4"/>
      <c r="ATB30" s="4"/>
      <c r="ATC30" s="4"/>
      <c r="ATD30" s="4"/>
      <c r="ATE30" s="4"/>
      <c r="ATF30" s="4"/>
      <c r="ATG30" s="4"/>
      <c r="ATH30" s="4"/>
      <c r="ATI30" s="4"/>
      <c r="ATJ30" s="4"/>
      <c r="ATK30" s="4"/>
      <c r="ATL30" s="4"/>
      <c r="ATM30" s="4"/>
      <c r="ATN30" s="4"/>
      <c r="ATO30" s="4"/>
      <c r="ATP30" s="4"/>
      <c r="ATQ30" s="4"/>
      <c r="ATR30" s="4"/>
      <c r="ATS30" s="4"/>
      <c r="ATT30" s="4"/>
      <c r="ATU30" s="4"/>
      <c r="ATV30" s="4"/>
      <c r="ATW30" s="4"/>
      <c r="ATX30" s="4"/>
      <c r="ATY30" s="4"/>
      <c r="ATZ30" s="4"/>
      <c r="AUA30" s="4"/>
      <c r="AUB30" s="4"/>
      <c r="AUC30" s="4"/>
      <c r="AUD30" s="4"/>
      <c r="AUE30" s="4"/>
      <c r="AUF30" s="4"/>
      <c r="AUG30" s="4"/>
      <c r="AUH30" s="4"/>
      <c r="AUI30" s="4"/>
      <c r="AUJ30" s="4"/>
      <c r="AUK30" s="4"/>
      <c r="AUL30" s="4"/>
      <c r="AUM30" s="4"/>
      <c r="AUN30" s="4"/>
      <c r="AUO30" s="4"/>
      <c r="AUP30" s="4"/>
      <c r="AUQ30" s="4"/>
      <c r="AUR30" s="4"/>
      <c r="AUS30" s="4"/>
      <c r="AUT30" s="4"/>
      <c r="AUU30" s="4"/>
      <c r="AUV30" s="4"/>
      <c r="AUW30" s="4"/>
      <c r="AUX30" s="4"/>
      <c r="AUY30" s="4"/>
      <c r="AUZ30" s="4"/>
      <c r="AVA30" s="4"/>
      <c r="AVB30" s="4"/>
      <c r="AVC30" s="4"/>
      <c r="AVD30" s="4"/>
      <c r="AVE30" s="4"/>
      <c r="AVF30" s="4"/>
      <c r="AVG30" s="4"/>
      <c r="AVH30" s="4"/>
      <c r="AVI30" s="4"/>
      <c r="AVJ30" s="4"/>
      <c r="AVK30" s="4"/>
      <c r="AVL30" s="4"/>
      <c r="AVM30" s="4"/>
      <c r="AVN30" s="4"/>
      <c r="AVO30" s="4"/>
      <c r="AVP30" s="4"/>
      <c r="AVQ30" s="4"/>
      <c r="AVR30" s="4"/>
      <c r="AVS30" s="4"/>
      <c r="AVT30" s="4"/>
      <c r="AVU30" s="4"/>
      <c r="AVV30" s="4"/>
      <c r="AVW30" s="4"/>
      <c r="AVX30" s="4"/>
      <c r="AVY30" s="4"/>
      <c r="AVZ30" s="4"/>
      <c r="AWA30" s="4"/>
      <c r="AWB30" s="4"/>
      <c r="AWC30" s="4"/>
      <c r="AWD30" s="4"/>
      <c r="AWE30" s="4"/>
      <c r="AWF30" s="4"/>
      <c r="AWG30" s="4"/>
      <c r="AWH30" s="4"/>
      <c r="AWI30" s="4"/>
      <c r="AWJ30" s="4"/>
      <c r="AWK30" s="4"/>
      <c r="AWL30" s="4"/>
      <c r="AWM30" s="4"/>
      <c r="AWN30" s="4"/>
      <c r="AWO30" s="4"/>
      <c r="AWP30" s="4"/>
      <c r="AWQ30" s="4"/>
      <c r="AWR30" s="4"/>
      <c r="AWS30" s="4"/>
      <c r="AWT30" s="4"/>
      <c r="AWU30" s="4"/>
      <c r="AWV30" s="4"/>
      <c r="AWW30" s="4"/>
      <c r="AWX30" s="4"/>
      <c r="AWY30" s="4"/>
      <c r="AWZ30" s="4"/>
      <c r="AXA30" s="4"/>
      <c r="AXB30" s="4"/>
      <c r="AXC30" s="4"/>
      <c r="AXD30" s="4"/>
      <c r="AXE30" s="4"/>
      <c r="AXF30" s="4"/>
      <c r="AXG30" s="4"/>
      <c r="AXH30" s="4"/>
      <c r="AXI30" s="4"/>
      <c r="AXJ30" s="4"/>
      <c r="AXK30" s="4"/>
      <c r="AXL30" s="4"/>
      <c r="AXM30" s="4"/>
      <c r="AXN30" s="4"/>
      <c r="AXO30" s="4"/>
      <c r="AXP30" s="4"/>
      <c r="AXQ30" s="4"/>
      <c r="AXR30" s="4"/>
      <c r="AXS30" s="4"/>
      <c r="AXT30" s="4"/>
      <c r="AXU30" s="4"/>
      <c r="AXV30" s="4"/>
      <c r="AXW30" s="4"/>
      <c r="AXX30" s="4"/>
      <c r="AXY30" s="4"/>
      <c r="AXZ30" s="4"/>
      <c r="AYA30" s="4"/>
      <c r="AYB30" s="4"/>
      <c r="AYC30" s="4"/>
      <c r="AYD30" s="4"/>
      <c r="AYE30" s="4"/>
      <c r="AYF30" s="4"/>
      <c r="AYG30" s="4"/>
      <c r="AYH30" s="4"/>
      <c r="AYI30" s="4"/>
      <c r="AYJ30" s="4"/>
      <c r="AYK30" s="4"/>
      <c r="AYL30" s="4"/>
      <c r="AYM30" s="4"/>
      <c r="AYN30" s="4"/>
      <c r="AYO30" s="4"/>
      <c r="AYP30" s="4"/>
      <c r="AYQ30" s="4"/>
      <c r="AYR30" s="4"/>
      <c r="AYS30" s="4"/>
      <c r="AYT30" s="4"/>
      <c r="AYU30" s="4"/>
      <c r="AYV30" s="4"/>
      <c r="AYW30" s="4"/>
      <c r="AYX30" s="4"/>
      <c r="AYY30" s="4"/>
      <c r="AYZ30" s="4"/>
      <c r="AZA30" s="4"/>
      <c r="AZB30" s="4"/>
      <c r="AZC30" s="4"/>
      <c r="AZD30" s="4"/>
      <c r="AZE30" s="4"/>
      <c r="AZF30" s="4"/>
      <c r="AZG30" s="4"/>
      <c r="AZH30" s="4"/>
      <c r="AZI30" s="4"/>
      <c r="AZJ30" s="4"/>
      <c r="AZK30" s="4"/>
      <c r="AZL30" s="4"/>
      <c r="AZM30" s="4"/>
      <c r="AZN30" s="4"/>
      <c r="AZO30" s="4"/>
      <c r="AZP30" s="4"/>
      <c r="AZQ30" s="4"/>
      <c r="AZR30" s="4"/>
      <c r="AZS30" s="4"/>
      <c r="AZT30" s="4"/>
      <c r="AZU30" s="4"/>
      <c r="AZV30" s="4"/>
      <c r="AZW30" s="4"/>
      <c r="AZX30" s="4"/>
      <c r="AZY30" s="4"/>
      <c r="AZZ30" s="4"/>
      <c r="BAA30" s="4"/>
      <c r="BAB30" s="4"/>
      <c r="BAC30" s="4"/>
      <c r="BAD30" s="4"/>
      <c r="BAE30" s="4"/>
      <c r="BAF30" s="4"/>
      <c r="BAG30" s="4"/>
      <c r="BAH30" s="4"/>
      <c r="BAI30" s="4"/>
      <c r="BAJ30" s="4"/>
      <c r="BAK30" s="4"/>
      <c r="BAL30" s="4"/>
      <c r="BAM30" s="4"/>
      <c r="BAN30" s="4"/>
      <c r="BAO30" s="4"/>
      <c r="BAP30" s="4"/>
      <c r="BAQ30" s="4"/>
      <c r="BAR30" s="4"/>
      <c r="BAS30" s="4"/>
      <c r="BAT30" s="4"/>
      <c r="BAU30" s="4"/>
      <c r="BAV30" s="4"/>
      <c r="BAW30" s="4"/>
      <c r="BAX30" s="4"/>
      <c r="BAY30" s="4"/>
      <c r="BAZ30" s="4"/>
      <c r="BBA30" s="4"/>
      <c r="BBB30" s="4"/>
      <c r="BBC30" s="4"/>
      <c r="BBD30" s="4"/>
      <c r="BBE30" s="4"/>
      <c r="BBF30" s="4"/>
      <c r="BBG30" s="4"/>
      <c r="BBH30" s="4"/>
      <c r="BBI30" s="4"/>
      <c r="BBJ30" s="4"/>
      <c r="BBK30" s="4"/>
      <c r="BBL30" s="4"/>
      <c r="BBM30" s="4"/>
      <c r="BBN30" s="4"/>
      <c r="BBO30" s="4"/>
      <c r="BBP30" s="4"/>
      <c r="BBQ30" s="4"/>
      <c r="BBR30" s="4"/>
      <c r="BBS30" s="4"/>
      <c r="BBT30" s="4"/>
      <c r="BBU30" s="4"/>
      <c r="BBV30" s="4"/>
      <c r="BBW30" s="4"/>
      <c r="BBX30" s="4"/>
      <c r="BBY30" s="4"/>
      <c r="BBZ30" s="4"/>
      <c r="BCA30" s="4"/>
      <c r="BCB30" s="4"/>
      <c r="BCC30" s="4"/>
      <c r="BCD30" s="4"/>
      <c r="BCE30" s="4"/>
      <c r="BCF30" s="4"/>
      <c r="BCG30" s="4"/>
      <c r="BCH30" s="4"/>
      <c r="BCI30" s="4"/>
      <c r="BCJ30" s="4"/>
      <c r="BCK30" s="4"/>
      <c r="BCL30" s="4"/>
      <c r="BCM30" s="4"/>
      <c r="BCN30" s="4"/>
      <c r="BCO30" s="4"/>
      <c r="BCP30" s="4"/>
      <c r="BCQ30" s="4"/>
      <c r="BCR30" s="4"/>
      <c r="BCS30" s="4"/>
      <c r="BCT30" s="4"/>
      <c r="BCU30" s="4"/>
      <c r="BCV30" s="4"/>
      <c r="BCW30" s="4"/>
      <c r="BCX30" s="4"/>
      <c r="BCY30" s="4"/>
      <c r="BCZ30" s="4"/>
      <c r="BDA30" s="4"/>
      <c r="BDB30" s="4"/>
      <c r="BDC30" s="4"/>
      <c r="BDD30" s="4"/>
      <c r="BDE30" s="4"/>
      <c r="BDF30" s="4"/>
      <c r="BDG30" s="4"/>
      <c r="BDH30" s="4"/>
      <c r="BDI30" s="4"/>
      <c r="BDJ30" s="4"/>
      <c r="BDK30" s="4"/>
      <c r="BDL30" s="4"/>
      <c r="BDM30" s="4"/>
      <c r="BDN30" s="4"/>
      <c r="BDO30" s="4"/>
      <c r="BDP30" s="4"/>
      <c r="BDQ30" s="4"/>
      <c r="BDR30" s="4"/>
      <c r="BDS30" s="4"/>
      <c r="BDT30" s="4"/>
      <c r="BDU30" s="4"/>
      <c r="BDV30" s="4"/>
      <c r="BDW30" s="4"/>
      <c r="BDX30" s="4"/>
      <c r="BDY30" s="4"/>
      <c r="BDZ30" s="4"/>
      <c r="BEA30" s="4"/>
      <c r="BEB30" s="4"/>
      <c r="BEC30" s="4"/>
      <c r="BED30" s="4"/>
      <c r="BEE30" s="4"/>
      <c r="BEF30" s="4"/>
      <c r="BEG30" s="4"/>
      <c r="BEH30" s="4"/>
      <c r="BEI30" s="4"/>
      <c r="BEJ30" s="4"/>
      <c r="BEK30" s="4"/>
      <c r="BEL30" s="4"/>
      <c r="BEM30" s="4"/>
      <c r="BEN30" s="4"/>
      <c r="BEO30" s="4"/>
      <c r="BEP30" s="4"/>
      <c r="BEQ30" s="4"/>
      <c r="BER30" s="4"/>
      <c r="BES30" s="4"/>
      <c r="BET30" s="4"/>
      <c r="BEU30" s="4"/>
      <c r="BEV30" s="4"/>
      <c r="BEW30" s="4"/>
      <c r="BEX30" s="4"/>
      <c r="BEY30" s="4"/>
      <c r="BEZ30" s="4"/>
      <c r="BFA30" s="4"/>
      <c r="BFB30" s="4"/>
      <c r="BFC30" s="4"/>
      <c r="BFD30" s="4"/>
      <c r="BFE30" s="4"/>
      <c r="BFF30" s="4"/>
      <c r="BFG30" s="4"/>
      <c r="BFH30" s="4"/>
      <c r="BFI30" s="4"/>
      <c r="BFJ30" s="4"/>
      <c r="BFK30" s="4"/>
      <c r="BFL30" s="4"/>
      <c r="BFM30" s="4"/>
      <c r="BFN30" s="4"/>
      <c r="BFO30" s="4"/>
      <c r="BFP30" s="4"/>
      <c r="BFQ30" s="4"/>
      <c r="BFR30" s="4"/>
      <c r="BFS30" s="4"/>
      <c r="BFT30" s="4"/>
      <c r="BFU30" s="4"/>
      <c r="BFV30" s="4"/>
      <c r="BFW30" s="4"/>
      <c r="BFX30" s="4"/>
      <c r="BFY30" s="4"/>
      <c r="BFZ30" s="4"/>
      <c r="BGA30" s="4"/>
      <c r="BGB30" s="4"/>
      <c r="BGC30" s="4"/>
      <c r="BGD30" s="4"/>
      <c r="BGE30" s="4"/>
      <c r="BGF30" s="4"/>
      <c r="BGG30" s="4"/>
      <c r="BGH30" s="4"/>
      <c r="BGI30" s="4"/>
      <c r="BGJ30" s="4"/>
      <c r="BGK30" s="4"/>
      <c r="BGL30" s="4"/>
      <c r="BGM30" s="4"/>
      <c r="BGN30" s="4"/>
      <c r="BGO30" s="4"/>
      <c r="BGP30" s="4"/>
      <c r="BGQ30" s="4"/>
      <c r="BGR30" s="4"/>
      <c r="BGS30" s="4"/>
      <c r="BGT30" s="4"/>
      <c r="BGU30" s="4"/>
      <c r="BGV30" s="4"/>
      <c r="BGW30" s="4"/>
      <c r="BGX30" s="4"/>
      <c r="BGY30" s="4"/>
      <c r="BGZ30" s="4"/>
      <c r="BHA30" s="4"/>
      <c r="BHB30" s="4"/>
      <c r="BHC30" s="4"/>
      <c r="BHD30" s="4"/>
      <c r="BHE30" s="4"/>
      <c r="BHF30" s="4"/>
      <c r="BHG30" s="4"/>
      <c r="BHH30" s="4"/>
      <c r="BHI30" s="4"/>
      <c r="BHJ30" s="4"/>
      <c r="BHK30" s="4"/>
      <c r="BHL30" s="4"/>
      <c r="BHM30" s="4"/>
      <c r="BHN30" s="4"/>
      <c r="BHO30" s="4"/>
      <c r="BHP30" s="4"/>
      <c r="BHQ30" s="4"/>
      <c r="BHR30" s="4"/>
      <c r="BHS30" s="4"/>
      <c r="BHT30" s="4"/>
      <c r="BHU30" s="4"/>
      <c r="BHV30" s="4"/>
      <c r="BHW30" s="4"/>
      <c r="BHX30" s="4"/>
      <c r="BHY30" s="4"/>
      <c r="BHZ30" s="4"/>
      <c r="BIA30" s="4"/>
      <c r="BIB30" s="4"/>
      <c r="BIC30" s="4"/>
      <c r="BID30" s="4"/>
      <c r="BIE30" s="4"/>
      <c r="BIF30" s="4"/>
      <c r="BIG30" s="4"/>
      <c r="BIH30" s="4"/>
      <c r="BII30" s="4"/>
      <c r="BIJ30" s="4"/>
      <c r="BIK30" s="4"/>
      <c r="BIL30" s="4"/>
      <c r="BIM30" s="4"/>
      <c r="BIN30" s="4"/>
      <c r="BIO30" s="4"/>
      <c r="BIP30" s="4"/>
      <c r="BIQ30" s="4"/>
      <c r="BIR30" s="4"/>
      <c r="BIS30" s="4"/>
      <c r="BIT30" s="4"/>
      <c r="BIU30" s="4"/>
      <c r="BIV30" s="4"/>
      <c r="BIW30" s="4"/>
      <c r="BIX30" s="4"/>
      <c r="BIY30" s="4"/>
      <c r="BIZ30" s="4"/>
      <c r="BJA30" s="4"/>
      <c r="BJB30" s="4"/>
      <c r="BJC30" s="4"/>
      <c r="BJD30" s="4"/>
      <c r="BJE30" s="4"/>
      <c r="BJF30" s="4"/>
      <c r="BJG30" s="4"/>
      <c r="BJH30" s="4"/>
      <c r="BJI30" s="4"/>
      <c r="BJJ30" s="4"/>
      <c r="BJK30" s="4"/>
      <c r="BJL30" s="4"/>
      <c r="BJM30" s="4"/>
      <c r="BJN30" s="4"/>
      <c r="BJO30" s="4"/>
      <c r="BJP30" s="4"/>
      <c r="BJQ30" s="4"/>
      <c r="BJR30" s="4"/>
      <c r="BJS30" s="4"/>
      <c r="BJT30" s="4"/>
      <c r="BJU30" s="4"/>
      <c r="BJV30" s="4"/>
      <c r="BJW30" s="4"/>
      <c r="BJX30" s="4"/>
      <c r="BJY30" s="4"/>
      <c r="BJZ30" s="4"/>
      <c r="BKA30" s="4"/>
      <c r="BKB30" s="4"/>
      <c r="BKC30" s="4"/>
      <c r="BKD30" s="4"/>
      <c r="BKE30" s="4"/>
      <c r="BKF30" s="4"/>
      <c r="BKG30" s="4"/>
      <c r="BKH30" s="4"/>
      <c r="BKI30" s="4"/>
      <c r="BKJ30" s="4"/>
      <c r="BKK30" s="4"/>
      <c r="BKL30" s="4"/>
      <c r="BKM30" s="4"/>
      <c r="BKN30" s="4"/>
      <c r="BKO30" s="4"/>
      <c r="BKP30" s="4"/>
      <c r="BKQ30" s="4"/>
      <c r="BKR30" s="4"/>
      <c r="BKS30" s="4"/>
      <c r="BKT30" s="4"/>
      <c r="BKU30" s="4"/>
      <c r="BKV30" s="4"/>
      <c r="BKW30" s="4"/>
      <c r="BKX30" s="4"/>
      <c r="BKY30" s="4"/>
      <c r="BKZ30" s="4"/>
      <c r="BLA30" s="4"/>
      <c r="BLB30" s="4"/>
      <c r="BLC30" s="4"/>
      <c r="BLD30" s="4"/>
      <c r="BLE30" s="4"/>
      <c r="BLF30" s="4"/>
      <c r="BLG30" s="4"/>
      <c r="BLH30" s="4"/>
      <c r="BLI30" s="4"/>
      <c r="BLJ30" s="4"/>
      <c r="BLK30" s="4"/>
      <c r="BLL30" s="4"/>
      <c r="BLM30" s="4"/>
      <c r="BLN30" s="4"/>
      <c r="BLO30" s="4"/>
      <c r="BLP30" s="4"/>
      <c r="BLQ30" s="4"/>
      <c r="BLR30" s="4"/>
      <c r="BLS30" s="4"/>
      <c r="BLT30" s="4"/>
      <c r="BLU30" s="4"/>
      <c r="BLV30" s="4"/>
      <c r="BLW30" s="4"/>
      <c r="BLX30" s="4"/>
      <c r="BLY30" s="4"/>
      <c r="BLZ30" s="4"/>
      <c r="BMA30" s="4"/>
      <c r="BMB30" s="4"/>
      <c r="BMC30" s="4"/>
      <c r="BMD30" s="4"/>
      <c r="BME30" s="4"/>
      <c r="BMF30" s="4"/>
      <c r="BMG30" s="4"/>
      <c r="BMH30" s="4"/>
      <c r="BMI30" s="4"/>
      <c r="BMJ30" s="4"/>
      <c r="BMK30" s="4"/>
      <c r="BML30" s="4"/>
      <c r="BMM30" s="4"/>
      <c r="BMN30" s="4"/>
      <c r="BMO30" s="4"/>
      <c r="BMP30" s="4"/>
      <c r="BMQ30" s="4"/>
      <c r="BMR30" s="4"/>
      <c r="BMS30" s="4"/>
      <c r="BMT30" s="4"/>
      <c r="BMU30" s="4"/>
      <c r="BMV30" s="4"/>
      <c r="BMW30" s="4"/>
      <c r="BMX30" s="4"/>
      <c r="BMY30" s="4"/>
      <c r="BMZ30" s="4"/>
      <c r="BNA30" s="4"/>
      <c r="BNB30" s="4"/>
      <c r="BNC30" s="4"/>
      <c r="BND30" s="4"/>
      <c r="BNE30" s="4"/>
      <c r="BNF30" s="4"/>
      <c r="BNG30" s="4"/>
      <c r="BNH30" s="4"/>
      <c r="BNI30" s="4"/>
      <c r="BNJ30" s="4"/>
      <c r="BNK30" s="4"/>
      <c r="BNL30" s="4"/>
      <c r="BNM30" s="4"/>
      <c r="BNN30" s="4"/>
      <c r="BNO30" s="4"/>
      <c r="BNP30" s="4"/>
      <c r="BNQ30" s="4"/>
      <c r="BNR30" s="4"/>
      <c r="BNS30" s="4"/>
      <c r="BNT30" s="4"/>
      <c r="BNU30" s="4"/>
      <c r="BNV30" s="4"/>
      <c r="BNW30" s="4"/>
      <c r="BNX30" s="4"/>
      <c r="BNY30" s="4"/>
      <c r="BNZ30" s="4"/>
      <c r="BOA30" s="4"/>
      <c r="BOB30" s="4"/>
      <c r="BOC30" s="4"/>
      <c r="BOD30" s="4"/>
      <c r="BOE30" s="4"/>
      <c r="BOF30" s="4"/>
      <c r="BOG30" s="4"/>
      <c r="BOH30" s="4"/>
      <c r="BOI30" s="4"/>
      <c r="BOJ30" s="4"/>
      <c r="BOK30" s="4"/>
      <c r="BOL30" s="4"/>
      <c r="BOM30" s="4"/>
      <c r="BON30" s="4"/>
      <c r="BOO30" s="4"/>
      <c r="BOP30" s="4"/>
      <c r="BOQ30" s="4"/>
      <c r="BOR30" s="4"/>
      <c r="BOS30" s="4"/>
      <c r="BOT30" s="4"/>
      <c r="BOU30" s="4"/>
      <c r="BOV30" s="4"/>
      <c r="BOW30" s="4"/>
      <c r="BOX30" s="4"/>
      <c r="BOY30" s="4"/>
      <c r="BOZ30" s="4"/>
      <c r="BPA30" s="66"/>
    </row>
    <row r="31" s="6" customFormat="1" ht="60" customHeight="1" spans="1:1024 1025:1769">
      <c r="A31" s="47" t="s">
        <v>118</v>
      </c>
      <c r="B31" s="48" t="s">
        <v>1316</v>
      </c>
      <c r="C31" s="48" t="s">
        <v>1317</v>
      </c>
      <c r="D31" s="49" t="s">
        <v>1318</v>
      </c>
      <c r="E31" s="56"/>
      <c r="F31" s="51">
        <v>46175</v>
      </c>
      <c r="G31" s="58" t="s">
        <v>8</v>
      </c>
      <c r="H31" s="69" t="s">
        <v>1288</v>
      </c>
      <c r="I31" s="5" t="s">
        <v>1319</v>
      </c>
      <c r="J31" s="5" t="s">
        <v>1254</v>
      </c>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c r="RQ31" s="4"/>
      <c r="RR31" s="4"/>
      <c r="RS31" s="4"/>
      <c r="RT31" s="4"/>
      <c r="RU31" s="4"/>
      <c r="RV31" s="4"/>
      <c r="RW31" s="4"/>
      <c r="RX31" s="4"/>
      <c r="RY31" s="4"/>
      <c r="RZ31" s="4"/>
      <c r="SA31" s="4"/>
      <c r="SB31" s="4"/>
      <c r="SC31" s="4"/>
      <c r="SD31" s="4"/>
      <c r="SE31" s="4"/>
      <c r="SF31" s="4"/>
      <c r="SG31" s="4"/>
      <c r="SH31" s="4"/>
      <c r="SI31" s="4"/>
      <c r="SJ31" s="4"/>
      <c r="SK31" s="4"/>
      <c r="SL31" s="4"/>
      <c r="SM31" s="4"/>
      <c r="SN31" s="4"/>
      <c r="SO31" s="4"/>
      <c r="SP31" s="4"/>
      <c r="SQ31" s="4"/>
      <c r="SR31" s="4"/>
      <c r="SS31" s="4"/>
      <c r="ST31" s="4"/>
      <c r="SU31" s="4"/>
      <c r="SV31" s="4"/>
      <c r="SW31" s="4"/>
      <c r="SX31" s="4"/>
      <c r="SY31" s="4"/>
      <c r="SZ31" s="4"/>
      <c r="TA31" s="4"/>
      <c r="TB31" s="4"/>
      <c r="TC31" s="4"/>
      <c r="TD31" s="4"/>
      <c r="TE31" s="4"/>
      <c r="TF31" s="4"/>
      <c r="TG31" s="4"/>
      <c r="TH31" s="4"/>
      <c r="TI31" s="4"/>
      <c r="TJ31" s="4"/>
      <c r="TK31" s="4"/>
      <c r="TL31" s="4"/>
      <c r="TM31" s="4"/>
      <c r="TN31" s="4"/>
      <c r="TO31" s="4"/>
      <c r="TP31" s="4"/>
      <c r="TQ31" s="4"/>
      <c r="TR31" s="4"/>
      <c r="TS31" s="4"/>
      <c r="TT31" s="4"/>
      <c r="TU31" s="4"/>
      <c r="TV31" s="4"/>
      <c r="TW31" s="4"/>
      <c r="TX31" s="4"/>
      <c r="TY31" s="4"/>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c r="VC31" s="4"/>
      <c r="VD31" s="4"/>
      <c r="VE31" s="4"/>
      <c r="VF31" s="4"/>
      <c r="VG31" s="4"/>
      <c r="VH31" s="4"/>
      <c r="VI31" s="4"/>
      <c r="VJ31" s="4"/>
      <c r="VK31" s="4"/>
      <c r="VL31" s="4"/>
      <c r="VM31" s="4"/>
      <c r="VN31" s="4"/>
      <c r="VO31" s="4"/>
      <c r="VP31" s="4"/>
      <c r="VQ31" s="4"/>
      <c r="VR31" s="4"/>
      <c r="VS31" s="4"/>
      <c r="VT31" s="4"/>
      <c r="VU31" s="4"/>
      <c r="VV31" s="4"/>
      <c r="VW31" s="4"/>
      <c r="VX31" s="4"/>
      <c r="VY31" s="4"/>
      <c r="VZ31" s="4"/>
      <c r="WA31" s="4"/>
      <c r="WB31" s="4"/>
      <c r="WC31" s="4"/>
      <c r="WD31" s="4"/>
      <c r="WE31" s="4"/>
      <c r="WF31" s="4"/>
      <c r="WG31" s="4"/>
      <c r="WH31" s="4"/>
      <c r="WI31" s="4"/>
      <c r="WJ31" s="4"/>
      <c r="WK31" s="4"/>
      <c r="WL31" s="4"/>
      <c r="WM31" s="4"/>
      <c r="WN31" s="4"/>
      <c r="WO31" s="4"/>
      <c r="WP31" s="4"/>
      <c r="WQ31" s="4"/>
      <c r="WR31" s="4"/>
      <c r="WS31" s="4"/>
      <c r="WT31" s="4"/>
      <c r="WU31" s="4"/>
      <c r="WV31" s="4"/>
      <c r="WW31" s="4"/>
      <c r="WX31" s="4"/>
      <c r="WY31" s="4"/>
      <c r="WZ31" s="4"/>
      <c r="XA31" s="4"/>
      <c r="XB31" s="4"/>
      <c r="XC31" s="4"/>
      <c r="XD31" s="4"/>
      <c r="XE31" s="4"/>
      <c r="XF31" s="4"/>
      <c r="XG31" s="4"/>
      <c r="XH31" s="4"/>
      <c r="XI31" s="4"/>
      <c r="XJ31" s="4"/>
      <c r="XK31" s="4"/>
      <c r="XL31" s="4"/>
      <c r="XM31" s="4"/>
      <c r="XN31" s="4"/>
      <c r="XO31" s="4"/>
      <c r="XP31" s="4"/>
      <c r="XQ31" s="4"/>
      <c r="XR31" s="4"/>
      <c r="XS31" s="4"/>
      <c r="XT31" s="4"/>
      <c r="XU31" s="4"/>
      <c r="XV31" s="4"/>
      <c r="XW31" s="4"/>
      <c r="XX31" s="4"/>
      <c r="XY31" s="4"/>
      <c r="XZ31" s="4"/>
      <c r="YA31" s="4"/>
      <c r="YB31" s="4"/>
      <c r="YC31" s="4"/>
      <c r="YD31" s="4"/>
      <c r="YE31" s="4"/>
      <c r="YF31" s="4"/>
      <c r="YG31" s="4"/>
      <c r="YH31" s="4"/>
      <c r="YI31" s="4"/>
      <c r="YJ31" s="4"/>
      <c r="YK31" s="4"/>
      <c r="YL31" s="4"/>
      <c r="YM31" s="4"/>
      <c r="YN31" s="4"/>
      <c r="YO31" s="4"/>
      <c r="YP31" s="4"/>
      <c r="YQ31" s="4"/>
      <c r="YR31" s="4"/>
      <c r="YS31" s="4"/>
      <c r="YT31" s="4"/>
      <c r="YU31" s="4"/>
      <c r="YV31" s="4"/>
      <c r="YW31" s="4"/>
      <c r="YX31" s="4"/>
      <c r="YY31" s="4"/>
      <c r="YZ31" s="4"/>
      <c r="ZA31" s="4"/>
      <c r="ZB31" s="4"/>
      <c r="ZC31" s="4"/>
      <c r="ZD31" s="4"/>
      <c r="ZE31" s="4"/>
      <c r="ZF31" s="4"/>
      <c r="ZG31" s="4"/>
      <c r="ZH31" s="4"/>
      <c r="ZI31" s="4"/>
      <c r="ZJ31" s="4"/>
      <c r="ZK31" s="4"/>
      <c r="ZL31" s="4"/>
      <c r="ZM31" s="4"/>
      <c r="ZN31" s="4"/>
      <c r="ZO31" s="4"/>
      <c r="ZP31" s="4"/>
      <c r="ZQ31" s="4"/>
      <c r="ZR31" s="4"/>
      <c r="ZS31" s="4"/>
      <c r="ZT31" s="4"/>
      <c r="ZU31" s="4"/>
      <c r="ZV31" s="4"/>
      <c r="ZW31" s="4"/>
      <c r="ZX31" s="4"/>
      <c r="ZY31" s="4"/>
      <c r="ZZ31" s="4"/>
      <c r="AAA31" s="4"/>
      <c r="AAB31" s="4"/>
      <c r="AAC31" s="4"/>
      <c r="AAD31" s="4"/>
      <c r="AAE31" s="4"/>
      <c r="AAF31" s="4"/>
      <c r="AAG31" s="4"/>
      <c r="AAH31" s="4"/>
      <c r="AAI31" s="4"/>
      <c r="AAJ31" s="4"/>
      <c r="AAK31" s="4"/>
      <c r="AAL31" s="4"/>
      <c r="AAM31" s="4"/>
      <c r="AAN31" s="4"/>
      <c r="AAO31" s="4"/>
      <c r="AAP31" s="4"/>
      <c r="AAQ31" s="4"/>
      <c r="AAR31" s="4"/>
      <c r="AAS31" s="4"/>
      <c r="AAT31" s="4"/>
      <c r="AAU31" s="4"/>
      <c r="AAV31" s="4"/>
      <c r="AAW31" s="4"/>
      <c r="AAX31" s="4"/>
      <c r="AAY31" s="4"/>
      <c r="AAZ31" s="4"/>
      <c r="ABA31" s="4"/>
      <c r="ABB31" s="4"/>
      <c r="ABC31" s="4"/>
      <c r="ABD31" s="4"/>
      <c r="ABE31" s="4"/>
      <c r="ABF31" s="4"/>
      <c r="ABG31" s="4"/>
      <c r="ABH31" s="4"/>
      <c r="ABI31" s="4"/>
      <c r="ABJ31" s="4"/>
      <c r="ABK31" s="4"/>
      <c r="ABL31" s="4"/>
      <c r="ABM31" s="4"/>
      <c r="ABN31" s="4"/>
      <c r="ABO31" s="4"/>
      <c r="ABP31" s="4"/>
      <c r="ABQ31" s="4"/>
      <c r="ABR31" s="4"/>
      <c r="ABS31" s="4"/>
      <c r="ABT31" s="4"/>
      <c r="ABU31" s="4"/>
      <c r="ABV31" s="4"/>
      <c r="ABW31" s="4"/>
      <c r="ABX31" s="4"/>
      <c r="ABY31" s="4"/>
      <c r="ABZ31" s="4"/>
      <c r="ACA31" s="4"/>
      <c r="ACB31" s="4"/>
      <c r="ACC31" s="4"/>
      <c r="ACD31" s="4"/>
      <c r="ACE31" s="4"/>
      <c r="ACF31" s="4"/>
      <c r="ACG31" s="4"/>
      <c r="ACH31" s="4"/>
      <c r="ACI31" s="4"/>
      <c r="ACJ31" s="4"/>
      <c r="ACK31" s="4"/>
      <c r="ACL31" s="4"/>
      <c r="ACM31" s="4"/>
      <c r="ACN31" s="4"/>
      <c r="ACO31" s="4"/>
      <c r="ACP31" s="4"/>
      <c r="ACQ31" s="4"/>
      <c r="ACR31" s="4"/>
      <c r="ACS31" s="4"/>
      <c r="ACT31" s="4"/>
      <c r="ACU31" s="4"/>
      <c r="ACV31" s="4"/>
      <c r="ACW31" s="4"/>
      <c r="ACX31" s="4"/>
      <c r="ACY31" s="4"/>
      <c r="ACZ31" s="4"/>
      <c r="ADA31" s="4"/>
      <c r="ADB31" s="4"/>
      <c r="ADC31" s="4"/>
      <c r="ADD31" s="4"/>
      <c r="ADE31" s="4"/>
      <c r="ADF31" s="4"/>
      <c r="ADG31" s="4"/>
      <c r="ADH31" s="4"/>
      <c r="ADI31" s="4"/>
      <c r="ADJ31" s="4"/>
      <c r="ADK31" s="4"/>
      <c r="ADL31" s="4"/>
      <c r="ADM31" s="4"/>
      <c r="ADN31" s="4"/>
      <c r="ADO31" s="4"/>
      <c r="ADP31" s="4"/>
      <c r="ADQ31" s="4"/>
      <c r="ADR31" s="4"/>
      <c r="ADS31" s="4"/>
      <c r="ADT31" s="4"/>
      <c r="ADU31" s="4"/>
      <c r="ADV31" s="4"/>
      <c r="ADW31" s="4"/>
      <c r="ADX31" s="4"/>
      <c r="ADY31" s="4"/>
      <c r="ADZ31" s="4"/>
      <c r="AEA31" s="4"/>
      <c r="AEB31" s="4"/>
      <c r="AEC31" s="4"/>
      <c r="AED31" s="4"/>
      <c r="AEE31" s="4"/>
      <c r="AEF31" s="4"/>
      <c r="AEG31" s="4"/>
      <c r="AEH31" s="4"/>
      <c r="AEI31" s="4"/>
      <c r="AEJ31" s="4"/>
      <c r="AEK31" s="4"/>
      <c r="AEL31" s="4"/>
      <c r="AEM31" s="4"/>
      <c r="AEN31" s="4"/>
      <c r="AEO31" s="4"/>
      <c r="AEP31" s="4"/>
      <c r="AEQ31" s="4"/>
      <c r="AER31" s="4"/>
      <c r="AES31" s="4"/>
      <c r="AET31" s="4"/>
      <c r="AEU31" s="4"/>
      <c r="AEV31" s="4"/>
      <c r="AEW31" s="4"/>
      <c r="AEX31" s="4"/>
      <c r="AEY31" s="4"/>
      <c r="AEZ31" s="4"/>
      <c r="AFA31" s="4"/>
      <c r="AFB31" s="4"/>
      <c r="AFC31" s="4"/>
      <c r="AFD31" s="4"/>
      <c r="AFE31" s="4"/>
      <c r="AFF31" s="4"/>
      <c r="AFG31" s="4"/>
      <c r="AFH31" s="4"/>
      <c r="AFI31" s="4"/>
      <c r="AFJ31" s="4"/>
      <c r="AFK31" s="4"/>
      <c r="AFL31" s="4"/>
      <c r="AFM31" s="4"/>
      <c r="AFN31" s="4"/>
      <c r="AFO31" s="4"/>
      <c r="AFP31" s="4"/>
      <c r="AFQ31" s="4"/>
      <c r="AFR31" s="4"/>
      <c r="AFS31" s="4"/>
      <c r="AFT31" s="4"/>
      <c r="AFU31" s="4"/>
      <c r="AFV31" s="4"/>
      <c r="AFW31" s="4"/>
      <c r="AFX31" s="4"/>
      <c r="AFY31" s="4"/>
      <c r="AFZ31" s="4"/>
      <c r="AGA31" s="4"/>
      <c r="AGB31" s="4"/>
      <c r="AGC31" s="4"/>
      <c r="AGD31" s="4"/>
      <c r="AGE31" s="4"/>
      <c r="AGF31" s="4"/>
      <c r="AGG31" s="4"/>
      <c r="AGH31" s="4"/>
      <c r="AGI31" s="4"/>
      <c r="AGJ31" s="4"/>
      <c r="AGK31" s="4"/>
      <c r="AGL31" s="4"/>
      <c r="AGM31" s="4"/>
      <c r="AGN31" s="4"/>
      <c r="AGO31" s="4"/>
      <c r="AGP31" s="4"/>
      <c r="AGQ31" s="4"/>
      <c r="AGR31" s="4"/>
      <c r="AGS31" s="4"/>
      <c r="AGT31" s="4"/>
      <c r="AGU31" s="4"/>
      <c r="AGV31" s="4"/>
      <c r="AGW31" s="4"/>
      <c r="AGX31" s="4"/>
      <c r="AGY31" s="4"/>
      <c r="AGZ31" s="4"/>
      <c r="AHA31" s="4"/>
      <c r="AHB31" s="4"/>
      <c r="AHC31" s="4"/>
      <c r="AHD31" s="4"/>
      <c r="AHE31" s="4"/>
      <c r="AHF31" s="4"/>
      <c r="AHG31" s="4"/>
      <c r="AHH31" s="4"/>
      <c r="AHI31" s="4"/>
      <c r="AHJ31" s="4"/>
      <c r="AHK31" s="4"/>
      <c r="AHL31" s="4"/>
      <c r="AHM31" s="4"/>
      <c r="AHN31" s="4"/>
      <c r="AHO31" s="4"/>
      <c r="AHP31" s="4"/>
      <c r="AHQ31" s="4"/>
      <c r="AHR31" s="4"/>
      <c r="AHS31" s="4"/>
      <c r="AHT31" s="4"/>
      <c r="AHU31" s="4"/>
      <c r="AHV31" s="4"/>
      <c r="AHW31" s="4"/>
      <c r="AHX31" s="4"/>
      <c r="AHY31" s="4"/>
      <c r="AHZ31" s="4"/>
      <c r="AIA31" s="4"/>
      <c r="AIB31" s="4"/>
      <c r="AIC31" s="4"/>
      <c r="AID31" s="4"/>
      <c r="AIE31" s="4"/>
      <c r="AIF31" s="4"/>
      <c r="AIG31" s="4"/>
      <c r="AIH31" s="4"/>
      <c r="AII31" s="4"/>
      <c r="AIJ31" s="4"/>
      <c r="AIK31" s="4"/>
      <c r="AIL31" s="4"/>
      <c r="AIM31" s="4"/>
      <c r="AIN31" s="4"/>
      <c r="AIO31" s="4"/>
      <c r="AIP31" s="4"/>
      <c r="AIQ31" s="4"/>
      <c r="AIR31" s="4"/>
      <c r="AIS31" s="4"/>
      <c r="AIT31" s="4"/>
      <c r="AIU31" s="4"/>
      <c r="AIV31" s="4"/>
      <c r="AIW31" s="4"/>
      <c r="AIX31" s="4"/>
      <c r="AIY31" s="4"/>
      <c r="AIZ31" s="4"/>
      <c r="AJA31" s="4"/>
      <c r="AJB31" s="4"/>
      <c r="AJC31" s="4"/>
      <c r="AJD31" s="4"/>
      <c r="AJE31" s="4"/>
      <c r="AJF31" s="4"/>
      <c r="AJG31" s="4"/>
      <c r="AJH31" s="4"/>
      <c r="AJI31" s="4"/>
      <c r="AJJ31" s="4"/>
      <c r="AJK31" s="4"/>
      <c r="AJL31" s="4"/>
      <c r="AJM31" s="4"/>
      <c r="AJN31" s="4"/>
      <c r="AJO31" s="4"/>
      <c r="AJP31" s="4"/>
      <c r="AJQ31" s="4"/>
      <c r="AJR31" s="4"/>
      <c r="AJS31" s="4"/>
      <c r="AJT31" s="4"/>
      <c r="AJU31" s="4"/>
      <c r="AJV31" s="4"/>
      <c r="AJW31" s="4"/>
      <c r="AJX31" s="4"/>
      <c r="AJY31" s="4"/>
      <c r="AJZ31" s="4"/>
      <c r="AKA31" s="4"/>
      <c r="AKB31" s="4"/>
      <c r="AKC31" s="4"/>
      <c r="AKD31" s="4"/>
      <c r="AKE31" s="4"/>
      <c r="AKF31" s="4"/>
      <c r="AKG31" s="4"/>
      <c r="AKH31" s="4"/>
      <c r="AKI31" s="4"/>
      <c r="AKJ31" s="4"/>
      <c r="AKK31" s="4"/>
      <c r="AKL31" s="4"/>
      <c r="AKM31" s="4"/>
      <c r="AKN31" s="4"/>
      <c r="AKO31" s="4"/>
      <c r="AKP31" s="4"/>
      <c r="AKQ31" s="4"/>
      <c r="AKR31" s="4"/>
      <c r="AKS31" s="4"/>
      <c r="AKT31" s="4"/>
      <c r="AKU31" s="4"/>
      <c r="AKV31" s="4"/>
      <c r="AKW31" s="4"/>
      <c r="AKX31" s="4"/>
      <c r="AKY31" s="4"/>
      <c r="AKZ31" s="4"/>
      <c r="ALA31" s="4"/>
      <c r="ALB31" s="4"/>
      <c r="ALC31" s="4"/>
      <c r="ALD31" s="4"/>
      <c r="ALE31" s="4"/>
      <c r="ALF31" s="4"/>
      <c r="ALG31" s="4"/>
      <c r="ALH31" s="4"/>
      <c r="ALI31" s="4"/>
      <c r="ALJ31" s="4"/>
      <c r="ALK31" s="4"/>
      <c r="ALL31" s="4"/>
      <c r="ALM31" s="4"/>
      <c r="ALN31" s="4"/>
      <c r="ALO31" s="4"/>
      <c r="ALP31" s="4"/>
      <c r="ALQ31" s="4"/>
      <c r="ALR31" s="4"/>
      <c r="ALS31" s="4"/>
      <c r="ALT31" s="4"/>
      <c r="ALU31" s="4"/>
      <c r="ALV31" s="4"/>
      <c r="ALW31" s="4"/>
      <c r="ALX31" s="4"/>
      <c r="ALY31" s="4"/>
      <c r="ALZ31" s="4"/>
      <c r="AMA31" s="4"/>
      <c r="AMB31" s="4"/>
      <c r="AMC31" s="4"/>
      <c r="AMD31" s="4"/>
      <c r="AME31" s="4"/>
      <c r="AMF31" s="4"/>
      <c r="AMG31" s="4"/>
      <c r="AMH31" s="4"/>
      <c r="AMI31" s="4"/>
      <c r="AMJ31" s="4"/>
      <c r="AMK31" s="4"/>
      <c r="AML31" s="4"/>
      <c r="AMM31" s="4"/>
      <c r="AMN31" s="4"/>
      <c r="AMO31" s="4"/>
      <c r="AMP31" s="4"/>
      <c r="AMQ31" s="4"/>
      <c r="AMR31" s="4"/>
      <c r="AMS31" s="4"/>
      <c r="AMT31" s="4"/>
      <c r="AMU31" s="4"/>
      <c r="AMV31" s="4"/>
      <c r="AMW31" s="4"/>
      <c r="AMX31" s="4"/>
      <c r="AMY31" s="4"/>
      <c r="AMZ31" s="4"/>
      <c r="ANA31" s="4"/>
      <c r="ANB31" s="4"/>
      <c r="ANC31" s="4"/>
      <c r="AND31" s="4"/>
      <c r="ANE31" s="4"/>
      <c r="ANF31" s="4"/>
      <c r="ANG31" s="4"/>
      <c r="ANH31" s="4"/>
      <c r="ANI31" s="4"/>
      <c r="ANJ31" s="4"/>
      <c r="ANK31" s="4"/>
      <c r="ANL31" s="4"/>
      <c r="ANM31" s="4"/>
      <c r="ANN31" s="4"/>
      <c r="ANO31" s="4"/>
      <c r="ANP31" s="4"/>
      <c r="ANQ31" s="4"/>
      <c r="ANR31" s="4"/>
      <c r="ANS31" s="4"/>
      <c r="ANT31" s="4"/>
      <c r="ANU31" s="4"/>
      <c r="ANV31" s="4"/>
      <c r="ANW31" s="4"/>
      <c r="ANX31" s="4"/>
      <c r="ANY31" s="4"/>
      <c r="ANZ31" s="4"/>
      <c r="AOA31" s="4"/>
      <c r="AOB31" s="4"/>
      <c r="AOC31" s="4"/>
      <c r="AOD31" s="4"/>
      <c r="AOE31" s="4"/>
      <c r="AOF31" s="4"/>
      <c r="AOG31" s="4"/>
      <c r="AOH31" s="4"/>
      <c r="AOI31" s="4"/>
      <c r="AOJ31" s="4"/>
      <c r="AOK31" s="4"/>
      <c r="AOL31" s="4"/>
      <c r="AOM31" s="4"/>
      <c r="AON31" s="4"/>
      <c r="AOO31" s="4"/>
      <c r="AOP31" s="4"/>
      <c r="AOQ31" s="4"/>
      <c r="AOR31" s="4"/>
      <c r="AOS31" s="4"/>
      <c r="AOT31" s="4"/>
      <c r="AOU31" s="4"/>
      <c r="AOV31" s="4"/>
      <c r="AOW31" s="4"/>
      <c r="AOX31" s="4"/>
      <c r="AOY31" s="4"/>
      <c r="AOZ31" s="4"/>
      <c r="APA31" s="4"/>
      <c r="APB31" s="4"/>
      <c r="APC31" s="4"/>
      <c r="APD31" s="4"/>
      <c r="APE31" s="4"/>
      <c r="APF31" s="4"/>
      <c r="APG31" s="4"/>
      <c r="APH31" s="4"/>
      <c r="API31" s="4"/>
      <c r="APJ31" s="4"/>
      <c r="APK31" s="4"/>
      <c r="APL31" s="4"/>
      <c r="APM31" s="4"/>
      <c r="APN31" s="4"/>
      <c r="APO31" s="4"/>
      <c r="APP31" s="4"/>
      <c r="APQ31" s="4"/>
      <c r="APR31" s="4"/>
      <c r="APS31" s="4"/>
      <c r="APT31" s="4"/>
      <c r="APU31" s="4"/>
      <c r="APV31" s="4"/>
      <c r="APW31" s="4"/>
      <c r="APX31" s="4"/>
      <c r="APY31" s="4"/>
      <c r="APZ31" s="4"/>
      <c r="AQA31" s="4"/>
      <c r="AQB31" s="4"/>
      <c r="AQC31" s="4"/>
      <c r="AQD31" s="4"/>
      <c r="AQE31" s="4"/>
      <c r="AQF31" s="4"/>
      <c r="AQG31" s="4"/>
      <c r="AQH31" s="4"/>
      <c r="AQI31" s="4"/>
      <c r="AQJ31" s="4"/>
      <c r="AQK31" s="4"/>
      <c r="AQL31" s="4"/>
      <c r="AQM31" s="4"/>
      <c r="AQN31" s="4"/>
      <c r="AQO31" s="4"/>
      <c r="AQP31" s="4"/>
      <c r="AQQ31" s="4"/>
      <c r="AQR31" s="4"/>
      <c r="AQS31" s="4"/>
      <c r="AQT31" s="4"/>
      <c r="AQU31" s="4"/>
      <c r="AQV31" s="4"/>
      <c r="AQW31" s="4"/>
      <c r="AQX31" s="4"/>
      <c r="AQY31" s="4"/>
      <c r="AQZ31" s="4"/>
      <c r="ARA31" s="4"/>
      <c r="ARB31" s="4"/>
      <c r="ARC31" s="4"/>
      <c r="ARD31" s="4"/>
      <c r="ARE31" s="4"/>
      <c r="ARF31" s="4"/>
      <c r="ARG31" s="4"/>
      <c r="ARH31" s="4"/>
      <c r="ARI31" s="4"/>
      <c r="ARJ31" s="4"/>
      <c r="ARK31" s="4"/>
      <c r="ARL31" s="4"/>
      <c r="ARM31" s="4"/>
      <c r="ARN31" s="4"/>
      <c r="ARO31" s="4"/>
      <c r="ARP31" s="4"/>
      <c r="ARQ31" s="4"/>
      <c r="ARR31" s="4"/>
      <c r="ARS31" s="4"/>
      <c r="ART31" s="4"/>
      <c r="ARU31" s="4"/>
      <c r="ARV31" s="4"/>
      <c r="ARW31" s="4"/>
      <c r="ARX31" s="4"/>
      <c r="ARY31" s="4"/>
      <c r="ARZ31" s="4"/>
      <c r="ASA31" s="4"/>
      <c r="ASB31" s="4"/>
      <c r="ASC31" s="4"/>
      <c r="ASD31" s="4"/>
      <c r="ASE31" s="4"/>
      <c r="ASF31" s="4"/>
      <c r="ASG31" s="4"/>
      <c r="ASH31" s="4"/>
      <c r="ASI31" s="4"/>
      <c r="ASJ31" s="4"/>
      <c r="ASK31" s="4"/>
      <c r="ASL31" s="4"/>
      <c r="ASM31" s="4"/>
      <c r="ASN31" s="4"/>
      <c r="ASO31" s="4"/>
      <c r="ASP31" s="4"/>
      <c r="ASQ31" s="4"/>
      <c r="ASR31" s="4"/>
      <c r="ASS31" s="4"/>
      <c r="AST31" s="4"/>
      <c r="ASU31" s="4"/>
      <c r="ASV31" s="4"/>
      <c r="ASW31" s="4"/>
      <c r="ASX31" s="4"/>
      <c r="ASY31" s="4"/>
      <c r="ASZ31" s="4"/>
      <c r="ATA31" s="4"/>
      <c r="ATB31" s="4"/>
      <c r="ATC31" s="4"/>
      <c r="ATD31" s="4"/>
      <c r="ATE31" s="4"/>
      <c r="ATF31" s="4"/>
      <c r="ATG31" s="4"/>
      <c r="ATH31" s="4"/>
      <c r="ATI31" s="4"/>
      <c r="ATJ31" s="4"/>
      <c r="ATK31" s="4"/>
      <c r="ATL31" s="4"/>
      <c r="ATM31" s="4"/>
      <c r="ATN31" s="4"/>
      <c r="ATO31" s="4"/>
      <c r="ATP31" s="4"/>
      <c r="ATQ31" s="4"/>
      <c r="ATR31" s="4"/>
      <c r="ATS31" s="4"/>
      <c r="ATT31" s="4"/>
      <c r="ATU31" s="4"/>
      <c r="ATV31" s="4"/>
      <c r="ATW31" s="4"/>
      <c r="ATX31" s="4"/>
      <c r="ATY31" s="4"/>
      <c r="ATZ31" s="4"/>
      <c r="AUA31" s="4"/>
      <c r="AUB31" s="4"/>
      <c r="AUC31" s="4"/>
      <c r="AUD31" s="4"/>
      <c r="AUE31" s="4"/>
      <c r="AUF31" s="4"/>
      <c r="AUG31" s="4"/>
      <c r="AUH31" s="4"/>
      <c r="AUI31" s="4"/>
      <c r="AUJ31" s="4"/>
      <c r="AUK31" s="4"/>
      <c r="AUL31" s="4"/>
      <c r="AUM31" s="4"/>
      <c r="AUN31" s="4"/>
      <c r="AUO31" s="4"/>
      <c r="AUP31" s="4"/>
      <c r="AUQ31" s="4"/>
      <c r="AUR31" s="4"/>
      <c r="AUS31" s="4"/>
      <c r="AUT31" s="4"/>
      <c r="AUU31" s="4"/>
      <c r="AUV31" s="4"/>
      <c r="AUW31" s="4"/>
      <c r="AUX31" s="4"/>
      <c r="AUY31" s="4"/>
      <c r="AUZ31" s="4"/>
      <c r="AVA31" s="4"/>
      <c r="AVB31" s="4"/>
      <c r="AVC31" s="4"/>
      <c r="AVD31" s="4"/>
      <c r="AVE31" s="4"/>
      <c r="AVF31" s="4"/>
      <c r="AVG31" s="4"/>
      <c r="AVH31" s="4"/>
      <c r="AVI31" s="4"/>
      <c r="AVJ31" s="4"/>
      <c r="AVK31" s="4"/>
      <c r="AVL31" s="4"/>
      <c r="AVM31" s="4"/>
      <c r="AVN31" s="4"/>
      <c r="AVO31" s="4"/>
      <c r="AVP31" s="4"/>
      <c r="AVQ31" s="4"/>
      <c r="AVR31" s="4"/>
      <c r="AVS31" s="4"/>
      <c r="AVT31" s="4"/>
      <c r="AVU31" s="4"/>
      <c r="AVV31" s="4"/>
      <c r="AVW31" s="4"/>
      <c r="AVX31" s="4"/>
      <c r="AVY31" s="4"/>
      <c r="AVZ31" s="4"/>
      <c r="AWA31" s="4"/>
      <c r="AWB31" s="4"/>
      <c r="AWC31" s="4"/>
      <c r="AWD31" s="4"/>
      <c r="AWE31" s="4"/>
      <c r="AWF31" s="4"/>
      <c r="AWG31" s="4"/>
      <c r="AWH31" s="4"/>
      <c r="AWI31" s="4"/>
      <c r="AWJ31" s="4"/>
      <c r="AWK31" s="4"/>
      <c r="AWL31" s="4"/>
      <c r="AWM31" s="4"/>
      <c r="AWN31" s="4"/>
      <c r="AWO31" s="4"/>
      <c r="AWP31" s="4"/>
      <c r="AWQ31" s="4"/>
      <c r="AWR31" s="4"/>
      <c r="AWS31" s="4"/>
      <c r="AWT31" s="4"/>
      <c r="AWU31" s="4"/>
      <c r="AWV31" s="4"/>
      <c r="AWW31" s="4"/>
      <c r="AWX31" s="4"/>
      <c r="AWY31" s="4"/>
      <c r="AWZ31" s="4"/>
      <c r="AXA31" s="4"/>
      <c r="AXB31" s="4"/>
      <c r="AXC31" s="4"/>
      <c r="AXD31" s="4"/>
      <c r="AXE31" s="4"/>
      <c r="AXF31" s="4"/>
      <c r="AXG31" s="4"/>
      <c r="AXH31" s="4"/>
      <c r="AXI31" s="4"/>
      <c r="AXJ31" s="4"/>
      <c r="AXK31" s="4"/>
      <c r="AXL31" s="4"/>
      <c r="AXM31" s="4"/>
      <c r="AXN31" s="4"/>
      <c r="AXO31" s="4"/>
      <c r="AXP31" s="4"/>
      <c r="AXQ31" s="4"/>
      <c r="AXR31" s="4"/>
      <c r="AXS31" s="4"/>
      <c r="AXT31" s="4"/>
      <c r="AXU31" s="4"/>
      <c r="AXV31" s="4"/>
      <c r="AXW31" s="4"/>
      <c r="AXX31" s="4"/>
      <c r="AXY31" s="4"/>
      <c r="AXZ31" s="4"/>
      <c r="AYA31" s="4"/>
      <c r="AYB31" s="4"/>
      <c r="AYC31" s="4"/>
      <c r="AYD31" s="4"/>
      <c r="AYE31" s="4"/>
      <c r="AYF31" s="4"/>
      <c r="AYG31" s="4"/>
      <c r="AYH31" s="4"/>
      <c r="AYI31" s="4"/>
      <c r="AYJ31" s="4"/>
      <c r="AYK31" s="4"/>
      <c r="AYL31" s="4"/>
      <c r="AYM31" s="4"/>
      <c r="AYN31" s="4"/>
      <c r="AYO31" s="4"/>
      <c r="AYP31" s="4"/>
      <c r="AYQ31" s="4"/>
      <c r="AYR31" s="4"/>
      <c r="AYS31" s="4"/>
      <c r="AYT31" s="4"/>
      <c r="AYU31" s="4"/>
      <c r="AYV31" s="4"/>
      <c r="AYW31" s="4"/>
      <c r="AYX31" s="4"/>
      <c r="AYY31" s="4"/>
      <c r="AYZ31" s="4"/>
      <c r="AZA31" s="4"/>
      <c r="AZB31" s="4"/>
      <c r="AZC31" s="4"/>
      <c r="AZD31" s="4"/>
      <c r="AZE31" s="4"/>
      <c r="AZF31" s="4"/>
      <c r="AZG31" s="4"/>
      <c r="AZH31" s="4"/>
      <c r="AZI31" s="4"/>
      <c r="AZJ31" s="4"/>
      <c r="AZK31" s="4"/>
      <c r="AZL31" s="4"/>
      <c r="AZM31" s="4"/>
      <c r="AZN31" s="4"/>
      <c r="AZO31" s="4"/>
      <c r="AZP31" s="4"/>
      <c r="AZQ31" s="4"/>
      <c r="AZR31" s="4"/>
      <c r="AZS31" s="4"/>
      <c r="AZT31" s="4"/>
      <c r="AZU31" s="4"/>
      <c r="AZV31" s="4"/>
      <c r="AZW31" s="4"/>
      <c r="AZX31" s="4"/>
      <c r="AZY31" s="4"/>
      <c r="AZZ31" s="4"/>
      <c r="BAA31" s="4"/>
      <c r="BAB31" s="4"/>
      <c r="BAC31" s="4"/>
      <c r="BAD31" s="4"/>
      <c r="BAE31" s="4"/>
      <c r="BAF31" s="4"/>
      <c r="BAG31" s="4"/>
      <c r="BAH31" s="4"/>
      <c r="BAI31" s="4"/>
      <c r="BAJ31" s="4"/>
      <c r="BAK31" s="4"/>
      <c r="BAL31" s="4"/>
      <c r="BAM31" s="4"/>
      <c r="BAN31" s="4"/>
      <c r="BAO31" s="4"/>
      <c r="BAP31" s="4"/>
      <c r="BAQ31" s="4"/>
      <c r="BAR31" s="4"/>
      <c r="BAS31" s="4"/>
      <c r="BAT31" s="4"/>
      <c r="BAU31" s="4"/>
      <c r="BAV31" s="4"/>
      <c r="BAW31" s="4"/>
      <c r="BAX31" s="4"/>
      <c r="BAY31" s="4"/>
      <c r="BAZ31" s="4"/>
      <c r="BBA31" s="4"/>
      <c r="BBB31" s="4"/>
      <c r="BBC31" s="4"/>
      <c r="BBD31" s="4"/>
      <c r="BBE31" s="4"/>
      <c r="BBF31" s="4"/>
      <c r="BBG31" s="4"/>
      <c r="BBH31" s="4"/>
      <c r="BBI31" s="4"/>
      <c r="BBJ31" s="4"/>
      <c r="BBK31" s="4"/>
      <c r="BBL31" s="4"/>
      <c r="BBM31" s="4"/>
      <c r="BBN31" s="4"/>
      <c r="BBO31" s="4"/>
      <c r="BBP31" s="4"/>
      <c r="BBQ31" s="4"/>
      <c r="BBR31" s="4"/>
      <c r="BBS31" s="4"/>
      <c r="BBT31" s="4"/>
      <c r="BBU31" s="4"/>
      <c r="BBV31" s="4"/>
      <c r="BBW31" s="4"/>
      <c r="BBX31" s="4"/>
      <c r="BBY31" s="4"/>
      <c r="BBZ31" s="4"/>
      <c r="BCA31" s="4"/>
      <c r="BCB31" s="4"/>
      <c r="BCC31" s="4"/>
      <c r="BCD31" s="4"/>
      <c r="BCE31" s="4"/>
      <c r="BCF31" s="4"/>
      <c r="BCG31" s="4"/>
      <c r="BCH31" s="4"/>
      <c r="BCI31" s="4"/>
      <c r="BCJ31" s="4"/>
      <c r="BCK31" s="4"/>
      <c r="BCL31" s="4"/>
      <c r="BCM31" s="4"/>
      <c r="BCN31" s="4"/>
      <c r="BCO31" s="4"/>
      <c r="BCP31" s="4"/>
      <c r="BCQ31" s="4"/>
      <c r="BCR31" s="4"/>
      <c r="BCS31" s="4"/>
      <c r="BCT31" s="4"/>
      <c r="BCU31" s="4"/>
      <c r="BCV31" s="4"/>
      <c r="BCW31" s="4"/>
      <c r="BCX31" s="4"/>
      <c r="BCY31" s="4"/>
      <c r="BCZ31" s="4"/>
      <c r="BDA31" s="4"/>
      <c r="BDB31" s="4"/>
      <c r="BDC31" s="4"/>
      <c r="BDD31" s="4"/>
      <c r="BDE31" s="4"/>
      <c r="BDF31" s="4"/>
      <c r="BDG31" s="4"/>
      <c r="BDH31" s="4"/>
      <c r="BDI31" s="4"/>
      <c r="BDJ31" s="4"/>
      <c r="BDK31" s="4"/>
      <c r="BDL31" s="4"/>
      <c r="BDM31" s="4"/>
      <c r="BDN31" s="4"/>
      <c r="BDO31" s="4"/>
      <c r="BDP31" s="4"/>
      <c r="BDQ31" s="4"/>
      <c r="BDR31" s="4"/>
      <c r="BDS31" s="4"/>
      <c r="BDT31" s="4"/>
      <c r="BDU31" s="4"/>
      <c r="BDV31" s="4"/>
      <c r="BDW31" s="4"/>
      <c r="BDX31" s="4"/>
      <c r="BDY31" s="4"/>
      <c r="BDZ31" s="4"/>
      <c r="BEA31" s="4"/>
      <c r="BEB31" s="4"/>
      <c r="BEC31" s="4"/>
      <c r="BED31" s="4"/>
      <c r="BEE31" s="4"/>
      <c r="BEF31" s="4"/>
      <c r="BEG31" s="4"/>
      <c r="BEH31" s="4"/>
      <c r="BEI31" s="4"/>
      <c r="BEJ31" s="4"/>
      <c r="BEK31" s="4"/>
      <c r="BEL31" s="4"/>
      <c r="BEM31" s="4"/>
      <c r="BEN31" s="4"/>
      <c r="BEO31" s="4"/>
      <c r="BEP31" s="4"/>
      <c r="BEQ31" s="4"/>
      <c r="BER31" s="4"/>
      <c r="BES31" s="4"/>
      <c r="BET31" s="4"/>
      <c r="BEU31" s="4"/>
      <c r="BEV31" s="4"/>
      <c r="BEW31" s="4"/>
      <c r="BEX31" s="4"/>
      <c r="BEY31" s="4"/>
      <c r="BEZ31" s="4"/>
      <c r="BFA31" s="4"/>
      <c r="BFB31" s="4"/>
      <c r="BFC31" s="4"/>
      <c r="BFD31" s="4"/>
      <c r="BFE31" s="4"/>
      <c r="BFF31" s="4"/>
      <c r="BFG31" s="4"/>
      <c r="BFH31" s="4"/>
      <c r="BFI31" s="4"/>
      <c r="BFJ31" s="4"/>
      <c r="BFK31" s="4"/>
      <c r="BFL31" s="4"/>
      <c r="BFM31" s="4"/>
      <c r="BFN31" s="4"/>
      <c r="BFO31" s="4"/>
      <c r="BFP31" s="4"/>
      <c r="BFQ31" s="4"/>
      <c r="BFR31" s="4"/>
      <c r="BFS31" s="4"/>
      <c r="BFT31" s="4"/>
      <c r="BFU31" s="4"/>
      <c r="BFV31" s="4"/>
      <c r="BFW31" s="4"/>
      <c r="BFX31" s="4"/>
      <c r="BFY31" s="4"/>
      <c r="BFZ31" s="4"/>
      <c r="BGA31" s="4"/>
      <c r="BGB31" s="4"/>
      <c r="BGC31" s="4"/>
      <c r="BGD31" s="4"/>
      <c r="BGE31" s="4"/>
      <c r="BGF31" s="4"/>
      <c r="BGG31" s="4"/>
      <c r="BGH31" s="4"/>
      <c r="BGI31" s="4"/>
      <c r="BGJ31" s="4"/>
      <c r="BGK31" s="4"/>
      <c r="BGL31" s="4"/>
      <c r="BGM31" s="4"/>
      <c r="BGN31" s="4"/>
      <c r="BGO31" s="4"/>
      <c r="BGP31" s="4"/>
      <c r="BGQ31" s="4"/>
      <c r="BGR31" s="4"/>
      <c r="BGS31" s="4"/>
      <c r="BGT31" s="4"/>
      <c r="BGU31" s="4"/>
      <c r="BGV31" s="4"/>
      <c r="BGW31" s="4"/>
      <c r="BGX31" s="4"/>
      <c r="BGY31" s="4"/>
      <c r="BGZ31" s="4"/>
      <c r="BHA31" s="4"/>
      <c r="BHB31" s="4"/>
      <c r="BHC31" s="4"/>
      <c r="BHD31" s="4"/>
      <c r="BHE31" s="4"/>
      <c r="BHF31" s="4"/>
      <c r="BHG31" s="4"/>
      <c r="BHH31" s="4"/>
      <c r="BHI31" s="4"/>
      <c r="BHJ31" s="4"/>
      <c r="BHK31" s="4"/>
      <c r="BHL31" s="4"/>
      <c r="BHM31" s="4"/>
      <c r="BHN31" s="4"/>
      <c r="BHO31" s="4"/>
      <c r="BHP31" s="4"/>
      <c r="BHQ31" s="4"/>
      <c r="BHR31" s="4"/>
      <c r="BHS31" s="4"/>
      <c r="BHT31" s="4"/>
      <c r="BHU31" s="4"/>
      <c r="BHV31" s="4"/>
      <c r="BHW31" s="4"/>
      <c r="BHX31" s="4"/>
      <c r="BHY31" s="4"/>
      <c r="BHZ31" s="4"/>
      <c r="BIA31" s="4"/>
      <c r="BIB31" s="4"/>
      <c r="BIC31" s="4"/>
      <c r="BID31" s="4"/>
      <c r="BIE31" s="4"/>
      <c r="BIF31" s="4"/>
      <c r="BIG31" s="4"/>
      <c r="BIH31" s="4"/>
      <c r="BII31" s="4"/>
      <c r="BIJ31" s="4"/>
      <c r="BIK31" s="4"/>
      <c r="BIL31" s="4"/>
      <c r="BIM31" s="4"/>
      <c r="BIN31" s="4"/>
      <c r="BIO31" s="4"/>
      <c r="BIP31" s="4"/>
      <c r="BIQ31" s="4"/>
      <c r="BIR31" s="4"/>
      <c r="BIS31" s="4"/>
      <c r="BIT31" s="4"/>
      <c r="BIU31" s="4"/>
      <c r="BIV31" s="4"/>
      <c r="BIW31" s="4"/>
      <c r="BIX31" s="4"/>
      <c r="BIY31" s="4"/>
      <c r="BIZ31" s="4"/>
      <c r="BJA31" s="4"/>
      <c r="BJB31" s="4"/>
      <c r="BJC31" s="4"/>
      <c r="BJD31" s="4"/>
      <c r="BJE31" s="4"/>
      <c r="BJF31" s="4"/>
      <c r="BJG31" s="4"/>
      <c r="BJH31" s="4"/>
      <c r="BJI31" s="4"/>
      <c r="BJJ31" s="4"/>
      <c r="BJK31" s="4"/>
      <c r="BJL31" s="4"/>
      <c r="BJM31" s="4"/>
      <c r="BJN31" s="4"/>
      <c r="BJO31" s="4"/>
      <c r="BJP31" s="4"/>
      <c r="BJQ31" s="4"/>
      <c r="BJR31" s="4"/>
      <c r="BJS31" s="4"/>
      <c r="BJT31" s="4"/>
      <c r="BJU31" s="4"/>
      <c r="BJV31" s="4"/>
      <c r="BJW31" s="4"/>
      <c r="BJX31" s="4"/>
      <c r="BJY31" s="4"/>
      <c r="BJZ31" s="4"/>
      <c r="BKA31" s="4"/>
      <c r="BKB31" s="4"/>
      <c r="BKC31" s="4"/>
      <c r="BKD31" s="4"/>
      <c r="BKE31" s="4"/>
      <c r="BKF31" s="4"/>
      <c r="BKG31" s="4"/>
      <c r="BKH31" s="4"/>
      <c r="BKI31" s="4"/>
      <c r="BKJ31" s="4"/>
      <c r="BKK31" s="4"/>
      <c r="BKL31" s="4"/>
      <c r="BKM31" s="4"/>
      <c r="BKN31" s="4"/>
      <c r="BKO31" s="4"/>
      <c r="BKP31" s="4"/>
      <c r="BKQ31" s="4"/>
      <c r="BKR31" s="4"/>
      <c r="BKS31" s="4"/>
      <c r="BKT31" s="4"/>
      <c r="BKU31" s="4"/>
      <c r="BKV31" s="4"/>
      <c r="BKW31" s="4"/>
      <c r="BKX31" s="4"/>
      <c r="BKY31" s="4"/>
      <c r="BKZ31" s="4"/>
      <c r="BLA31" s="4"/>
      <c r="BLB31" s="4"/>
      <c r="BLC31" s="4"/>
      <c r="BLD31" s="4"/>
      <c r="BLE31" s="4"/>
      <c r="BLF31" s="4"/>
      <c r="BLG31" s="4"/>
      <c r="BLH31" s="4"/>
      <c r="BLI31" s="4"/>
      <c r="BLJ31" s="4"/>
      <c r="BLK31" s="4"/>
      <c r="BLL31" s="4"/>
      <c r="BLM31" s="4"/>
      <c r="BLN31" s="4"/>
      <c r="BLO31" s="4"/>
      <c r="BLP31" s="4"/>
      <c r="BLQ31" s="4"/>
      <c r="BLR31" s="4"/>
      <c r="BLS31" s="4"/>
      <c r="BLT31" s="4"/>
      <c r="BLU31" s="4"/>
      <c r="BLV31" s="4"/>
      <c r="BLW31" s="4"/>
      <c r="BLX31" s="4"/>
      <c r="BLY31" s="4"/>
      <c r="BLZ31" s="4"/>
      <c r="BMA31" s="4"/>
      <c r="BMB31" s="4"/>
      <c r="BMC31" s="4"/>
      <c r="BMD31" s="4"/>
      <c r="BME31" s="4"/>
      <c r="BMF31" s="4"/>
      <c r="BMG31" s="4"/>
      <c r="BMH31" s="4"/>
      <c r="BMI31" s="4"/>
      <c r="BMJ31" s="4"/>
      <c r="BMK31" s="4"/>
      <c r="BML31" s="4"/>
      <c r="BMM31" s="4"/>
      <c r="BMN31" s="4"/>
      <c r="BMO31" s="4"/>
      <c r="BMP31" s="4"/>
      <c r="BMQ31" s="4"/>
      <c r="BMR31" s="4"/>
      <c r="BMS31" s="4"/>
      <c r="BMT31" s="4"/>
      <c r="BMU31" s="4"/>
      <c r="BMV31" s="4"/>
      <c r="BMW31" s="4"/>
      <c r="BMX31" s="4"/>
      <c r="BMY31" s="4"/>
      <c r="BMZ31" s="4"/>
      <c r="BNA31" s="4"/>
      <c r="BNB31" s="4"/>
      <c r="BNC31" s="4"/>
      <c r="BND31" s="4"/>
      <c r="BNE31" s="4"/>
      <c r="BNF31" s="4"/>
      <c r="BNG31" s="4"/>
      <c r="BNH31" s="4"/>
      <c r="BNI31" s="4"/>
      <c r="BNJ31" s="4"/>
      <c r="BNK31" s="4"/>
      <c r="BNL31" s="4"/>
      <c r="BNM31" s="4"/>
      <c r="BNN31" s="4"/>
      <c r="BNO31" s="4"/>
      <c r="BNP31" s="4"/>
      <c r="BNQ31" s="4"/>
      <c r="BNR31" s="4"/>
      <c r="BNS31" s="4"/>
      <c r="BNT31" s="4"/>
      <c r="BNU31" s="4"/>
      <c r="BNV31" s="4"/>
      <c r="BNW31" s="4"/>
      <c r="BNX31" s="4"/>
      <c r="BNY31" s="4"/>
      <c r="BNZ31" s="4"/>
      <c r="BOA31" s="4"/>
      <c r="BOB31" s="4"/>
      <c r="BOC31" s="4"/>
      <c r="BOD31" s="4"/>
      <c r="BOE31" s="4"/>
      <c r="BOF31" s="4"/>
      <c r="BOG31" s="4"/>
      <c r="BOH31" s="4"/>
      <c r="BOI31" s="4"/>
      <c r="BOJ31" s="4"/>
      <c r="BOK31" s="4"/>
      <c r="BOL31" s="4"/>
      <c r="BOM31" s="4"/>
      <c r="BON31" s="4"/>
      <c r="BOO31" s="4"/>
      <c r="BOP31" s="4"/>
      <c r="BOQ31" s="4"/>
      <c r="BOR31" s="4"/>
      <c r="BOS31" s="4"/>
      <c r="BOT31" s="4"/>
      <c r="BOU31" s="4"/>
      <c r="BOV31" s="4"/>
      <c r="BOW31" s="4"/>
      <c r="BOX31" s="4"/>
      <c r="BOY31" s="4"/>
      <c r="BOZ31" s="4"/>
      <c r="BPA31" s="66"/>
    </row>
    <row r="32" s="6" customFormat="1" ht="60" customHeight="1" spans="1:1024 1025:1769">
      <c r="A32" s="47" t="s">
        <v>124</v>
      </c>
      <c r="B32" s="48" t="s">
        <v>1320</v>
      </c>
      <c r="C32" s="48" t="s">
        <v>1321</v>
      </c>
      <c r="D32" s="49" t="s">
        <v>1322</v>
      </c>
      <c r="E32" s="56"/>
      <c r="F32" s="51">
        <v>46175</v>
      </c>
      <c r="G32" s="58" t="s">
        <v>8</v>
      </c>
      <c r="H32" s="56" t="s">
        <v>1288</v>
      </c>
      <c r="I32" s="5" t="s">
        <v>1323</v>
      </c>
      <c r="J32" s="5" t="s">
        <v>1254</v>
      </c>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c r="RM32" s="4"/>
      <c r="RN32" s="4"/>
      <c r="RO32" s="4"/>
      <c r="RP32" s="4"/>
      <c r="RQ32" s="4"/>
      <c r="RR32" s="4"/>
      <c r="RS32" s="4"/>
      <c r="RT32" s="4"/>
      <c r="RU32" s="4"/>
      <c r="RV32" s="4"/>
      <c r="RW32" s="4"/>
      <c r="RX32" s="4"/>
      <c r="RY32" s="4"/>
      <c r="RZ32" s="4"/>
      <c r="SA32" s="4"/>
      <c r="SB32" s="4"/>
      <c r="SC32" s="4"/>
      <c r="SD32" s="4"/>
      <c r="SE32" s="4"/>
      <c r="SF32" s="4"/>
      <c r="SG32" s="4"/>
      <c r="SH32" s="4"/>
      <c r="SI32" s="4"/>
      <c r="SJ32" s="4"/>
      <c r="SK32" s="4"/>
      <c r="SL32" s="4"/>
      <c r="SM32" s="4"/>
      <c r="SN32" s="4"/>
      <c r="SO32" s="4"/>
      <c r="SP32" s="4"/>
      <c r="SQ32" s="4"/>
      <c r="SR32" s="4"/>
      <c r="SS32" s="4"/>
      <c r="ST32" s="4"/>
      <c r="SU32" s="4"/>
      <c r="SV32" s="4"/>
      <c r="SW32" s="4"/>
      <c r="SX32" s="4"/>
      <c r="SY32" s="4"/>
      <c r="SZ32" s="4"/>
      <c r="TA32" s="4"/>
      <c r="TB32" s="4"/>
      <c r="TC32" s="4"/>
      <c r="TD32" s="4"/>
      <c r="TE32" s="4"/>
      <c r="TF32" s="4"/>
      <c r="TG32" s="4"/>
      <c r="TH32" s="4"/>
      <c r="TI32" s="4"/>
      <c r="TJ32" s="4"/>
      <c r="TK32" s="4"/>
      <c r="TL32" s="4"/>
      <c r="TM32" s="4"/>
      <c r="TN32" s="4"/>
      <c r="TO32" s="4"/>
      <c r="TP32" s="4"/>
      <c r="TQ32" s="4"/>
      <c r="TR32" s="4"/>
      <c r="TS32" s="4"/>
      <c r="TT32" s="4"/>
      <c r="TU32" s="4"/>
      <c r="TV32" s="4"/>
      <c r="TW32" s="4"/>
      <c r="TX32" s="4"/>
      <c r="TY32" s="4"/>
      <c r="TZ32" s="4"/>
      <c r="UA32" s="4"/>
      <c r="UB32" s="4"/>
      <c r="UC32" s="4"/>
      <c r="UD32" s="4"/>
      <c r="UE32" s="4"/>
      <c r="UF32" s="4"/>
      <c r="UG32" s="4"/>
      <c r="UH32" s="4"/>
      <c r="UI32" s="4"/>
      <c r="UJ32" s="4"/>
      <c r="UK32" s="4"/>
      <c r="UL32" s="4"/>
      <c r="UM32" s="4"/>
      <c r="UN32" s="4"/>
      <c r="UO32" s="4"/>
      <c r="UP32" s="4"/>
      <c r="UQ32" s="4"/>
      <c r="UR32" s="4"/>
      <c r="US32" s="4"/>
      <c r="UT32" s="4"/>
      <c r="UU32" s="4"/>
      <c r="UV32" s="4"/>
      <c r="UW32" s="4"/>
      <c r="UX32" s="4"/>
      <c r="UY32" s="4"/>
      <c r="UZ32" s="4"/>
      <c r="VA32" s="4"/>
      <c r="VB32" s="4"/>
      <c r="VC32" s="4"/>
      <c r="VD32" s="4"/>
      <c r="VE32" s="4"/>
      <c r="VF32" s="4"/>
      <c r="VG32" s="4"/>
      <c r="VH32" s="4"/>
      <c r="VI32" s="4"/>
      <c r="VJ32" s="4"/>
      <c r="VK32" s="4"/>
      <c r="VL32" s="4"/>
      <c r="VM32" s="4"/>
      <c r="VN32" s="4"/>
      <c r="VO32" s="4"/>
      <c r="VP32" s="4"/>
      <c r="VQ32" s="4"/>
      <c r="VR32" s="4"/>
      <c r="VS32" s="4"/>
      <c r="VT32" s="4"/>
      <c r="VU32" s="4"/>
      <c r="VV32" s="4"/>
      <c r="VW32" s="4"/>
      <c r="VX32" s="4"/>
      <c r="VY32" s="4"/>
      <c r="VZ32" s="4"/>
      <c r="WA32" s="4"/>
      <c r="WB32" s="4"/>
      <c r="WC32" s="4"/>
      <c r="WD32" s="4"/>
      <c r="WE32" s="4"/>
      <c r="WF32" s="4"/>
      <c r="WG32" s="4"/>
      <c r="WH32" s="4"/>
      <c r="WI32" s="4"/>
      <c r="WJ32" s="4"/>
      <c r="WK32" s="4"/>
      <c r="WL32" s="4"/>
      <c r="WM32" s="4"/>
      <c r="WN32" s="4"/>
      <c r="WO32" s="4"/>
      <c r="WP32" s="4"/>
      <c r="WQ32" s="4"/>
      <c r="WR32" s="4"/>
      <c r="WS32" s="4"/>
      <c r="WT32" s="4"/>
      <c r="WU32" s="4"/>
      <c r="WV32" s="4"/>
      <c r="WW32" s="4"/>
      <c r="WX32" s="4"/>
      <c r="WY32" s="4"/>
      <c r="WZ32" s="4"/>
      <c r="XA32" s="4"/>
      <c r="XB32" s="4"/>
      <c r="XC32" s="4"/>
      <c r="XD32" s="4"/>
      <c r="XE32" s="4"/>
      <c r="XF32" s="4"/>
      <c r="XG32" s="4"/>
      <c r="XH32" s="4"/>
      <c r="XI32" s="4"/>
      <c r="XJ32" s="4"/>
      <c r="XK32" s="4"/>
      <c r="XL32" s="4"/>
      <c r="XM32" s="4"/>
      <c r="XN32" s="4"/>
      <c r="XO32" s="4"/>
      <c r="XP32" s="4"/>
      <c r="XQ32" s="4"/>
      <c r="XR32" s="4"/>
      <c r="XS32" s="4"/>
      <c r="XT32" s="4"/>
      <c r="XU32" s="4"/>
      <c r="XV32" s="4"/>
      <c r="XW32" s="4"/>
      <c r="XX32" s="4"/>
      <c r="XY32" s="4"/>
      <c r="XZ32" s="4"/>
      <c r="YA32" s="4"/>
      <c r="YB32" s="4"/>
      <c r="YC32" s="4"/>
      <c r="YD32" s="4"/>
      <c r="YE32" s="4"/>
      <c r="YF32" s="4"/>
      <c r="YG32" s="4"/>
      <c r="YH32" s="4"/>
      <c r="YI32" s="4"/>
      <c r="YJ32" s="4"/>
      <c r="YK32" s="4"/>
      <c r="YL32" s="4"/>
      <c r="YM32" s="4"/>
      <c r="YN32" s="4"/>
      <c r="YO32" s="4"/>
      <c r="YP32" s="4"/>
      <c r="YQ32" s="4"/>
      <c r="YR32" s="4"/>
      <c r="YS32" s="4"/>
      <c r="YT32" s="4"/>
      <c r="YU32" s="4"/>
      <c r="YV32" s="4"/>
      <c r="YW32" s="4"/>
      <c r="YX32" s="4"/>
      <c r="YY32" s="4"/>
      <c r="YZ32" s="4"/>
      <c r="ZA32" s="4"/>
      <c r="ZB32" s="4"/>
      <c r="ZC32" s="4"/>
      <c r="ZD32" s="4"/>
      <c r="ZE32" s="4"/>
      <c r="ZF32" s="4"/>
      <c r="ZG32" s="4"/>
      <c r="ZH32" s="4"/>
      <c r="ZI32" s="4"/>
      <c r="ZJ32" s="4"/>
      <c r="ZK32" s="4"/>
      <c r="ZL32" s="4"/>
      <c r="ZM32" s="4"/>
      <c r="ZN32" s="4"/>
      <c r="ZO32" s="4"/>
      <c r="ZP32" s="4"/>
      <c r="ZQ32" s="4"/>
      <c r="ZR32" s="4"/>
      <c r="ZS32" s="4"/>
      <c r="ZT32" s="4"/>
      <c r="ZU32" s="4"/>
      <c r="ZV32" s="4"/>
      <c r="ZW32" s="4"/>
      <c r="ZX32" s="4"/>
      <c r="ZY32" s="4"/>
      <c r="ZZ32" s="4"/>
      <c r="AAA32" s="4"/>
      <c r="AAB32" s="4"/>
      <c r="AAC32" s="4"/>
      <c r="AAD32" s="4"/>
      <c r="AAE32" s="4"/>
      <c r="AAF32" s="4"/>
      <c r="AAG32" s="4"/>
      <c r="AAH32" s="4"/>
      <c r="AAI32" s="4"/>
      <c r="AAJ32" s="4"/>
      <c r="AAK32" s="4"/>
      <c r="AAL32" s="4"/>
      <c r="AAM32" s="4"/>
      <c r="AAN32" s="4"/>
      <c r="AAO32" s="4"/>
      <c r="AAP32" s="4"/>
      <c r="AAQ32" s="4"/>
      <c r="AAR32" s="4"/>
      <c r="AAS32" s="4"/>
      <c r="AAT32" s="4"/>
      <c r="AAU32" s="4"/>
      <c r="AAV32" s="4"/>
      <c r="AAW32" s="4"/>
      <c r="AAX32" s="4"/>
      <c r="AAY32" s="4"/>
      <c r="AAZ32" s="4"/>
      <c r="ABA32" s="4"/>
      <c r="ABB32" s="4"/>
      <c r="ABC32" s="4"/>
      <c r="ABD32" s="4"/>
      <c r="ABE32" s="4"/>
      <c r="ABF32" s="4"/>
      <c r="ABG32" s="4"/>
      <c r="ABH32" s="4"/>
      <c r="ABI32" s="4"/>
      <c r="ABJ32" s="4"/>
      <c r="ABK32" s="4"/>
      <c r="ABL32" s="4"/>
      <c r="ABM32" s="4"/>
      <c r="ABN32" s="4"/>
      <c r="ABO32" s="4"/>
      <c r="ABP32" s="4"/>
      <c r="ABQ32" s="4"/>
      <c r="ABR32" s="4"/>
      <c r="ABS32" s="4"/>
      <c r="ABT32" s="4"/>
      <c r="ABU32" s="4"/>
      <c r="ABV32" s="4"/>
      <c r="ABW32" s="4"/>
      <c r="ABX32" s="4"/>
      <c r="ABY32" s="4"/>
      <c r="ABZ32" s="4"/>
      <c r="ACA32" s="4"/>
      <c r="ACB32" s="4"/>
      <c r="ACC32" s="4"/>
      <c r="ACD32" s="4"/>
      <c r="ACE32" s="4"/>
      <c r="ACF32" s="4"/>
      <c r="ACG32" s="4"/>
      <c r="ACH32" s="4"/>
      <c r="ACI32" s="4"/>
      <c r="ACJ32" s="4"/>
      <c r="ACK32" s="4"/>
      <c r="ACL32" s="4"/>
      <c r="ACM32" s="4"/>
      <c r="ACN32" s="4"/>
      <c r="ACO32" s="4"/>
      <c r="ACP32" s="4"/>
      <c r="ACQ32" s="4"/>
      <c r="ACR32" s="4"/>
      <c r="ACS32" s="4"/>
      <c r="ACT32" s="4"/>
      <c r="ACU32" s="4"/>
      <c r="ACV32" s="4"/>
      <c r="ACW32" s="4"/>
      <c r="ACX32" s="4"/>
      <c r="ACY32" s="4"/>
      <c r="ACZ32" s="4"/>
      <c r="ADA32" s="4"/>
      <c r="ADB32" s="4"/>
      <c r="ADC32" s="4"/>
      <c r="ADD32" s="4"/>
      <c r="ADE32" s="4"/>
      <c r="ADF32" s="4"/>
      <c r="ADG32" s="4"/>
      <c r="ADH32" s="4"/>
      <c r="ADI32" s="4"/>
      <c r="ADJ32" s="4"/>
      <c r="ADK32" s="4"/>
      <c r="ADL32" s="4"/>
      <c r="ADM32" s="4"/>
      <c r="ADN32" s="4"/>
      <c r="ADO32" s="4"/>
      <c r="ADP32" s="4"/>
      <c r="ADQ32" s="4"/>
      <c r="ADR32" s="4"/>
      <c r="ADS32" s="4"/>
      <c r="ADT32" s="4"/>
      <c r="ADU32" s="4"/>
      <c r="ADV32" s="4"/>
      <c r="ADW32" s="4"/>
      <c r="ADX32" s="4"/>
      <c r="ADY32" s="4"/>
      <c r="ADZ32" s="4"/>
      <c r="AEA32" s="4"/>
      <c r="AEB32" s="4"/>
      <c r="AEC32" s="4"/>
      <c r="AED32" s="4"/>
      <c r="AEE32" s="4"/>
      <c r="AEF32" s="4"/>
      <c r="AEG32" s="4"/>
      <c r="AEH32" s="4"/>
      <c r="AEI32" s="4"/>
      <c r="AEJ32" s="4"/>
      <c r="AEK32" s="4"/>
      <c r="AEL32" s="4"/>
      <c r="AEM32" s="4"/>
      <c r="AEN32" s="4"/>
      <c r="AEO32" s="4"/>
      <c r="AEP32" s="4"/>
      <c r="AEQ32" s="4"/>
      <c r="AER32" s="4"/>
      <c r="AES32" s="4"/>
      <c r="AET32" s="4"/>
      <c r="AEU32" s="4"/>
      <c r="AEV32" s="4"/>
      <c r="AEW32" s="4"/>
      <c r="AEX32" s="4"/>
      <c r="AEY32" s="4"/>
      <c r="AEZ32" s="4"/>
      <c r="AFA32" s="4"/>
      <c r="AFB32" s="4"/>
      <c r="AFC32" s="4"/>
      <c r="AFD32" s="4"/>
      <c r="AFE32" s="4"/>
      <c r="AFF32" s="4"/>
      <c r="AFG32" s="4"/>
      <c r="AFH32" s="4"/>
      <c r="AFI32" s="4"/>
      <c r="AFJ32" s="4"/>
      <c r="AFK32" s="4"/>
      <c r="AFL32" s="4"/>
      <c r="AFM32" s="4"/>
      <c r="AFN32" s="4"/>
      <c r="AFO32" s="4"/>
      <c r="AFP32" s="4"/>
      <c r="AFQ32" s="4"/>
      <c r="AFR32" s="4"/>
      <c r="AFS32" s="4"/>
      <c r="AFT32" s="4"/>
      <c r="AFU32" s="4"/>
      <c r="AFV32" s="4"/>
      <c r="AFW32" s="4"/>
      <c r="AFX32" s="4"/>
      <c r="AFY32" s="4"/>
      <c r="AFZ32" s="4"/>
      <c r="AGA32" s="4"/>
      <c r="AGB32" s="4"/>
      <c r="AGC32" s="4"/>
      <c r="AGD32" s="4"/>
      <c r="AGE32" s="4"/>
      <c r="AGF32" s="4"/>
      <c r="AGG32" s="4"/>
      <c r="AGH32" s="4"/>
      <c r="AGI32" s="4"/>
      <c r="AGJ32" s="4"/>
      <c r="AGK32" s="4"/>
      <c r="AGL32" s="4"/>
      <c r="AGM32" s="4"/>
      <c r="AGN32" s="4"/>
      <c r="AGO32" s="4"/>
      <c r="AGP32" s="4"/>
      <c r="AGQ32" s="4"/>
      <c r="AGR32" s="4"/>
      <c r="AGS32" s="4"/>
      <c r="AGT32" s="4"/>
      <c r="AGU32" s="4"/>
      <c r="AGV32" s="4"/>
      <c r="AGW32" s="4"/>
      <c r="AGX32" s="4"/>
      <c r="AGY32" s="4"/>
      <c r="AGZ32" s="4"/>
      <c r="AHA32" s="4"/>
      <c r="AHB32" s="4"/>
      <c r="AHC32" s="4"/>
      <c r="AHD32" s="4"/>
      <c r="AHE32" s="4"/>
      <c r="AHF32" s="4"/>
      <c r="AHG32" s="4"/>
      <c r="AHH32" s="4"/>
      <c r="AHI32" s="4"/>
      <c r="AHJ32" s="4"/>
      <c r="AHK32" s="4"/>
      <c r="AHL32" s="4"/>
      <c r="AHM32" s="4"/>
      <c r="AHN32" s="4"/>
      <c r="AHO32" s="4"/>
      <c r="AHP32" s="4"/>
      <c r="AHQ32" s="4"/>
      <c r="AHR32" s="4"/>
      <c r="AHS32" s="4"/>
      <c r="AHT32" s="4"/>
      <c r="AHU32" s="4"/>
      <c r="AHV32" s="4"/>
      <c r="AHW32" s="4"/>
      <c r="AHX32" s="4"/>
      <c r="AHY32" s="4"/>
      <c r="AHZ32" s="4"/>
      <c r="AIA32" s="4"/>
      <c r="AIB32" s="4"/>
      <c r="AIC32" s="4"/>
      <c r="AID32" s="4"/>
      <c r="AIE32" s="4"/>
      <c r="AIF32" s="4"/>
      <c r="AIG32" s="4"/>
      <c r="AIH32" s="4"/>
      <c r="AII32" s="4"/>
      <c r="AIJ32" s="4"/>
      <c r="AIK32" s="4"/>
      <c r="AIL32" s="4"/>
      <c r="AIM32" s="4"/>
      <c r="AIN32" s="4"/>
      <c r="AIO32" s="4"/>
      <c r="AIP32" s="4"/>
      <c r="AIQ32" s="4"/>
      <c r="AIR32" s="4"/>
      <c r="AIS32" s="4"/>
      <c r="AIT32" s="4"/>
      <c r="AIU32" s="4"/>
      <c r="AIV32" s="4"/>
      <c r="AIW32" s="4"/>
      <c r="AIX32" s="4"/>
      <c r="AIY32" s="4"/>
      <c r="AIZ32" s="4"/>
      <c r="AJA32" s="4"/>
      <c r="AJB32" s="4"/>
      <c r="AJC32" s="4"/>
      <c r="AJD32" s="4"/>
      <c r="AJE32" s="4"/>
      <c r="AJF32" s="4"/>
      <c r="AJG32" s="4"/>
      <c r="AJH32" s="4"/>
      <c r="AJI32" s="4"/>
      <c r="AJJ32" s="4"/>
      <c r="AJK32" s="4"/>
      <c r="AJL32" s="4"/>
      <c r="AJM32" s="4"/>
      <c r="AJN32" s="4"/>
      <c r="AJO32" s="4"/>
      <c r="AJP32" s="4"/>
      <c r="AJQ32" s="4"/>
      <c r="AJR32" s="4"/>
      <c r="AJS32" s="4"/>
      <c r="AJT32" s="4"/>
      <c r="AJU32" s="4"/>
      <c r="AJV32" s="4"/>
      <c r="AJW32" s="4"/>
      <c r="AJX32" s="4"/>
      <c r="AJY32" s="4"/>
      <c r="AJZ32" s="4"/>
      <c r="AKA32" s="4"/>
      <c r="AKB32" s="4"/>
      <c r="AKC32" s="4"/>
      <c r="AKD32" s="4"/>
      <c r="AKE32" s="4"/>
      <c r="AKF32" s="4"/>
      <c r="AKG32" s="4"/>
      <c r="AKH32" s="4"/>
      <c r="AKI32" s="4"/>
      <c r="AKJ32" s="4"/>
      <c r="AKK32" s="4"/>
      <c r="AKL32" s="4"/>
      <c r="AKM32" s="4"/>
      <c r="AKN32" s="4"/>
      <c r="AKO32" s="4"/>
      <c r="AKP32" s="4"/>
      <c r="AKQ32" s="4"/>
      <c r="AKR32" s="4"/>
      <c r="AKS32" s="4"/>
      <c r="AKT32" s="4"/>
      <c r="AKU32" s="4"/>
      <c r="AKV32" s="4"/>
      <c r="AKW32" s="4"/>
      <c r="AKX32" s="4"/>
      <c r="AKY32" s="4"/>
      <c r="AKZ32" s="4"/>
      <c r="ALA32" s="4"/>
      <c r="ALB32" s="4"/>
      <c r="ALC32" s="4"/>
      <c r="ALD32" s="4"/>
      <c r="ALE32" s="4"/>
      <c r="ALF32" s="4"/>
      <c r="ALG32" s="4"/>
      <c r="ALH32" s="4"/>
      <c r="ALI32" s="4"/>
      <c r="ALJ32" s="4"/>
      <c r="ALK32" s="4"/>
      <c r="ALL32" s="4"/>
      <c r="ALM32" s="4"/>
      <c r="ALN32" s="4"/>
      <c r="ALO32" s="4"/>
      <c r="ALP32" s="4"/>
      <c r="ALQ32" s="4"/>
      <c r="ALR32" s="4"/>
      <c r="ALS32" s="4"/>
      <c r="ALT32" s="4"/>
      <c r="ALU32" s="4"/>
      <c r="ALV32" s="4"/>
      <c r="ALW32" s="4"/>
      <c r="ALX32" s="4"/>
      <c r="ALY32" s="4"/>
      <c r="ALZ32" s="4"/>
      <c r="AMA32" s="4"/>
      <c r="AMB32" s="4"/>
      <c r="AMC32" s="4"/>
      <c r="AMD32" s="4"/>
      <c r="AME32" s="4"/>
      <c r="AMF32" s="4"/>
      <c r="AMG32" s="4"/>
      <c r="AMH32" s="4"/>
      <c r="AMI32" s="4"/>
      <c r="AMJ32" s="4"/>
      <c r="AMK32" s="4"/>
      <c r="AML32" s="4"/>
      <c r="AMM32" s="4"/>
      <c r="AMN32" s="4"/>
      <c r="AMO32" s="4"/>
      <c r="AMP32" s="4"/>
      <c r="AMQ32" s="4"/>
      <c r="AMR32" s="4"/>
      <c r="AMS32" s="4"/>
      <c r="AMT32" s="4"/>
      <c r="AMU32" s="4"/>
      <c r="AMV32" s="4"/>
      <c r="AMW32" s="4"/>
      <c r="AMX32" s="4"/>
      <c r="AMY32" s="4"/>
      <c r="AMZ32" s="4"/>
      <c r="ANA32" s="4"/>
      <c r="ANB32" s="4"/>
      <c r="ANC32" s="4"/>
      <c r="AND32" s="4"/>
      <c r="ANE32" s="4"/>
      <c r="ANF32" s="4"/>
      <c r="ANG32" s="4"/>
      <c r="ANH32" s="4"/>
      <c r="ANI32" s="4"/>
      <c r="ANJ32" s="4"/>
      <c r="ANK32" s="4"/>
      <c r="ANL32" s="4"/>
      <c r="ANM32" s="4"/>
      <c r="ANN32" s="4"/>
      <c r="ANO32" s="4"/>
      <c r="ANP32" s="4"/>
      <c r="ANQ32" s="4"/>
      <c r="ANR32" s="4"/>
      <c r="ANS32" s="4"/>
      <c r="ANT32" s="4"/>
      <c r="ANU32" s="4"/>
      <c r="ANV32" s="4"/>
      <c r="ANW32" s="4"/>
      <c r="ANX32" s="4"/>
      <c r="ANY32" s="4"/>
      <c r="ANZ32" s="4"/>
      <c r="AOA32" s="4"/>
      <c r="AOB32" s="4"/>
      <c r="AOC32" s="4"/>
      <c r="AOD32" s="4"/>
      <c r="AOE32" s="4"/>
      <c r="AOF32" s="4"/>
      <c r="AOG32" s="4"/>
      <c r="AOH32" s="4"/>
      <c r="AOI32" s="4"/>
      <c r="AOJ32" s="4"/>
      <c r="AOK32" s="4"/>
      <c r="AOL32" s="4"/>
      <c r="AOM32" s="4"/>
      <c r="AON32" s="4"/>
      <c r="AOO32" s="4"/>
      <c r="AOP32" s="4"/>
      <c r="AOQ32" s="4"/>
      <c r="AOR32" s="4"/>
      <c r="AOS32" s="4"/>
      <c r="AOT32" s="4"/>
      <c r="AOU32" s="4"/>
      <c r="AOV32" s="4"/>
      <c r="AOW32" s="4"/>
      <c r="AOX32" s="4"/>
      <c r="AOY32" s="4"/>
      <c r="AOZ32" s="4"/>
      <c r="APA32" s="4"/>
      <c r="APB32" s="4"/>
      <c r="APC32" s="4"/>
      <c r="APD32" s="4"/>
      <c r="APE32" s="4"/>
      <c r="APF32" s="4"/>
      <c r="APG32" s="4"/>
      <c r="APH32" s="4"/>
      <c r="API32" s="4"/>
      <c r="APJ32" s="4"/>
      <c r="APK32" s="4"/>
      <c r="APL32" s="4"/>
      <c r="APM32" s="4"/>
      <c r="APN32" s="4"/>
      <c r="APO32" s="4"/>
      <c r="APP32" s="4"/>
      <c r="APQ32" s="4"/>
      <c r="APR32" s="4"/>
      <c r="APS32" s="4"/>
      <c r="APT32" s="4"/>
      <c r="APU32" s="4"/>
      <c r="APV32" s="4"/>
      <c r="APW32" s="4"/>
      <c r="APX32" s="4"/>
      <c r="APY32" s="4"/>
      <c r="APZ32" s="4"/>
      <c r="AQA32" s="4"/>
      <c r="AQB32" s="4"/>
      <c r="AQC32" s="4"/>
      <c r="AQD32" s="4"/>
      <c r="AQE32" s="4"/>
      <c r="AQF32" s="4"/>
      <c r="AQG32" s="4"/>
      <c r="AQH32" s="4"/>
      <c r="AQI32" s="4"/>
      <c r="AQJ32" s="4"/>
      <c r="AQK32" s="4"/>
      <c r="AQL32" s="4"/>
      <c r="AQM32" s="4"/>
      <c r="AQN32" s="4"/>
      <c r="AQO32" s="4"/>
      <c r="AQP32" s="4"/>
      <c r="AQQ32" s="4"/>
      <c r="AQR32" s="4"/>
      <c r="AQS32" s="4"/>
      <c r="AQT32" s="4"/>
      <c r="AQU32" s="4"/>
      <c r="AQV32" s="4"/>
      <c r="AQW32" s="4"/>
      <c r="AQX32" s="4"/>
      <c r="AQY32" s="4"/>
      <c r="AQZ32" s="4"/>
      <c r="ARA32" s="4"/>
      <c r="ARB32" s="4"/>
      <c r="ARC32" s="4"/>
      <c r="ARD32" s="4"/>
      <c r="ARE32" s="4"/>
      <c r="ARF32" s="4"/>
      <c r="ARG32" s="4"/>
      <c r="ARH32" s="4"/>
      <c r="ARI32" s="4"/>
      <c r="ARJ32" s="4"/>
      <c r="ARK32" s="4"/>
      <c r="ARL32" s="4"/>
      <c r="ARM32" s="4"/>
      <c r="ARN32" s="4"/>
      <c r="ARO32" s="4"/>
      <c r="ARP32" s="4"/>
      <c r="ARQ32" s="4"/>
      <c r="ARR32" s="4"/>
      <c r="ARS32" s="4"/>
      <c r="ART32" s="4"/>
      <c r="ARU32" s="4"/>
      <c r="ARV32" s="4"/>
      <c r="ARW32" s="4"/>
      <c r="ARX32" s="4"/>
      <c r="ARY32" s="4"/>
      <c r="ARZ32" s="4"/>
      <c r="ASA32" s="4"/>
      <c r="ASB32" s="4"/>
      <c r="ASC32" s="4"/>
      <c r="ASD32" s="4"/>
      <c r="ASE32" s="4"/>
      <c r="ASF32" s="4"/>
      <c r="ASG32" s="4"/>
      <c r="ASH32" s="4"/>
      <c r="ASI32" s="4"/>
      <c r="ASJ32" s="4"/>
      <c r="ASK32" s="4"/>
      <c r="ASL32" s="4"/>
      <c r="ASM32" s="4"/>
      <c r="ASN32" s="4"/>
      <c r="ASO32" s="4"/>
      <c r="ASP32" s="4"/>
      <c r="ASQ32" s="4"/>
      <c r="ASR32" s="4"/>
      <c r="ASS32" s="4"/>
      <c r="AST32" s="4"/>
      <c r="ASU32" s="4"/>
      <c r="ASV32" s="4"/>
      <c r="ASW32" s="4"/>
      <c r="ASX32" s="4"/>
      <c r="ASY32" s="4"/>
      <c r="ASZ32" s="4"/>
      <c r="ATA32" s="4"/>
      <c r="ATB32" s="4"/>
      <c r="ATC32" s="4"/>
      <c r="ATD32" s="4"/>
      <c r="ATE32" s="4"/>
      <c r="ATF32" s="4"/>
      <c r="ATG32" s="4"/>
      <c r="ATH32" s="4"/>
      <c r="ATI32" s="4"/>
      <c r="ATJ32" s="4"/>
      <c r="ATK32" s="4"/>
      <c r="ATL32" s="4"/>
      <c r="ATM32" s="4"/>
      <c r="ATN32" s="4"/>
      <c r="ATO32" s="4"/>
      <c r="ATP32" s="4"/>
      <c r="ATQ32" s="4"/>
      <c r="ATR32" s="4"/>
      <c r="ATS32" s="4"/>
      <c r="ATT32" s="4"/>
      <c r="ATU32" s="4"/>
      <c r="ATV32" s="4"/>
      <c r="ATW32" s="4"/>
      <c r="ATX32" s="4"/>
      <c r="ATY32" s="4"/>
      <c r="ATZ32" s="4"/>
      <c r="AUA32" s="4"/>
      <c r="AUB32" s="4"/>
      <c r="AUC32" s="4"/>
      <c r="AUD32" s="4"/>
      <c r="AUE32" s="4"/>
      <c r="AUF32" s="4"/>
      <c r="AUG32" s="4"/>
      <c r="AUH32" s="4"/>
      <c r="AUI32" s="4"/>
      <c r="AUJ32" s="4"/>
      <c r="AUK32" s="4"/>
      <c r="AUL32" s="4"/>
      <c r="AUM32" s="4"/>
      <c r="AUN32" s="4"/>
      <c r="AUO32" s="4"/>
      <c r="AUP32" s="4"/>
      <c r="AUQ32" s="4"/>
      <c r="AUR32" s="4"/>
      <c r="AUS32" s="4"/>
      <c r="AUT32" s="4"/>
      <c r="AUU32" s="4"/>
      <c r="AUV32" s="4"/>
      <c r="AUW32" s="4"/>
      <c r="AUX32" s="4"/>
      <c r="AUY32" s="4"/>
      <c r="AUZ32" s="4"/>
      <c r="AVA32" s="4"/>
      <c r="AVB32" s="4"/>
      <c r="AVC32" s="4"/>
      <c r="AVD32" s="4"/>
      <c r="AVE32" s="4"/>
      <c r="AVF32" s="4"/>
      <c r="AVG32" s="4"/>
      <c r="AVH32" s="4"/>
      <c r="AVI32" s="4"/>
      <c r="AVJ32" s="4"/>
      <c r="AVK32" s="4"/>
      <c r="AVL32" s="4"/>
      <c r="AVM32" s="4"/>
      <c r="AVN32" s="4"/>
      <c r="AVO32" s="4"/>
      <c r="AVP32" s="4"/>
      <c r="AVQ32" s="4"/>
      <c r="AVR32" s="4"/>
      <c r="AVS32" s="4"/>
      <c r="AVT32" s="4"/>
      <c r="AVU32" s="4"/>
      <c r="AVV32" s="4"/>
      <c r="AVW32" s="4"/>
      <c r="AVX32" s="4"/>
      <c r="AVY32" s="4"/>
      <c r="AVZ32" s="4"/>
      <c r="AWA32" s="4"/>
      <c r="AWB32" s="4"/>
      <c r="AWC32" s="4"/>
      <c r="AWD32" s="4"/>
      <c r="AWE32" s="4"/>
      <c r="AWF32" s="4"/>
      <c r="AWG32" s="4"/>
      <c r="AWH32" s="4"/>
      <c r="AWI32" s="4"/>
      <c r="AWJ32" s="4"/>
      <c r="AWK32" s="4"/>
      <c r="AWL32" s="4"/>
      <c r="AWM32" s="4"/>
      <c r="AWN32" s="4"/>
      <c r="AWO32" s="4"/>
      <c r="AWP32" s="4"/>
      <c r="AWQ32" s="4"/>
      <c r="AWR32" s="4"/>
      <c r="AWS32" s="4"/>
      <c r="AWT32" s="4"/>
      <c r="AWU32" s="4"/>
      <c r="AWV32" s="4"/>
      <c r="AWW32" s="4"/>
      <c r="AWX32" s="4"/>
      <c r="AWY32" s="4"/>
      <c r="AWZ32" s="4"/>
      <c r="AXA32" s="4"/>
      <c r="AXB32" s="4"/>
      <c r="AXC32" s="4"/>
      <c r="AXD32" s="4"/>
      <c r="AXE32" s="4"/>
      <c r="AXF32" s="4"/>
      <c r="AXG32" s="4"/>
      <c r="AXH32" s="4"/>
      <c r="AXI32" s="4"/>
      <c r="AXJ32" s="4"/>
      <c r="AXK32" s="4"/>
      <c r="AXL32" s="4"/>
      <c r="AXM32" s="4"/>
      <c r="AXN32" s="4"/>
      <c r="AXO32" s="4"/>
      <c r="AXP32" s="4"/>
      <c r="AXQ32" s="4"/>
      <c r="AXR32" s="4"/>
      <c r="AXS32" s="4"/>
      <c r="AXT32" s="4"/>
      <c r="AXU32" s="4"/>
      <c r="AXV32" s="4"/>
      <c r="AXW32" s="4"/>
      <c r="AXX32" s="4"/>
      <c r="AXY32" s="4"/>
      <c r="AXZ32" s="4"/>
      <c r="AYA32" s="4"/>
      <c r="AYB32" s="4"/>
      <c r="AYC32" s="4"/>
      <c r="AYD32" s="4"/>
      <c r="AYE32" s="4"/>
      <c r="AYF32" s="4"/>
      <c r="AYG32" s="4"/>
      <c r="AYH32" s="4"/>
      <c r="AYI32" s="4"/>
      <c r="AYJ32" s="4"/>
      <c r="AYK32" s="4"/>
      <c r="AYL32" s="4"/>
      <c r="AYM32" s="4"/>
      <c r="AYN32" s="4"/>
      <c r="AYO32" s="4"/>
      <c r="AYP32" s="4"/>
      <c r="AYQ32" s="4"/>
      <c r="AYR32" s="4"/>
      <c r="AYS32" s="4"/>
      <c r="AYT32" s="4"/>
      <c r="AYU32" s="4"/>
      <c r="AYV32" s="4"/>
      <c r="AYW32" s="4"/>
      <c r="AYX32" s="4"/>
      <c r="AYY32" s="4"/>
      <c r="AYZ32" s="4"/>
      <c r="AZA32" s="4"/>
      <c r="AZB32" s="4"/>
      <c r="AZC32" s="4"/>
      <c r="AZD32" s="4"/>
      <c r="AZE32" s="4"/>
      <c r="AZF32" s="4"/>
      <c r="AZG32" s="4"/>
      <c r="AZH32" s="4"/>
      <c r="AZI32" s="4"/>
      <c r="AZJ32" s="4"/>
      <c r="AZK32" s="4"/>
      <c r="AZL32" s="4"/>
      <c r="AZM32" s="4"/>
      <c r="AZN32" s="4"/>
      <c r="AZO32" s="4"/>
      <c r="AZP32" s="4"/>
      <c r="AZQ32" s="4"/>
      <c r="AZR32" s="4"/>
      <c r="AZS32" s="4"/>
      <c r="AZT32" s="4"/>
      <c r="AZU32" s="4"/>
      <c r="AZV32" s="4"/>
      <c r="AZW32" s="4"/>
      <c r="AZX32" s="4"/>
      <c r="AZY32" s="4"/>
      <c r="AZZ32" s="4"/>
      <c r="BAA32" s="4"/>
      <c r="BAB32" s="4"/>
      <c r="BAC32" s="4"/>
      <c r="BAD32" s="4"/>
      <c r="BAE32" s="4"/>
      <c r="BAF32" s="4"/>
      <c r="BAG32" s="4"/>
      <c r="BAH32" s="4"/>
      <c r="BAI32" s="4"/>
      <c r="BAJ32" s="4"/>
      <c r="BAK32" s="4"/>
      <c r="BAL32" s="4"/>
      <c r="BAM32" s="4"/>
      <c r="BAN32" s="4"/>
      <c r="BAO32" s="4"/>
      <c r="BAP32" s="4"/>
      <c r="BAQ32" s="4"/>
      <c r="BAR32" s="4"/>
      <c r="BAS32" s="4"/>
      <c r="BAT32" s="4"/>
      <c r="BAU32" s="4"/>
      <c r="BAV32" s="4"/>
      <c r="BAW32" s="4"/>
      <c r="BAX32" s="4"/>
      <c r="BAY32" s="4"/>
      <c r="BAZ32" s="4"/>
      <c r="BBA32" s="4"/>
      <c r="BBB32" s="4"/>
      <c r="BBC32" s="4"/>
      <c r="BBD32" s="4"/>
      <c r="BBE32" s="4"/>
      <c r="BBF32" s="4"/>
      <c r="BBG32" s="4"/>
      <c r="BBH32" s="4"/>
      <c r="BBI32" s="4"/>
      <c r="BBJ32" s="4"/>
      <c r="BBK32" s="4"/>
      <c r="BBL32" s="4"/>
      <c r="BBM32" s="4"/>
      <c r="BBN32" s="4"/>
      <c r="BBO32" s="4"/>
      <c r="BBP32" s="4"/>
      <c r="BBQ32" s="4"/>
      <c r="BBR32" s="4"/>
      <c r="BBS32" s="4"/>
      <c r="BBT32" s="4"/>
      <c r="BBU32" s="4"/>
      <c r="BBV32" s="4"/>
      <c r="BBW32" s="4"/>
      <c r="BBX32" s="4"/>
      <c r="BBY32" s="4"/>
      <c r="BBZ32" s="4"/>
      <c r="BCA32" s="4"/>
      <c r="BCB32" s="4"/>
      <c r="BCC32" s="4"/>
      <c r="BCD32" s="4"/>
      <c r="BCE32" s="4"/>
      <c r="BCF32" s="4"/>
      <c r="BCG32" s="4"/>
      <c r="BCH32" s="4"/>
      <c r="BCI32" s="4"/>
      <c r="BCJ32" s="4"/>
      <c r="BCK32" s="4"/>
      <c r="BCL32" s="4"/>
      <c r="BCM32" s="4"/>
      <c r="BCN32" s="4"/>
      <c r="BCO32" s="4"/>
      <c r="BCP32" s="4"/>
      <c r="BCQ32" s="4"/>
      <c r="BCR32" s="4"/>
      <c r="BCS32" s="4"/>
      <c r="BCT32" s="4"/>
      <c r="BCU32" s="4"/>
      <c r="BCV32" s="4"/>
      <c r="BCW32" s="4"/>
      <c r="BCX32" s="4"/>
      <c r="BCY32" s="4"/>
      <c r="BCZ32" s="4"/>
      <c r="BDA32" s="4"/>
      <c r="BDB32" s="4"/>
      <c r="BDC32" s="4"/>
      <c r="BDD32" s="4"/>
      <c r="BDE32" s="4"/>
      <c r="BDF32" s="4"/>
      <c r="BDG32" s="4"/>
      <c r="BDH32" s="4"/>
      <c r="BDI32" s="4"/>
      <c r="BDJ32" s="4"/>
      <c r="BDK32" s="4"/>
      <c r="BDL32" s="4"/>
      <c r="BDM32" s="4"/>
      <c r="BDN32" s="4"/>
      <c r="BDO32" s="4"/>
      <c r="BDP32" s="4"/>
      <c r="BDQ32" s="4"/>
      <c r="BDR32" s="4"/>
      <c r="BDS32" s="4"/>
      <c r="BDT32" s="4"/>
      <c r="BDU32" s="4"/>
      <c r="BDV32" s="4"/>
      <c r="BDW32" s="4"/>
      <c r="BDX32" s="4"/>
      <c r="BDY32" s="4"/>
      <c r="BDZ32" s="4"/>
      <c r="BEA32" s="4"/>
      <c r="BEB32" s="4"/>
      <c r="BEC32" s="4"/>
      <c r="BED32" s="4"/>
      <c r="BEE32" s="4"/>
      <c r="BEF32" s="4"/>
      <c r="BEG32" s="4"/>
      <c r="BEH32" s="4"/>
      <c r="BEI32" s="4"/>
      <c r="BEJ32" s="4"/>
      <c r="BEK32" s="4"/>
      <c r="BEL32" s="4"/>
      <c r="BEM32" s="4"/>
      <c r="BEN32" s="4"/>
      <c r="BEO32" s="4"/>
      <c r="BEP32" s="4"/>
      <c r="BEQ32" s="4"/>
      <c r="BER32" s="4"/>
      <c r="BES32" s="4"/>
      <c r="BET32" s="4"/>
      <c r="BEU32" s="4"/>
      <c r="BEV32" s="4"/>
      <c r="BEW32" s="4"/>
      <c r="BEX32" s="4"/>
      <c r="BEY32" s="4"/>
      <c r="BEZ32" s="4"/>
      <c r="BFA32" s="4"/>
      <c r="BFB32" s="4"/>
      <c r="BFC32" s="4"/>
      <c r="BFD32" s="4"/>
      <c r="BFE32" s="4"/>
      <c r="BFF32" s="4"/>
      <c r="BFG32" s="4"/>
      <c r="BFH32" s="4"/>
      <c r="BFI32" s="4"/>
      <c r="BFJ32" s="4"/>
      <c r="BFK32" s="4"/>
      <c r="BFL32" s="4"/>
      <c r="BFM32" s="4"/>
      <c r="BFN32" s="4"/>
      <c r="BFO32" s="4"/>
      <c r="BFP32" s="4"/>
      <c r="BFQ32" s="4"/>
      <c r="BFR32" s="4"/>
      <c r="BFS32" s="4"/>
      <c r="BFT32" s="4"/>
      <c r="BFU32" s="4"/>
      <c r="BFV32" s="4"/>
      <c r="BFW32" s="4"/>
      <c r="BFX32" s="4"/>
      <c r="BFY32" s="4"/>
      <c r="BFZ32" s="4"/>
      <c r="BGA32" s="4"/>
      <c r="BGB32" s="4"/>
      <c r="BGC32" s="4"/>
      <c r="BGD32" s="4"/>
      <c r="BGE32" s="4"/>
      <c r="BGF32" s="4"/>
      <c r="BGG32" s="4"/>
      <c r="BGH32" s="4"/>
      <c r="BGI32" s="4"/>
      <c r="BGJ32" s="4"/>
      <c r="BGK32" s="4"/>
      <c r="BGL32" s="4"/>
      <c r="BGM32" s="4"/>
      <c r="BGN32" s="4"/>
      <c r="BGO32" s="4"/>
      <c r="BGP32" s="4"/>
      <c r="BGQ32" s="4"/>
      <c r="BGR32" s="4"/>
      <c r="BGS32" s="4"/>
      <c r="BGT32" s="4"/>
      <c r="BGU32" s="4"/>
      <c r="BGV32" s="4"/>
      <c r="BGW32" s="4"/>
      <c r="BGX32" s="4"/>
      <c r="BGY32" s="4"/>
      <c r="BGZ32" s="4"/>
      <c r="BHA32" s="4"/>
      <c r="BHB32" s="4"/>
      <c r="BHC32" s="4"/>
      <c r="BHD32" s="4"/>
      <c r="BHE32" s="4"/>
      <c r="BHF32" s="4"/>
      <c r="BHG32" s="4"/>
      <c r="BHH32" s="4"/>
      <c r="BHI32" s="4"/>
      <c r="BHJ32" s="4"/>
      <c r="BHK32" s="4"/>
      <c r="BHL32" s="4"/>
      <c r="BHM32" s="4"/>
      <c r="BHN32" s="4"/>
      <c r="BHO32" s="4"/>
      <c r="BHP32" s="4"/>
      <c r="BHQ32" s="4"/>
      <c r="BHR32" s="4"/>
      <c r="BHS32" s="4"/>
      <c r="BHT32" s="4"/>
      <c r="BHU32" s="4"/>
      <c r="BHV32" s="4"/>
      <c r="BHW32" s="4"/>
      <c r="BHX32" s="4"/>
      <c r="BHY32" s="4"/>
      <c r="BHZ32" s="4"/>
      <c r="BIA32" s="4"/>
      <c r="BIB32" s="4"/>
      <c r="BIC32" s="4"/>
      <c r="BID32" s="4"/>
      <c r="BIE32" s="4"/>
      <c r="BIF32" s="4"/>
      <c r="BIG32" s="4"/>
      <c r="BIH32" s="4"/>
      <c r="BII32" s="4"/>
      <c r="BIJ32" s="4"/>
      <c r="BIK32" s="4"/>
      <c r="BIL32" s="4"/>
      <c r="BIM32" s="4"/>
      <c r="BIN32" s="4"/>
      <c r="BIO32" s="4"/>
      <c r="BIP32" s="4"/>
      <c r="BIQ32" s="4"/>
      <c r="BIR32" s="4"/>
      <c r="BIS32" s="4"/>
      <c r="BIT32" s="4"/>
      <c r="BIU32" s="4"/>
      <c r="BIV32" s="4"/>
      <c r="BIW32" s="4"/>
      <c r="BIX32" s="4"/>
      <c r="BIY32" s="4"/>
      <c r="BIZ32" s="4"/>
      <c r="BJA32" s="4"/>
      <c r="BJB32" s="4"/>
      <c r="BJC32" s="4"/>
      <c r="BJD32" s="4"/>
      <c r="BJE32" s="4"/>
      <c r="BJF32" s="4"/>
      <c r="BJG32" s="4"/>
      <c r="BJH32" s="4"/>
      <c r="BJI32" s="4"/>
      <c r="BJJ32" s="4"/>
      <c r="BJK32" s="4"/>
      <c r="BJL32" s="4"/>
      <c r="BJM32" s="4"/>
      <c r="BJN32" s="4"/>
      <c r="BJO32" s="4"/>
      <c r="BJP32" s="4"/>
      <c r="BJQ32" s="4"/>
      <c r="BJR32" s="4"/>
      <c r="BJS32" s="4"/>
      <c r="BJT32" s="4"/>
      <c r="BJU32" s="4"/>
      <c r="BJV32" s="4"/>
      <c r="BJW32" s="4"/>
      <c r="BJX32" s="4"/>
      <c r="BJY32" s="4"/>
      <c r="BJZ32" s="4"/>
      <c r="BKA32" s="4"/>
      <c r="BKB32" s="4"/>
      <c r="BKC32" s="4"/>
      <c r="BKD32" s="4"/>
      <c r="BKE32" s="4"/>
      <c r="BKF32" s="4"/>
      <c r="BKG32" s="4"/>
      <c r="BKH32" s="4"/>
      <c r="BKI32" s="4"/>
      <c r="BKJ32" s="4"/>
      <c r="BKK32" s="4"/>
      <c r="BKL32" s="4"/>
      <c r="BKM32" s="4"/>
      <c r="BKN32" s="4"/>
      <c r="BKO32" s="4"/>
      <c r="BKP32" s="4"/>
      <c r="BKQ32" s="4"/>
      <c r="BKR32" s="4"/>
      <c r="BKS32" s="4"/>
      <c r="BKT32" s="4"/>
      <c r="BKU32" s="4"/>
      <c r="BKV32" s="4"/>
      <c r="BKW32" s="4"/>
      <c r="BKX32" s="4"/>
      <c r="BKY32" s="4"/>
      <c r="BKZ32" s="4"/>
      <c r="BLA32" s="4"/>
      <c r="BLB32" s="4"/>
      <c r="BLC32" s="4"/>
      <c r="BLD32" s="4"/>
      <c r="BLE32" s="4"/>
      <c r="BLF32" s="4"/>
      <c r="BLG32" s="4"/>
      <c r="BLH32" s="4"/>
      <c r="BLI32" s="4"/>
      <c r="BLJ32" s="4"/>
      <c r="BLK32" s="4"/>
      <c r="BLL32" s="4"/>
      <c r="BLM32" s="4"/>
      <c r="BLN32" s="4"/>
      <c r="BLO32" s="4"/>
      <c r="BLP32" s="4"/>
      <c r="BLQ32" s="4"/>
      <c r="BLR32" s="4"/>
      <c r="BLS32" s="4"/>
      <c r="BLT32" s="4"/>
      <c r="BLU32" s="4"/>
      <c r="BLV32" s="4"/>
      <c r="BLW32" s="4"/>
      <c r="BLX32" s="4"/>
      <c r="BLY32" s="4"/>
      <c r="BLZ32" s="4"/>
      <c r="BMA32" s="4"/>
      <c r="BMB32" s="4"/>
      <c r="BMC32" s="4"/>
      <c r="BMD32" s="4"/>
      <c r="BME32" s="4"/>
      <c r="BMF32" s="4"/>
      <c r="BMG32" s="4"/>
      <c r="BMH32" s="4"/>
      <c r="BMI32" s="4"/>
      <c r="BMJ32" s="4"/>
      <c r="BMK32" s="4"/>
      <c r="BML32" s="4"/>
      <c r="BMM32" s="4"/>
      <c r="BMN32" s="4"/>
      <c r="BMO32" s="4"/>
      <c r="BMP32" s="4"/>
      <c r="BMQ32" s="4"/>
      <c r="BMR32" s="4"/>
      <c r="BMS32" s="4"/>
      <c r="BMT32" s="4"/>
      <c r="BMU32" s="4"/>
      <c r="BMV32" s="4"/>
      <c r="BMW32" s="4"/>
      <c r="BMX32" s="4"/>
      <c r="BMY32" s="4"/>
      <c r="BMZ32" s="4"/>
      <c r="BNA32" s="4"/>
      <c r="BNB32" s="4"/>
      <c r="BNC32" s="4"/>
      <c r="BND32" s="4"/>
      <c r="BNE32" s="4"/>
      <c r="BNF32" s="4"/>
      <c r="BNG32" s="4"/>
      <c r="BNH32" s="4"/>
      <c r="BNI32" s="4"/>
      <c r="BNJ32" s="4"/>
      <c r="BNK32" s="4"/>
      <c r="BNL32" s="4"/>
      <c r="BNM32" s="4"/>
      <c r="BNN32" s="4"/>
      <c r="BNO32" s="4"/>
      <c r="BNP32" s="4"/>
      <c r="BNQ32" s="4"/>
      <c r="BNR32" s="4"/>
      <c r="BNS32" s="4"/>
      <c r="BNT32" s="4"/>
      <c r="BNU32" s="4"/>
      <c r="BNV32" s="4"/>
      <c r="BNW32" s="4"/>
      <c r="BNX32" s="4"/>
      <c r="BNY32" s="4"/>
      <c r="BNZ32" s="4"/>
      <c r="BOA32" s="4"/>
      <c r="BOB32" s="4"/>
      <c r="BOC32" s="4"/>
      <c r="BOD32" s="4"/>
      <c r="BOE32" s="4"/>
      <c r="BOF32" s="4"/>
      <c r="BOG32" s="4"/>
      <c r="BOH32" s="4"/>
      <c r="BOI32" s="4"/>
      <c r="BOJ32" s="4"/>
      <c r="BOK32" s="4"/>
      <c r="BOL32" s="4"/>
      <c r="BOM32" s="4"/>
      <c r="BON32" s="4"/>
      <c r="BOO32" s="4"/>
      <c r="BOP32" s="4"/>
      <c r="BOQ32" s="4"/>
      <c r="BOR32" s="4"/>
      <c r="BOS32" s="4"/>
      <c r="BOT32" s="4"/>
      <c r="BOU32" s="4"/>
      <c r="BOV32" s="4"/>
      <c r="BOW32" s="4"/>
      <c r="BOX32" s="4"/>
      <c r="BOY32" s="4"/>
      <c r="BOZ32" s="4"/>
      <c r="BPA32" s="66"/>
    </row>
    <row r="33" s="4" customFormat="1" ht="60" customHeight="1" spans="1:10">
      <c r="A33" s="47" t="s">
        <v>130</v>
      </c>
      <c r="B33" s="48" t="s">
        <v>1324</v>
      </c>
      <c r="C33" s="48" t="s">
        <v>1325</v>
      </c>
      <c r="D33" s="49" t="s">
        <v>1326</v>
      </c>
      <c r="E33" s="55"/>
      <c r="F33" s="51">
        <v>46175</v>
      </c>
      <c r="G33" s="58" t="s">
        <v>8</v>
      </c>
      <c r="H33" s="70" t="s">
        <v>1327</v>
      </c>
      <c r="I33" s="5" t="s">
        <v>1328</v>
      </c>
      <c r="J33" s="5" t="s">
        <v>1254</v>
      </c>
    </row>
    <row r="34" s="4" customFormat="1" ht="60" customHeight="1" spans="1:10">
      <c r="A34" s="47" t="s">
        <v>136</v>
      </c>
      <c r="B34" s="48" t="s">
        <v>1329</v>
      </c>
      <c r="C34" s="48" t="s">
        <v>1330</v>
      </c>
      <c r="D34" s="49" t="s">
        <v>1331</v>
      </c>
      <c r="E34" s="56"/>
      <c r="F34" s="51">
        <v>46175</v>
      </c>
      <c r="G34" s="58" t="s">
        <v>8</v>
      </c>
      <c r="H34" s="70" t="s">
        <v>1332</v>
      </c>
      <c r="I34" s="5" t="s">
        <v>1333</v>
      </c>
      <c r="J34" s="5" t="s">
        <v>1254</v>
      </c>
    </row>
    <row r="35" s="4" customFormat="1" ht="60" customHeight="1" spans="1:10">
      <c r="A35" s="47" t="s">
        <v>142</v>
      </c>
      <c r="B35" s="48" t="s">
        <v>1334</v>
      </c>
      <c r="C35" s="48" t="s">
        <v>1335</v>
      </c>
      <c r="D35" s="49" t="s">
        <v>1336</v>
      </c>
      <c r="E35" s="56"/>
      <c r="F35" s="51">
        <v>46175</v>
      </c>
      <c r="G35" s="58" t="s">
        <v>8</v>
      </c>
      <c r="H35" s="70" t="s">
        <v>1337</v>
      </c>
      <c r="I35" s="5" t="s">
        <v>1338</v>
      </c>
      <c r="J35" s="5" t="s">
        <v>1254</v>
      </c>
    </row>
    <row r="36" s="4" customFormat="1" ht="60" customHeight="1" spans="1:10">
      <c r="A36" s="47" t="s">
        <v>148</v>
      </c>
      <c r="B36" s="48" t="s">
        <v>1339</v>
      </c>
      <c r="C36" s="48" t="s">
        <v>1340</v>
      </c>
      <c r="D36" s="49" t="s">
        <v>1341</v>
      </c>
      <c r="E36" s="56"/>
      <c r="F36" s="51">
        <v>46175</v>
      </c>
      <c r="G36" s="57" t="s">
        <v>7</v>
      </c>
      <c r="H36" s="69"/>
      <c r="I36" s="5"/>
      <c r="J36" s="5" t="s">
        <v>1254</v>
      </c>
    </row>
    <row r="37" s="4" customFormat="1" ht="60" customHeight="1" spans="1:10">
      <c r="A37" s="47" t="s">
        <v>153</v>
      </c>
      <c r="B37" s="48" t="s">
        <v>1342</v>
      </c>
      <c r="C37" s="48" t="s">
        <v>1343</v>
      </c>
      <c r="D37" s="49" t="s">
        <v>1344</v>
      </c>
      <c r="E37" s="71"/>
      <c r="F37" s="51">
        <v>46175</v>
      </c>
      <c r="G37" s="58" t="s">
        <v>8</v>
      </c>
      <c r="H37" s="72" t="s">
        <v>1345</v>
      </c>
      <c r="I37" s="5" t="s">
        <v>1346</v>
      </c>
      <c r="J37" s="5" t="s">
        <v>1254</v>
      </c>
    </row>
    <row r="38" s="4" customFormat="1" ht="60" customHeight="1" spans="1:10">
      <c r="A38" s="47" t="s">
        <v>159</v>
      </c>
      <c r="B38" s="48" t="s">
        <v>1347</v>
      </c>
      <c r="C38" s="48" t="s">
        <v>1348</v>
      </c>
      <c r="D38" s="49" t="s">
        <v>1349</v>
      </c>
      <c r="E38" s="71"/>
      <c r="F38" s="51">
        <v>46175</v>
      </c>
      <c r="G38" s="58" t="s">
        <v>8</v>
      </c>
      <c r="H38" s="72" t="s">
        <v>1345</v>
      </c>
      <c r="I38" s="5" t="s">
        <v>1350</v>
      </c>
      <c r="J38" s="5" t="s">
        <v>1254</v>
      </c>
    </row>
    <row r="39" s="4" customFormat="1" ht="60" customHeight="1" spans="1:10">
      <c r="A39" s="47" t="s">
        <v>165</v>
      </c>
      <c r="B39" s="48" t="s">
        <v>1351</v>
      </c>
      <c r="C39" s="48" t="s">
        <v>1352</v>
      </c>
      <c r="D39" s="49" t="s">
        <v>1353</v>
      </c>
      <c r="E39" s="73"/>
      <c r="F39" s="51">
        <v>46175</v>
      </c>
      <c r="G39" s="58" t="s">
        <v>8</v>
      </c>
      <c r="H39" s="72" t="s">
        <v>1345</v>
      </c>
      <c r="I39" s="5" t="s">
        <v>1354</v>
      </c>
      <c r="J39" s="5" t="s">
        <v>1254</v>
      </c>
    </row>
    <row r="40" s="4" customFormat="1" ht="60" customHeight="1" spans="1:10">
      <c r="A40" s="47" t="s">
        <v>170</v>
      </c>
      <c r="B40" s="48" t="s">
        <v>1355</v>
      </c>
      <c r="C40" s="48" t="s">
        <v>1356</v>
      </c>
      <c r="D40" s="49" t="s">
        <v>1357</v>
      </c>
      <c r="E40" s="71"/>
      <c r="F40" s="51">
        <v>46175</v>
      </c>
      <c r="G40" s="58" t="s">
        <v>8</v>
      </c>
      <c r="H40" s="72" t="s">
        <v>1345</v>
      </c>
      <c r="I40" s="5" t="s">
        <v>1358</v>
      </c>
      <c r="J40" s="5" t="s">
        <v>1254</v>
      </c>
    </row>
    <row r="41" s="4" customFormat="1" ht="24" customHeight="1" spans="1:10">
      <c r="A41" s="61" t="s">
        <v>1359</v>
      </c>
      <c r="B41" s="62"/>
      <c r="C41" s="62"/>
      <c r="D41" s="62"/>
      <c r="E41" s="62"/>
      <c r="F41" s="62"/>
      <c r="G41" s="62"/>
      <c r="H41" s="62"/>
      <c r="I41" s="62"/>
      <c r="J41" s="63"/>
    </row>
    <row r="42" s="4" customFormat="1" ht="60" customHeight="1" spans="1:10">
      <c r="A42" s="47" t="s">
        <v>175</v>
      </c>
      <c r="B42" s="48" t="s">
        <v>1360</v>
      </c>
      <c r="C42" s="74" t="s">
        <v>1361</v>
      </c>
      <c r="D42" s="49" t="s">
        <v>1362</v>
      </c>
      <c r="E42" s="71"/>
      <c r="F42" s="51">
        <v>46175</v>
      </c>
      <c r="G42" s="75" t="s">
        <v>7</v>
      </c>
      <c r="H42" s="56"/>
      <c r="I42" s="5"/>
      <c r="J42" s="5" t="s">
        <v>1254</v>
      </c>
    </row>
    <row r="43" s="4" customFormat="1" ht="60" customHeight="1" spans="1:10">
      <c r="A43" s="47" t="s">
        <v>181</v>
      </c>
      <c r="B43" s="48" t="s">
        <v>1363</v>
      </c>
      <c r="C43" s="48" t="s">
        <v>1364</v>
      </c>
      <c r="D43" s="49" t="s">
        <v>1365</v>
      </c>
      <c r="E43" s="71"/>
      <c r="F43" s="51">
        <v>46175</v>
      </c>
      <c r="G43" s="75" t="s">
        <v>7</v>
      </c>
      <c r="H43" s="56"/>
      <c r="I43" s="5"/>
      <c r="J43" s="5" t="s">
        <v>1254</v>
      </c>
    </row>
    <row r="44" s="4" customFormat="1" ht="60" customHeight="1" spans="1:10">
      <c r="A44" s="47" t="s">
        <v>188</v>
      </c>
      <c r="B44" s="48" t="s">
        <v>1366</v>
      </c>
      <c r="C44" s="48" t="s">
        <v>1367</v>
      </c>
      <c r="D44" s="49" t="s">
        <v>1368</v>
      </c>
      <c r="E44" s="71"/>
      <c r="F44" s="51">
        <v>46175</v>
      </c>
      <c r="G44" s="75" t="s">
        <v>7</v>
      </c>
      <c r="H44" s="76"/>
      <c r="I44" s="5"/>
      <c r="J44" s="5" t="s">
        <v>1254</v>
      </c>
    </row>
    <row r="45" s="4" customFormat="1" ht="60" customHeight="1" spans="1:10">
      <c r="A45" s="47" t="s">
        <v>193</v>
      </c>
      <c r="B45" s="48" t="s">
        <v>1369</v>
      </c>
      <c r="C45" s="48" t="s">
        <v>1370</v>
      </c>
      <c r="D45" s="49" t="s">
        <v>1371</v>
      </c>
      <c r="E45" s="71"/>
      <c r="F45" s="51">
        <v>46175</v>
      </c>
      <c r="G45" s="75" t="s">
        <v>7</v>
      </c>
      <c r="H45" s="76"/>
      <c r="I45" s="5"/>
      <c r="J45" s="5" t="s">
        <v>1254</v>
      </c>
    </row>
    <row r="46" s="4" customFormat="1" ht="50.4" spans="1:10">
      <c r="A46" s="47" t="s">
        <v>198</v>
      </c>
      <c r="B46" s="48" t="s">
        <v>1372</v>
      </c>
      <c r="C46" s="48" t="s">
        <v>1373</v>
      </c>
      <c r="D46" s="49" t="s">
        <v>1374</v>
      </c>
      <c r="E46" s="67"/>
      <c r="F46" s="51">
        <v>46175</v>
      </c>
      <c r="G46" s="75" t="s">
        <v>7</v>
      </c>
      <c r="H46" s="77"/>
      <c r="I46" s="5"/>
      <c r="J46" s="5" t="s">
        <v>1254</v>
      </c>
    </row>
    <row r="47" s="4" customFormat="1" ht="60" customHeight="1" spans="1:10">
      <c r="A47" s="47" t="s">
        <v>203</v>
      </c>
      <c r="B47" s="48" t="s">
        <v>1375</v>
      </c>
      <c r="C47" s="48" t="s">
        <v>1376</v>
      </c>
      <c r="D47" s="49" t="s">
        <v>1377</v>
      </c>
      <c r="E47" s="71"/>
      <c r="F47" s="51">
        <v>46175</v>
      </c>
      <c r="G47" s="78" t="s">
        <v>8</v>
      </c>
      <c r="H47" s="69" t="s">
        <v>1378</v>
      </c>
      <c r="I47" s="5" t="s">
        <v>1379</v>
      </c>
      <c r="J47" s="5" t="s">
        <v>1254</v>
      </c>
    </row>
    <row r="48" s="4" customFormat="1" ht="60" customHeight="1" spans="1:10">
      <c r="A48" s="47" t="s">
        <v>208</v>
      </c>
      <c r="B48" s="48" t="s">
        <v>1380</v>
      </c>
      <c r="C48" s="48" t="s">
        <v>1381</v>
      </c>
      <c r="D48" s="49" t="s">
        <v>1382</v>
      </c>
      <c r="E48" s="71"/>
      <c r="F48" s="51">
        <v>46175</v>
      </c>
      <c r="G48" s="78" t="s">
        <v>8</v>
      </c>
      <c r="H48" s="69" t="s">
        <v>1383</v>
      </c>
      <c r="I48" s="5" t="s">
        <v>1384</v>
      </c>
      <c r="J48" s="5" t="s">
        <v>1254</v>
      </c>
    </row>
    <row r="49" s="4" customFormat="1" ht="60" customHeight="1" spans="1:12">
      <c r="A49" s="47" t="s">
        <v>213</v>
      </c>
      <c r="B49" s="48" t="s">
        <v>1385</v>
      </c>
      <c r="C49" s="48" t="s">
        <v>1386</v>
      </c>
      <c r="D49" s="49" t="s">
        <v>1387</v>
      </c>
      <c r="E49" s="71"/>
      <c r="F49" s="51">
        <v>46175</v>
      </c>
      <c r="G49" s="75" t="s">
        <v>7</v>
      </c>
      <c r="H49" s="73"/>
      <c r="I49" s="5"/>
      <c r="J49" s="5" t="s">
        <v>1254</v>
      </c>
    </row>
    <row r="50" s="4" customFormat="1" ht="60" customHeight="1" spans="1:12">
      <c r="A50" s="47" t="s">
        <v>217</v>
      </c>
      <c r="B50" s="48" t="s">
        <v>1388</v>
      </c>
      <c r="C50" s="48" t="s">
        <v>1389</v>
      </c>
      <c r="D50" s="49" t="s">
        <v>1390</v>
      </c>
      <c r="E50" s="55"/>
      <c r="F50" s="51">
        <v>46175</v>
      </c>
      <c r="G50" s="79" t="s">
        <v>8</v>
      </c>
      <c r="H50" s="80" t="s">
        <v>1345</v>
      </c>
      <c r="I50" s="5" t="s">
        <v>1391</v>
      </c>
      <c r="J50" s="5" t="s">
        <v>1254</v>
      </c>
    </row>
    <row r="51" s="4" customFormat="1" ht="60" customHeight="1" spans="1:12">
      <c r="A51" s="47" t="s">
        <v>221</v>
      </c>
      <c r="B51" s="48" t="s">
        <v>1392</v>
      </c>
      <c r="C51" s="48" t="s">
        <v>1393</v>
      </c>
      <c r="D51" s="49" t="s">
        <v>1394</v>
      </c>
      <c r="E51" s="81"/>
      <c r="F51" s="51">
        <v>46175</v>
      </c>
      <c r="G51" s="78" t="s">
        <v>8</v>
      </c>
      <c r="H51" s="80" t="s">
        <v>1395</v>
      </c>
      <c r="I51" s="5" t="s">
        <v>1396</v>
      </c>
      <c r="J51" s="5" t="s">
        <v>1254</v>
      </c>
    </row>
    <row r="52" s="4" customFormat="1" ht="60" customHeight="1" spans="1:12">
      <c r="A52" s="47" t="s">
        <v>226</v>
      </c>
      <c r="B52" s="48" t="s">
        <v>1397</v>
      </c>
      <c r="C52" s="48" t="s">
        <v>1398</v>
      </c>
      <c r="D52" s="49" t="s">
        <v>1399</v>
      </c>
      <c r="E52" s="81"/>
      <c r="F52" s="51">
        <v>46175</v>
      </c>
      <c r="G52" s="75" t="s">
        <v>7</v>
      </c>
      <c r="H52" s="80"/>
      <c r="I52" s="5"/>
      <c r="J52" s="5" t="s">
        <v>1254</v>
      </c>
    </row>
    <row r="53" s="4" customFormat="1" ht="60" customHeight="1" spans="1:12">
      <c r="A53" s="47" t="s">
        <v>230</v>
      </c>
      <c r="B53" s="48" t="s">
        <v>1400</v>
      </c>
      <c r="C53" s="48" t="s">
        <v>1401</v>
      </c>
      <c r="D53" s="49" t="s">
        <v>1402</v>
      </c>
      <c r="E53" s="81"/>
      <c r="F53" s="51">
        <v>46175</v>
      </c>
      <c r="G53" s="78" t="s">
        <v>8</v>
      </c>
      <c r="H53" s="80" t="s">
        <v>1403</v>
      </c>
      <c r="I53" s="5" t="s">
        <v>1404</v>
      </c>
      <c r="J53" s="5" t="s">
        <v>1254</v>
      </c>
    </row>
    <row r="54" s="4" customFormat="1" ht="60" customHeight="1" spans="1:12">
      <c r="A54" s="47" t="s">
        <v>235</v>
      </c>
      <c r="B54" s="48" t="s">
        <v>1405</v>
      </c>
      <c r="C54" s="48" t="s">
        <v>1406</v>
      </c>
      <c r="D54" s="49" t="s">
        <v>1407</v>
      </c>
      <c r="E54" s="71"/>
      <c r="F54" s="51">
        <v>46175</v>
      </c>
      <c r="G54" s="75" t="s">
        <v>7</v>
      </c>
      <c r="H54" s="80"/>
      <c r="I54" s="5"/>
      <c r="J54" s="5" t="s">
        <v>1254</v>
      </c>
    </row>
    <row r="55" s="4" customFormat="1" ht="27.95" customHeight="1" spans="1:12">
      <c r="A55" s="61" t="s">
        <v>1408</v>
      </c>
      <c r="B55" s="62"/>
      <c r="C55" s="62"/>
      <c r="D55" s="62"/>
      <c r="E55" s="62"/>
      <c r="F55" s="62"/>
      <c r="G55" s="62"/>
      <c r="H55" s="62"/>
      <c r="I55" s="62"/>
      <c r="J55" s="63"/>
    </row>
    <row r="56" s="7" customFormat="1" ht="60" customHeight="1" spans="1:12">
      <c r="A56" s="47" t="s">
        <v>239</v>
      </c>
      <c r="B56" s="48" t="s">
        <v>1409</v>
      </c>
      <c r="C56" s="48" t="s">
        <v>1410</v>
      </c>
      <c r="D56" s="49" t="s">
        <v>1411</v>
      </c>
      <c r="E56" s="81"/>
      <c r="F56" s="51">
        <v>46175</v>
      </c>
      <c r="G56" s="82" t="s">
        <v>7</v>
      </c>
      <c r="H56" s="83"/>
      <c r="I56" s="84"/>
      <c r="J56" s="5" t="s">
        <v>1254</v>
      </c>
    </row>
    <row r="57" s="7" customFormat="1" ht="60" customHeight="1" spans="1:12">
      <c r="A57" s="47" t="s">
        <v>243</v>
      </c>
      <c r="B57" s="48" t="s">
        <v>1412</v>
      </c>
      <c r="C57" s="48" t="s">
        <v>1413</v>
      </c>
      <c r="D57" s="49" t="s">
        <v>1414</v>
      </c>
      <c r="E57" s="81"/>
      <c r="F57" s="51">
        <v>46175</v>
      </c>
      <c r="G57" s="82" t="s">
        <v>7</v>
      </c>
      <c r="H57" s="83"/>
      <c r="I57" s="84"/>
      <c r="J57" s="5" t="s">
        <v>1254</v>
      </c>
    </row>
    <row r="58" s="7" customFormat="1" ht="60" customHeight="1" spans="1:12">
      <c r="A58" s="47" t="s">
        <v>248</v>
      </c>
      <c r="B58" s="48" t="s">
        <v>1415</v>
      </c>
      <c r="C58" s="48" t="s">
        <v>1416</v>
      </c>
      <c r="D58" s="49" t="s">
        <v>1417</v>
      </c>
      <c r="E58" s="81"/>
      <c r="F58" s="51">
        <v>46175</v>
      </c>
      <c r="G58" s="82" t="s">
        <v>7</v>
      </c>
      <c r="H58" s="83"/>
      <c r="I58" s="85"/>
      <c r="J58" s="5" t="s">
        <v>1254</v>
      </c>
      <c r="K58" s="86"/>
      <c r="L58" s="86"/>
    </row>
    <row r="59" s="7" customFormat="1" ht="60" customHeight="1" spans="1:12">
      <c r="A59" s="47" t="s">
        <v>253</v>
      </c>
      <c r="B59" s="48" t="s">
        <v>1418</v>
      </c>
      <c r="C59" s="48" t="s">
        <v>1419</v>
      </c>
      <c r="D59" s="49" t="s">
        <v>1420</v>
      </c>
      <c r="E59" s="81"/>
      <c r="F59" s="51">
        <v>46175</v>
      </c>
      <c r="G59" s="82" t="s">
        <v>7</v>
      </c>
      <c r="H59" s="83"/>
      <c r="I59" s="84"/>
      <c r="J59" s="5" t="s">
        <v>1254</v>
      </c>
    </row>
    <row r="60" s="4" customFormat="1" ht="60" customHeight="1" spans="1:12">
      <c r="A60" s="47" t="s">
        <v>258</v>
      </c>
      <c r="B60" s="48" t="s">
        <v>1421</v>
      </c>
      <c r="C60" s="48" t="s">
        <v>1422</v>
      </c>
      <c r="D60" s="49" t="s">
        <v>1423</v>
      </c>
      <c r="E60" s="81"/>
      <c r="F60" s="51">
        <v>46175</v>
      </c>
      <c r="G60" s="82" t="s">
        <v>7</v>
      </c>
      <c r="H60" s="83"/>
      <c r="I60" s="5"/>
      <c r="J60" s="5" t="s">
        <v>1254</v>
      </c>
    </row>
    <row r="61" s="4" customFormat="1" ht="60" customHeight="1" spans="1:12">
      <c r="A61" s="47" t="s">
        <v>262</v>
      </c>
      <c r="B61" s="48" t="s">
        <v>1424</v>
      </c>
      <c r="C61" s="48" t="s">
        <v>1425</v>
      </c>
      <c r="D61" s="49" t="s">
        <v>1426</v>
      </c>
      <c r="E61" s="81"/>
      <c r="F61" s="51">
        <v>46175</v>
      </c>
      <c r="G61" s="82" t="s">
        <v>7</v>
      </c>
      <c r="H61" s="83"/>
      <c r="I61" s="5"/>
      <c r="J61" s="5" t="s">
        <v>1254</v>
      </c>
    </row>
    <row r="62" s="7" customFormat="1" ht="60" customHeight="1" spans="1:12">
      <c r="A62" s="47" t="s">
        <v>266</v>
      </c>
      <c r="B62" s="48" t="s">
        <v>1427</v>
      </c>
      <c r="C62" s="48" t="s">
        <v>1428</v>
      </c>
      <c r="D62" s="49" t="s">
        <v>1429</v>
      </c>
      <c r="E62" s="81"/>
      <c r="F62" s="51">
        <v>46175</v>
      </c>
      <c r="G62" s="82" t="s">
        <v>7</v>
      </c>
      <c r="H62" s="83"/>
      <c r="I62" s="84"/>
      <c r="J62" s="5" t="s">
        <v>1254</v>
      </c>
    </row>
    <row r="63" s="7" customFormat="1" ht="50.4" spans="1:12">
      <c r="A63" s="47" t="s">
        <v>270</v>
      </c>
      <c r="B63" s="48" t="s">
        <v>1430</v>
      </c>
      <c r="C63" s="48" t="s">
        <v>1431</v>
      </c>
      <c r="D63" s="49" t="s">
        <v>1432</v>
      </c>
      <c r="E63" s="67"/>
      <c r="F63" s="51">
        <v>46175</v>
      </c>
      <c r="G63" s="82" t="s">
        <v>7</v>
      </c>
      <c r="H63" s="77"/>
      <c r="I63" s="84"/>
      <c r="J63" s="5" t="s">
        <v>1254</v>
      </c>
    </row>
    <row r="64" s="7" customFormat="1" ht="60" customHeight="1" spans="1:12">
      <c r="A64" s="47" t="s">
        <v>274</v>
      </c>
      <c r="B64" s="48" t="s">
        <v>1433</v>
      </c>
      <c r="C64" s="48" t="s">
        <v>1434</v>
      </c>
      <c r="D64" s="49" t="s">
        <v>1435</v>
      </c>
      <c r="E64" s="81"/>
      <c r="F64" s="51">
        <v>46175</v>
      </c>
      <c r="G64" s="82" t="s">
        <v>7</v>
      </c>
      <c r="H64" s="83"/>
      <c r="I64" s="84"/>
      <c r="J64" s="5" t="s">
        <v>1254</v>
      </c>
    </row>
    <row r="65" s="7" customFormat="1" ht="60" customHeight="1" spans="1:10">
      <c r="A65" s="47" t="s">
        <v>278</v>
      </c>
      <c r="B65" s="48" t="s">
        <v>1436</v>
      </c>
      <c r="C65" s="48" t="s">
        <v>1437</v>
      </c>
      <c r="D65" s="49" t="s">
        <v>1438</v>
      </c>
      <c r="E65" s="81"/>
      <c r="F65" s="51">
        <v>46175</v>
      </c>
      <c r="G65" s="82" t="s">
        <v>7</v>
      </c>
      <c r="H65" s="83"/>
      <c r="I65" s="84"/>
      <c r="J65" s="5" t="s">
        <v>1254</v>
      </c>
    </row>
    <row r="66" s="7" customFormat="1" ht="35.1" customHeight="1" spans="1:10">
      <c r="A66" s="61" t="s">
        <v>1439</v>
      </c>
      <c r="B66" s="62"/>
      <c r="C66" s="62"/>
      <c r="D66" s="62"/>
      <c r="E66" s="62"/>
      <c r="F66" s="62"/>
      <c r="G66" s="62"/>
      <c r="H66" s="62"/>
      <c r="I66" s="62"/>
      <c r="J66" s="63"/>
    </row>
    <row r="67" s="7" customFormat="1" ht="60" customHeight="1" spans="1:10">
      <c r="A67" s="47" t="s">
        <v>283</v>
      </c>
      <c r="B67" s="48" t="s">
        <v>1440</v>
      </c>
      <c r="C67" s="48" t="s">
        <v>1441</v>
      </c>
      <c r="D67" s="49" t="s">
        <v>1442</v>
      </c>
      <c r="E67" s="81"/>
      <c r="F67" s="51">
        <v>46175</v>
      </c>
      <c r="G67" s="82" t="s">
        <v>7</v>
      </c>
      <c r="H67" s="83"/>
      <c r="I67" s="84"/>
      <c r="J67" s="5" t="s">
        <v>1254</v>
      </c>
    </row>
    <row r="68" s="7" customFormat="1" ht="60" customHeight="1" spans="1:10">
      <c r="A68" s="47" t="s">
        <v>288</v>
      </c>
      <c r="B68" s="48" t="s">
        <v>1443</v>
      </c>
      <c r="C68" s="48" t="s">
        <v>1444</v>
      </c>
      <c r="D68" s="49" t="s">
        <v>1445</v>
      </c>
      <c r="E68" s="81"/>
      <c r="F68" s="51">
        <v>46175</v>
      </c>
      <c r="G68" s="82" t="s">
        <v>7</v>
      </c>
      <c r="H68" s="81"/>
      <c r="I68" s="84"/>
      <c r="J68" s="5" t="s">
        <v>1254</v>
      </c>
    </row>
    <row r="69" s="7" customFormat="1" ht="60" customHeight="1" spans="1:10">
      <c r="A69" s="47" t="s">
        <v>293</v>
      </c>
      <c r="B69" s="48" t="s">
        <v>1446</v>
      </c>
      <c r="C69" s="48" t="s">
        <v>1447</v>
      </c>
      <c r="D69" s="49" t="s">
        <v>1448</v>
      </c>
      <c r="E69" s="81"/>
      <c r="F69" s="51">
        <v>46175</v>
      </c>
      <c r="G69" s="82" t="s">
        <v>7</v>
      </c>
      <c r="H69" s="83"/>
      <c r="I69" s="84"/>
      <c r="J69" s="5" t="s">
        <v>1254</v>
      </c>
    </row>
    <row r="70" s="4" customFormat="1" ht="60" customHeight="1" spans="1:10">
      <c r="A70" s="47" t="s">
        <v>298</v>
      </c>
      <c r="B70" s="48" t="s">
        <v>1449</v>
      </c>
      <c r="C70" s="48" t="s">
        <v>1450</v>
      </c>
      <c r="D70" s="49" t="s">
        <v>1451</v>
      </c>
      <c r="E70" s="81"/>
      <c r="F70" s="51">
        <v>46175</v>
      </c>
      <c r="G70" s="82" t="s">
        <v>7</v>
      </c>
      <c r="H70" s="83"/>
      <c r="I70" s="5"/>
      <c r="J70" s="5" t="s">
        <v>1254</v>
      </c>
    </row>
    <row r="71" s="7" customFormat="1" ht="60" customHeight="1" spans="1:10">
      <c r="A71" s="47" t="s">
        <v>304</v>
      </c>
      <c r="B71" s="48" t="s">
        <v>1452</v>
      </c>
      <c r="C71" s="48" t="s">
        <v>1453</v>
      </c>
      <c r="D71" s="49" t="s">
        <v>1454</v>
      </c>
      <c r="E71" s="81"/>
      <c r="F71" s="51">
        <v>46175</v>
      </c>
      <c r="G71" s="87" t="s">
        <v>8</v>
      </c>
      <c r="H71" s="55" t="s">
        <v>1455</v>
      </c>
      <c r="I71" s="84" t="s">
        <v>1456</v>
      </c>
      <c r="J71" s="5" t="s">
        <v>1254</v>
      </c>
    </row>
    <row r="72" s="4" customFormat="1" ht="60" customHeight="1" spans="1:10">
      <c r="A72" s="47" t="s">
        <v>309</v>
      </c>
      <c r="B72" s="48" t="s">
        <v>1457</v>
      </c>
      <c r="C72" s="48" t="s">
        <v>1458</v>
      </c>
      <c r="D72" s="49" t="s">
        <v>1459</v>
      </c>
      <c r="E72" s="81"/>
      <c r="F72" s="51">
        <v>46175</v>
      </c>
      <c r="G72" s="87" t="s">
        <v>8</v>
      </c>
      <c r="H72" s="55" t="s">
        <v>1455</v>
      </c>
      <c r="I72" s="84" t="s">
        <v>1460</v>
      </c>
      <c r="J72" s="5" t="s">
        <v>1254</v>
      </c>
    </row>
    <row r="73" s="7" customFormat="1" ht="60" customHeight="1" spans="1:10">
      <c r="A73" s="47" t="s">
        <v>314</v>
      </c>
      <c r="B73" s="48" t="s">
        <v>1461</v>
      </c>
      <c r="C73" s="48" t="s">
        <v>1462</v>
      </c>
      <c r="D73" s="49" t="s">
        <v>1463</v>
      </c>
      <c r="E73" s="81"/>
      <c r="F73" s="51">
        <v>46175</v>
      </c>
      <c r="G73" s="82" t="s">
        <v>7</v>
      </c>
      <c r="H73" s="83"/>
      <c r="I73" s="84"/>
      <c r="J73" s="5" t="s">
        <v>1254</v>
      </c>
    </row>
    <row r="74" s="7" customFormat="1" ht="84" spans="1:10">
      <c r="A74" s="47" t="s">
        <v>318</v>
      </c>
      <c r="B74" s="48" t="s">
        <v>1464</v>
      </c>
      <c r="C74" s="48" t="s">
        <v>1465</v>
      </c>
      <c r="D74" s="49" t="s">
        <v>1466</v>
      </c>
      <c r="E74" s="81"/>
      <c r="F74" s="51">
        <v>46175</v>
      </c>
      <c r="G74" s="82" t="s">
        <v>7</v>
      </c>
      <c r="H74" s="83"/>
      <c r="I74" s="84"/>
      <c r="J74" s="5" t="s">
        <v>1254</v>
      </c>
    </row>
    <row r="75" s="7" customFormat="1" ht="62.1" customHeight="1" spans="1:10">
      <c r="A75" s="47" t="s">
        <v>322</v>
      </c>
      <c r="B75" s="48" t="s">
        <v>1467</v>
      </c>
      <c r="C75" s="48" t="s">
        <v>1468</v>
      </c>
      <c r="D75" s="49" t="s">
        <v>1469</v>
      </c>
      <c r="E75" s="67"/>
      <c r="F75" s="51">
        <v>46175</v>
      </c>
      <c r="G75" s="88" t="s">
        <v>7</v>
      </c>
      <c r="H75" s="77"/>
      <c r="I75" s="84"/>
      <c r="J75" s="5" t="s">
        <v>1254</v>
      </c>
    </row>
    <row r="76" s="4" customFormat="1" ht="60" customHeight="1" spans="1:10">
      <c r="A76" s="47" t="s">
        <v>327</v>
      </c>
      <c r="B76" s="48" t="s">
        <v>1470</v>
      </c>
      <c r="C76" s="48" t="s">
        <v>1471</v>
      </c>
      <c r="D76" s="49" t="s">
        <v>1472</v>
      </c>
      <c r="E76" s="81"/>
      <c r="F76" s="51">
        <v>46175</v>
      </c>
      <c r="G76" s="82" t="s">
        <v>7</v>
      </c>
      <c r="H76" s="83"/>
      <c r="I76" s="5"/>
      <c r="J76" s="5" t="s">
        <v>1254</v>
      </c>
    </row>
    <row r="77" s="7" customFormat="1" ht="60" customHeight="1" spans="1:10">
      <c r="A77" s="47" t="s">
        <v>332</v>
      </c>
      <c r="B77" s="48" t="s">
        <v>1473</v>
      </c>
      <c r="C77" s="48" t="s">
        <v>1474</v>
      </c>
      <c r="D77" s="49" t="s">
        <v>1475</v>
      </c>
      <c r="E77" s="81"/>
      <c r="F77" s="51">
        <v>46175</v>
      </c>
      <c r="G77" s="82" t="s">
        <v>7</v>
      </c>
      <c r="H77" s="83"/>
      <c r="I77" s="84"/>
      <c r="J77" s="5" t="s">
        <v>1254</v>
      </c>
    </row>
    <row r="78" s="7" customFormat="1" ht="35.1" customHeight="1" spans="1:10">
      <c r="A78" s="61" t="s">
        <v>1476</v>
      </c>
      <c r="B78" s="62"/>
      <c r="C78" s="62"/>
      <c r="D78" s="62"/>
      <c r="E78" s="62"/>
      <c r="F78" s="62"/>
      <c r="G78" s="62"/>
      <c r="H78" s="62"/>
      <c r="I78" s="62"/>
      <c r="J78" s="63"/>
    </row>
    <row r="79" s="7" customFormat="1" ht="60" customHeight="1" spans="1:10">
      <c r="A79" s="47" t="s">
        <v>337</v>
      </c>
      <c r="B79" s="48" t="s">
        <v>1477</v>
      </c>
      <c r="C79" s="48" t="s">
        <v>1478</v>
      </c>
      <c r="D79" s="49" t="s">
        <v>1479</v>
      </c>
      <c r="E79" s="81"/>
      <c r="F79" s="51">
        <v>46175</v>
      </c>
      <c r="G79" s="82" t="s">
        <v>7</v>
      </c>
      <c r="H79" s="83"/>
      <c r="I79" s="84"/>
      <c r="J79" s="5" t="s">
        <v>1254</v>
      </c>
    </row>
    <row r="80" s="7" customFormat="1" ht="60" customHeight="1" spans="1:10">
      <c r="A80" s="47" t="s">
        <v>342</v>
      </c>
      <c r="B80" s="48" t="s">
        <v>1480</v>
      </c>
      <c r="C80" s="48" t="s">
        <v>1481</v>
      </c>
      <c r="D80" s="49" t="s">
        <v>1482</v>
      </c>
      <c r="E80" s="81"/>
      <c r="F80" s="51">
        <v>46175</v>
      </c>
      <c r="G80" s="82" t="s">
        <v>7</v>
      </c>
      <c r="H80" s="83"/>
      <c r="I80" s="84"/>
      <c r="J80" s="5" t="s">
        <v>1254</v>
      </c>
    </row>
    <row r="81" s="4" customFormat="1" ht="60" customHeight="1" spans="1:10">
      <c r="A81" s="47" t="s">
        <v>346</v>
      </c>
      <c r="B81" s="48" t="s">
        <v>1483</v>
      </c>
      <c r="C81" s="48" t="s">
        <v>1484</v>
      </c>
      <c r="D81" s="49" t="s">
        <v>1485</v>
      </c>
      <c r="E81" s="89"/>
      <c r="F81" s="51">
        <v>46175</v>
      </c>
      <c r="G81" s="82" t="s">
        <v>7</v>
      </c>
      <c r="H81" s="83"/>
      <c r="I81" s="5"/>
      <c r="J81" s="5" t="s">
        <v>1254</v>
      </c>
    </row>
    <row r="82" s="4" customFormat="1" ht="60" customHeight="1" spans="1:10">
      <c r="A82" s="47" t="s">
        <v>350</v>
      </c>
      <c r="B82" s="48" t="s">
        <v>1486</v>
      </c>
      <c r="C82" s="48" t="s">
        <v>1487</v>
      </c>
      <c r="D82" s="49" t="s">
        <v>1488</v>
      </c>
      <c r="E82" s="55"/>
      <c r="F82" s="51">
        <v>46175</v>
      </c>
      <c r="G82" s="52" t="s">
        <v>7</v>
      </c>
      <c r="H82" s="55"/>
      <c r="I82" s="5"/>
      <c r="J82" s="5" t="s">
        <v>1254</v>
      </c>
    </row>
    <row r="83" s="7" customFormat="1" ht="60" customHeight="1" spans="1:10">
      <c r="A83" s="47" t="s">
        <v>355</v>
      </c>
      <c r="B83" s="48" t="s">
        <v>1489</v>
      </c>
      <c r="C83" s="48" t="s">
        <v>1490</v>
      </c>
      <c r="D83" s="49" t="s">
        <v>1491</v>
      </c>
      <c r="E83" s="55"/>
      <c r="F83" s="51">
        <v>46175</v>
      </c>
      <c r="G83" s="52" t="s">
        <v>7</v>
      </c>
      <c r="H83" s="55"/>
      <c r="I83" s="84"/>
      <c r="J83" s="5" t="s">
        <v>1254</v>
      </c>
    </row>
    <row r="84" s="7" customFormat="1" ht="60" customHeight="1" spans="1:10">
      <c r="A84" s="47" t="s">
        <v>360</v>
      </c>
      <c r="B84" s="48" t="s">
        <v>1492</v>
      </c>
      <c r="C84" s="48" t="s">
        <v>1493</v>
      </c>
      <c r="D84" s="49" t="s">
        <v>1494</v>
      </c>
      <c r="E84" s="55"/>
      <c r="F84" s="51">
        <v>46175</v>
      </c>
      <c r="G84" s="90" t="s">
        <v>8</v>
      </c>
      <c r="H84" s="55"/>
      <c r="I84" s="84" t="s">
        <v>1495</v>
      </c>
      <c r="J84" s="5" t="s">
        <v>1254</v>
      </c>
    </row>
    <row r="85" s="4" customFormat="1" ht="33.95" customHeight="1" spans="1:10">
      <c r="A85" s="47" t="s">
        <v>365</v>
      </c>
      <c r="B85" s="48" t="s">
        <v>1496</v>
      </c>
      <c r="C85" s="48" t="s">
        <v>1497</v>
      </c>
      <c r="D85" s="49" t="s">
        <v>1498</v>
      </c>
      <c r="E85" s="50"/>
      <c r="F85" s="51">
        <v>46175</v>
      </c>
      <c r="G85" s="91" t="s">
        <v>7</v>
      </c>
      <c r="H85" s="53"/>
      <c r="I85" s="5"/>
      <c r="J85" s="5" t="s">
        <v>1254</v>
      </c>
    </row>
    <row r="86" s="7" customFormat="1" ht="60" customHeight="1" spans="1:10">
      <c r="A86" s="47" t="s">
        <v>371</v>
      </c>
      <c r="B86" s="48" t="s">
        <v>1499</v>
      </c>
      <c r="C86" s="48" t="s">
        <v>1500</v>
      </c>
      <c r="D86" s="49" t="s">
        <v>1501</v>
      </c>
      <c r="E86" s="55"/>
      <c r="F86" s="51">
        <v>46175</v>
      </c>
      <c r="G86" s="52" t="s">
        <v>7</v>
      </c>
      <c r="H86" s="55"/>
      <c r="I86" s="84"/>
      <c r="J86" s="5" t="s">
        <v>1254</v>
      </c>
    </row>
    <row r="87" s="3" customFormat="1" ht="12" customHeight="1" spans="1:10">
      <c r="J87" s="92"/>
    </row>
    <row r="88" s="3" customFormat="1" ht="12" customHeight="1" spans="1:10">
      <c r="J88" s="93"/>
    </row>
    <row r="89" s="3" customFormat="1" ht="12" customHeight="1" spans="1:10">
      <c r="J89" s="93"/>
    </row>
    <row r="90" s="3" customFormat="1" ht="12" customHeight="1" spans="1:10">
      <c r="J90" s="93"/>
    </row>
    <row r="91" s="3" customFormat="1" ht="12" customHeight="1" spans="1:10">
      <c r="J91" s="93"/>
    </row>
    <row r="92" s="3" customFormat="1" ht="12" customHeight="1" spans="1:10">
      <c r="J92" s="93"/>
    </row>
    <row r="93" s="3" customFormat="1" ht="12" customHeight="1" spans="1:10">
      <c r="J93" s="93"/>
    </row>
    <row r="94" s="3" customFormat="1" ht="12" customHeight="1" spans="1:10">
      <c r="J94" s="93"/>
    </row>
    <row r="95" s="3" customFormat="1" ht="12" customHeight="1" spans="1:10">
      <c r="J95" s="93"/>
    </row>
    <row r="96" s="3" customFormat="1" ht="12" customHeight="1" spans="1:10">
      <c r="J96" s="93"/>
    </row>
    <row r="97" s="3" customFormat="1" ht="12" customHeight="1" spans="10:10">
      <c r="J97" s="93"/>
    </row>
    <row r="98" s="3" customFormat="1" ht="12" customHeight="1" spans="10:10">
      <c r="J98" s="93"/>
    </row>
    <row r="99" s="3" customFormat="1" ht="12" customHeight="1" spans="10:10">
      <c r="J99" s="94"/>
    </row>
    <row r="100" s="3" customFormat="1" ht="12" customHeight="1" spans="10:10">
      <c r="J100" s="9"/>
    </row>
    <row r="101" s="3" customFormat="1" ht="12" customHeight="1" spans="10:10">
      <c r="J101" s="9"/>
    </row>
    <row r="102" s="3" customFormat="1" ht="12" customHeight="1" spans="10:10">
      <c r="J102" s="9"/>
    </row>
    <row r="103" s="3" customFormat="1" ht="12" customHeight="1" spans="10:10">
      <c r="J103" s="9"/>
    </row>
    <row r="104" s="3" customFormat="1" ht="12" customHeight="1" spans="10:10">
      <c r="J104" s="9"/>
    </row>
    <row r="105" s="3" customFormat="1" ht="12" customHeight="1" spans="10:10">
      <c r="J105" s="9"/>
    </row>
    <row r="106" s="3" customFormat="1" ht="12" customHeight="1" spans="10:10">
      <c r="J106" s="9"/>
    </row>
    <row r="107" s="3" customFormat="1" ht="12" customHeight="1" spans="10:10">
      <c r="J107" s="9"/>
    </row>
    <row r="108" s="3" customFormat="1" ht="12" customHeight="1" spans="10:10">
      <c r="J108" s="9"/>
    </row>
    <row r="109" s="3" customFormat="1" ht="12" customHeight="1" spans="10:10">
      <c r="J109" s="9"/>
    </row>
    <row r="110" s="3" customFormat="1" ht="12" customHeight="1" spans="10:10">
      <c r="J110" s="9"/>
    </row>
    <row r="111" s="3" customFormat="1" ht="12" customHeight="1" spans="10:10">
      <c r="J111" s="9"/>
    </row>
    <row r="112" s="3" customFormat="1" ht="12" customHeight="1" spans="10:10">
      <c r="J112" s="9"/>
    </row>
    <row r="113" s="3" customFormat="1" ht="12" customHeight="1" spans="10:10">
      <c r="J113" s="9"/>
    </row>
    <row r="114" s="3" customFormat="1" ht="12" customHeight="1" spans="10:10">
      <c r="J114" s="9"/>
    </row>
    <row r="115" s="3" customFormat="1" ht="12" customHeight="1" spans="10:10">
      <c r="J115" s="9"/>
    </row>
    <row r="116" s="3" customFormat="1" spans="10:10">
      <c r="J116" s="9"/>
    </row>
    <row r="117" s="3" customFormat="1" spans="10:10">
      <c r="J117" s="9"/>
    </row>
    <row r="118" s="3" customFormat="1" spans="10:10">
      <c r="J118" s="9"/>
    </row>
    <row r="119" s="3" customFormat="1" spans="10:10">
      <c r="J119" s="9"/>
    </row>
    <row r="120" s="3" customFormat="1" spans="10:10">
      <c r="J120" s="9"/>
    </row>
    <row r="121" s="3" customFormat="1" spans="10:10">
      <c r="J121" s="9"/>
    </row>
    <row r="122" s="3" customFormat="1" spans="10:10">
      <c r="J122" s="9"/>
    </row>
    <row r="123" s="3" customFormat="1" spans="10:10">
      <c r="J123" s="9"/>
    </row>
    <row r="124" s="3" customFormat="1" spans="10:10">
      <c r="J124" s="9"/>
    </row>
    <row r="125" s="3" customFormat="1" spans="10:10">
      <c r="J125" s="9"/>
    </row>
    <row r="126" s="3" customFormat="1" spans="10:10">
      <c r="J126" s="9"/>
    </row>
    <row r="127" s="3" customFormat="1" spans="10:10">
      <c r="J127" s="9"/>
    </row>
    <row r="128" s="3" customFormat="1" spans="10:10">
      <c r="J128" s="9"/>
    </row>
    <row r="129" s="3" customFormat="1" spans="10:10">
      <c r="J129" s="9"/>
    </row>
    <row r="130" s="3" customFormat="1" spans="10:10">
      <c r="J130" s="9"/>
    </row>
    <row r="131" s="3" customFormat="1" spans="10:10">
      <c r="J131" s="9"/>
    </row>
    <row r="132" s="3" customFormat="1" spans="10:10">
      <c r="J132" s="9"/>
    </row>
    <row r="133" s="3" customFormat="1" spans="10:10">
      <c r="J133" s="9"/>
    </row>
    <row r="134" s="3" customFormat="1" spans="10:10">
      <c r="J134" s="9"/>
    </row>
    <row r="135" s="3" customFormat="1" spans="10:10">
      <c r="J135" s="9"/>
    </row>
    <row r="136" s="3" customFormat="1" spans="10:10">
      <c r="J136" s="9"/>
    </row>
    <row r="137" s="3" customFormat="1" spans="10:10">
      <c r="J137" s="9"/>
    </row>
    <row r="138" s="3" customFormat="1" spans="10:10">
      <c r="J138" s="9"/>
    </row>
    <row r="139" s="3" customFormat="1" spans="10:10">
      <c r="J139" s="9"/>
    </row>
    <row r="140" s="3" customFormat="1" spans="10:10">
      <c r="J140" s="9"/>
    </row>
    <row r="141" s="3" customFormat="1" spans="10:10">
      <c r="J141" s="9"/>
    </row>
    <row r="142" s="3" customFormat="1" spans="10:10">
      <c r="J142" s="9"/>
    </row>
    <row r="143" s="3" customFormat="1" spans="10:10">
      <c r="J143" s="9"/>
    </row>
    <row r="144" s="3" customFormat="1" spans="10:10">
      <c r="J144" s="9"/>
    </row>
    <row r="145" s="3" customFormat="1" spans="10:10">
      <c r="J145" s="9"/>
    </row>
    <row r="146" s="3" customFormat="1" spans="10:10">
      <c r="J146" s="9"/>
    </row>
    <row r="147" s="3" customFormat="1" spans="10:10">
      <c r="J147" s="9"/>
    </row>
    <row r="148" s="3" customFormat="1" spans="10:10">
      <c r="J148" s="9"/>
    </row>
    <row r="149" s="3" customFormat="1" spans="10:10">
      <c r="J149" s="9"/>
    </row>
    <row r="150" s="3" customFormat="1" spans="10:10">
      <c r="J150" s="9"/>
    </row>
    <row r="151" s="3" customFormat="1" spans="10:10">
      <c r="J151" s="9"/>
    </row>
    <row r="152" s="3" customFormat="1" spans="10:10">
      <c r="J152" s="9"/>
    </row>
    <row r="153" s="3" customFormat="1" spans="10:10">
      <c r="J153" s="9"/>
    </row>
    <row r="154" s="3" customFormat="1" spans="10:10">
      <c r="J154" s="9"/>
    </row>
    <row r="155" s="3" customFormat="1" spans="10:10">
      <c r="J155" s="9"/>
    </row>
    <row r="156" s="3" customFormat="1" spans="10:10">
      <c r="J156" s="9"/>
    </row>
    <row r="157" s="3" customFormat="1" spans="10:10">
      <c r="J157" s="9"/>
    </row>
    <row r="158" s="3" customFormat="1" spans="10:10">
      <c r="J158" s="9"/>
    </row>
    <row r="159" s="3" customFormat="1" spans="10:10">
      <c r="J159" s="9"/>
    </row>
    <row r="160" s="3" customFormat="1" spans="10:10">
      <c r="J160" s="9"/>
    </row>
    <row r="161" s="3" customFormat="1" spans="10:10">
      <c r="J161" s="9"/>
    </row>
    <row r="162" s="3" customFormat="1" spans="10:10">
      <c r="J162" s="9"/>
    </row>
    <row r="163" s="3" customFormat="1" spans="10:10">
      <c r="J163" s="9"/>
    </row>
    <row r="164" s="3" customFormat="1" spans="10:10">
      <c r="J164" s="9"/>
    </row>
    <row r="165" s="3" customFormat="1" spans="10:10">
      <c r="J165" s="9"/>
    </row>
    <row r="166" s="3" customFormat="1" spans="10:10">
      <c r="J166" s="9"/>
    </row>
    <row r="167" s="3" customFormat="1" spans="10:10">
      <c r="J167" s="9"/>
    </row>
    <row r="168" s="3" customFormat="1" spans="10:10">
      <c r="J168" s="9"/>
    </row>
    <row r="169" s="3" customFormat="1" spans="10:10">
      <c r="J169" s="9"/>
    </row>
    <row r="170" s="3" customFormat="1" spans="10:10">
      <c r="J170" s="9"/>
    </row>
    <row r="171" s="3" customFormat="1" spans="10:10">
      <c r="J171" s="9"/>
    </row>
    <row r="172" s="3" customFormat="1" spans="10:10">
      <c r="J172" s="9"/>
    </row>
    <row r="173" s="3" customFormat="1" spans="10:10">
      <c r="J173" s="9"/>
    </row>
    <row r="174" s="3" customFormat="1" spans="10:10">
      <c r="J174" s="9"/>
    </row>
    <row r="175" s="3" customFormat="1" spans="10:10">
      <c r="J175" s="9"/>
    </row>
    <row r="176" s="3" customFormat="1" spans="10:10">
      <c r="J176" s="9"/>
    </row>
    <row r="177" s="3" customFormat="1" spans="10:10">
      <c r="J177" s="9"/>
    </row>
    <row r="178" s="3" customFormat="1" spans="10:10">
      <c r="J178" s="9"/>
    </row>
    <row r="179" s="3" customFormat="1" spans="10:10">
      <c r="J179" s="9"/>
    </row>
    <row r="180" s="3" customFormat="1" spans="10:10">
      <c r="J180" s="9"/>
    </row>
    <row r="181" s="3" customFormat="1" spans="10:10">
      <c r="J181" s="9"/>
    </row>
    <row r="182" s="3" customFormat="1" spans="10:10">
      <c r="J182" s="9"/>
    </row>
    <row r="183" s="3" customFormat="1" spans="10:10">
      <c r="J183" s="9"/>
    </row>
    <row r="184" s="3" customFormat="1" spans="10:10">
      <c r="J184" s="9"/>
    </row>
    <row r="185" s="3" customFormat="1" spans="10:10">
      <c r="J185" s="9"/>
    </row>
    <row r="186" s="3" customFormat="1" spans="10:10">
      <c r="J186" s="9"/>
    </row>
    <row r="187" s="3" customFormat="1" spans="10:10">
      <c r="J187" s="9"/>
    </row>
    <row r="188" s="3" customFormat="1" spans="10:10">
      <c r="J188" s="9"/>
    </row>
    <row r="189" s="3" customFormat="1" spans="10:10">
      <c r="J189" s="9"/>
    </row>
    <row r="190" s="3" customFormat="1" spans="10:10">
      <c r="J190" s="9"/>
    </row>
    <row r="191" s="3" customFormat="1" spans="10:10">
      <c r="J191" s="9"/>
    </row>
    <row r="192" s="3" customFormat="1" spans="10:10">
      <c r="J192" s="9"/>
    </row>
    <row r="193" s="3" customFormat="1" spans="10:10">
      <c r="J193" s="9"/>
    </row>
    <row r="194" s="3" customFormat="1" spans="10:10">
      <c r="J194" s="9"/>
    </row>
    <row r="195" s="3" customFormat="1" spans="10:10">
      <c r="J195" s="9"/>
    </row>
    <row r="196" s="3" customFormat="1" spans="10:10">
      <c r="J196" s="9"/>
    </row>
    <row r="197" s="3" customFormat="1" spans="10:10">
      <c r="J197" s="9"/>
    </row>
    <row r="198" s="3" customFormat="1" spans="10:10">
      <c r="J198" s="9"/>
    </row>
    <row r="199" s="3" customFormat="1" spans="10:10">
      <c r="J199" s="9"/>
    </row>
    <row r="200" s="3" customFormat="1" spans="10:10">
      <c r="J200" s="9"/>
    </row>
    <row r="201" s="3" customFormat="1" spans="10:10">
      <c r="J201" s="9"/>
    </row>
    <row r="202" s="3" customFormat="1" spans="10:10">
      <c r="J202" s="9"/>
    </row>
    <row r="203" s="3" customFormat="1" spans="10:10">
      <c r="J203" s="9"/>
    </row>
    <row r="204" s="3" customFormat="1" spans="10:10">
      <c r="J204" s="9"/>
    </row>
    <row r="205" s="3" customFormat="1" spans="10:10">
      <c r="J205" s="9"/>
    </row>
    <row r="206" s="3" customFormat="1" spans="10:10">
      <c r="J206" s="9"/>
    </row>
    <row r="207" s="3" customFormat="1" spans="10:10">
      <c r="J207" s="9"/>
    </row>
    <row r="208" s="3" customFormat="1" spans="10:10">
      <c r="J208" s="9"/>
    </row>
    <row r="209" s="3" customFormat="1" spans="10:10">
      <c r="J209" s="9"/>
    </row>
    <row r="210" s="3" customFormat="1" spans="10:10">
      <c r="J210" s="9"/>
    </row>
    <row r="211" s="3" customFormat="1" spans="10:10">
      <c r="J211" s="9"/>
    </row>
    <row r="212" s="3" customFormat="1" spans="10:10">
      <c r="J212" s="9"/>
    </row>
    <row r="213" s="3" customFormat="1" spans="10:10">
      <c r="J213" s="9"/>
    </row>
    <row r="214" s="3" customFormat="1" spans="10:10">
      <c r="J214" s="9"/>
    </row>
    <row r="215" s="3" customFormat="1" spans="10:10">
      <c r="J215" s="9"/>
    </row>
    <row r="216" s="3" customFormat="1" spans="10:10">
      <c r="J216" s="9"/>
    </row>
    <row r="217" s="3" customFormat="1" spans="10:10">
      <c r="J217" s="9"/>
    </row>
    <row r="218" s="3" customFormat="1" spans="10:10">
      <c r="J218" s="9"/>
    </row>
    <row r="219" s="3" customFormat="1" spans="10:10">
      <c r="J219" s="9"/>
    </row>
    <row r="220" s="3" customFormat="1" spans="10:10">
      <c r="J220" s="9"/>
    </row>
    <row r="221" s="3" customFormat="1" spans="10:10">
      <c r="J221" s="9"/>
    </row>
    <row r="222" s="3" customFormat="1" spans="10:10">
      <c r="J222" s="9"/>
    </row>
    <row r="223" s="3" customFormat="1" spans="10:10">
      <c r="J223" s="9"/>
    </row>
    <row r="224" s="3" customFormat="1" spans="10:10">
      <c r="J224" s="9"/>
    </row>
    <row r="225" s="3" customFormat="1" spans="10:10">
      <c r="J225" s="9"/>
    </row>
    <row r="226" s="3" customFormat="1" spans="10:10">
      <c r="J226" s="9"/>
    </row>
    <row r="227" s="3" customFormat="1" spans="10:10">
      <c r="J227" s="9"/>
    </row>
    <row r="228" s="3" customFormat="1" spans="10:10">
      <c r="J228" s="9"/>
    </row>
    <row r="229" s="3" customFormat="1" spans="10:10">
      <c r="J229" s="9"/>
    </row>
    <row r="230" s="3" customFormat="1" spans="10:10">
      <c r="J230" s="9"/>
    </row>
    <row r="231" s="3" customFormat="1" spans="10:10">
      <c r="J231" s="9"/>
    </row>
    <row r="232" s="3" customFormat="1" spans="10:10">
      <c r="J232" s="9"/>
    </row>
    <row r="233" s="3" customFormat="1" spans="10:10">
      <c r="J233" s="9"/>
    </row>
    <row r="234" s="3" customFormat="1" spans="10:10">
      <c r="J234" s="9"/>
    </row>
    <row r="235" s="3" customFormat="1" spans="10:10">
      <c r="J235" s="9"/>
    </row>
    <row r="236" s="3" customFormat="1" spans="10:10">
      <c r="J236" s="9"/>
    </row>
    <row r="237" s="3" customFormat="1" spans="10:10">
      <c r="J237" s="9"/>
    </row>
    <row r="238" s="3" customFormat="1" spans="10:10">
      <c r="J238" s="9"/>
    </row>
    <row r="239" s="3" customFormat="1" spans="10:10">
      <c r="J239" s="9"/>
    </row>
    <row r="240" s="3" customFormat="1" spans="10:10">
      <c r="J240" s="9"/>
    </row>
    <row r="241" s="3" customFormat="1" spans="10:10">
      <c r="J241" s="9"/>
    </row>
    <row r="242" s="3" customFormat="1" spans="10:10">
      <c r="J242" s="9"/>
    </row>
    <row r="243" s="3" customFormat="1" spans="10:10">
      <c r="J243" s="9"/>
    </row>
    <row r="244" s="3" customFormat="1" spans="10:10">
      <c r="J244" s="9"/>
    </row>
    <row r="245" s="3" customFormat="1" spans="10:10">
      <c r="J245" s="9"/>
    </row>
    <row r="246" s="3" customFormat="1" spans="10:10">
      <c r="J246" s="9"/>
    </row>
    <row r="247" s="3" customFormat="1" spans="10:10">
      <c r="J247" s="9"/>
    </row>
    <row r="248" s="3" customFormat="1" spans="10:10">
      <c r="J248" s="9"/>
    </row>
    <row r="249" s="3" customFormat="1" spans="10:10">
      <c r="J249" s="9"/>
    </row>
    <row r="250" s="3" customFormat="1" spans="10:10">
      <c r="J250" s="9"/>
    </row>
    <row r="251" s="3" customFormat="1" spans="10:10">
      <c r="J251" s="9"/>
    </row>
    <row r="252" s="3" customFormat="1" spans="10:10">
      <c r="J252" s="9"/>
    </row>
    <row r="253" s="3" customFormat="1" spans="10:10">
      <c r="J253" s="9"/>
    </row>
    <row r="254" s="3" customFormat="1" spans="10:10">
      <c r="J254" s="9"/>
    </row>
    <row r="255" s="3" customFormat="1" spans="10:10">
      <c r="J255" s="9"/>
    </row>
    <row r="256" s="3" customFormat="1" spans="10:10">
      <c r="J256" s="9"/>
    </row>
    <row r="257" s="3" customFormat="1" spans="7:10">
      <c r="J257" s="9"/>
    </row>
    <row r="258" s="3" customFormat="1" spans="7:10">
      <c r="J258" s="9"/>
    </row>
    <row r="259" s="3" customFormat="1" spans="7:10">
      <c r="J259" s="9"/>
    </row>
    <row r="260" s="3" customFormat="1" spans="7:10">
      <c r="J260" s="9"/>
    </row>
    <row r="261" s="3" customFormat="1" spans="7:10">
      <c r="J261" s="9"/>
    </row>
    <row r="262" s="3" customFormat="1" spans="7:10">
      <c r="J262" s="9"/>
    </row>
    <row r="263" s="3" customFormat="1" spans="7:10">
      <c r="J263" s="9"/>
    </row>
    <row r="264" s="3" customFormat="1" spans="7:10">
      <c r="J264" s="9"/>
    </row>
    <row r="265" s="3" customFormat="1" spans="7:10">
      <c r="J265" s="9"/>
    </row>
    <row r="266" s="3" customFormat="1" spans="7:10">
      <c r="J266" s="9"/>
    </row>
    <row r="267" s="3" customFormat="1" spans="7:10">
      <c r="J267" s="9"/>
    </row>
    <row r="268" s="3" customFormat="1" spans="7:10">
      <c r="J268" s="9"/>
    </row>
    <row r="269" s="3" customFormat="1" spans="7:10">
      <c r="J269" s="9"/>
    </row>
    <row r="270" s="3" customFormat="1" spans="7:10">
      <c r="G270" s="95"/>
      <c r="H270" s="95"/>
      <c r="J270" s="9"/>
    </row>
  </sheetData>
  <mergeCells count="25">
    <mergeCell ref="B3:D3"/>
    <mergeCell ref="F3:H3"/>
    <mergeCell ref="B4:D4"/>
    <mergeCell ref="F4:H4"/>
    <mergeCell ref="B5:D5"/>
    <mergeCell ref="F5:H5"/>
    <mergeCell ref="F6:H6"/>
    <mergeCell ref="F7:H7"/>
    <mergeCell ref="A8:D8"/>
    <mergeCell ref="A11:J11"/>
    <mergeCell ref="A21:J21"/>
    <mergeCell ref="A41:J41"/>
    <mergeCell ref="A55:J55"/>
    <mergeCell ref="A66:J66"/>
    <mergeCell ref="A78:J78"/>
    <mergeCell ref="A9:A10"/>
    <mergeCell ref="B9:B10"/>
    <mergeCell ref="C9:C10"/>
    <mergeCell ref="F9:F10"/>
    <mergeCell ref="G9:G10"/>
    <mergeCell ref="H9:H10"/>
    <mergeCell ref="I9:I10"/>
    <mergeCell ref="J9:J10"/>
    <mergeCell ref="B1:D2"/>
    <mergeCell ref="D9:E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Test Report</vt:lpstr>
      <vt:lpstr>chức năng Báo cáo thống kê</vt:lpstr>
      <vt:lpstr>Chức năng Quản lý Sản phẩm </vt:lpstr>
      <vt:lpstr>Chức năng giỏ hàng</vt:lpstr>
      <vt:lpstr>Chức năng Quản lý tài khoản</vt:lpstr>
      <vt:lpstr>Chức năng thanh toán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THUY DUONG</cp:lastModifiedBy>
  <dcterms:created xsi:type="dcterms:W3CDTF">2026-05-19T13:22:00Z</dcterms:created>
  <dcterms:modified xsi:type="dcterms:W3CDTF">2026-06-02T11:27:04Z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DEF7AEBAA8A1431C9FF018C261E93AE3_12</vt:lpwstr>
  </property>
  <property fmtid="{D5CDD505-2E9C-101B-9397-08002B2CF9AE}" pid="3" name="KSOProductBuildVer">
    <vt:lpwstr>1033-12.1.0.26880</vt:lpwstr>
  </property>
  <property fmtid="{D5CDD505-2E9C-101B-9397-08002B2CF9AE}" pid="4" name="CalculationRule">
    <vt:i4>0</vt:i4>
  </property>
</Properties>
</file>